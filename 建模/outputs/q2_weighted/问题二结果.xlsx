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58c6f5803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权重统一评分" sheetId="1" r:id="Rba627273019847fa"/>
    <x:sheet xmlns:r="http://schemas.openxmlformats.org/officeDocument/2006/relationships" name="权重设置" sheetId="2" r:id="Rcac4423574284f2a"/>
    <x:sheet xmlns:r="http://schemas.openxmlformats.org/officeDocument/2006/relationships" name="权重情景定义" sheetId="3" r:id="R8b0807da5d6241ec"/>
    <x:sheet xmlns:r="http://schemas.openxmlformats.org/officeDocument/2006/relationships" name="Q2_运输架次" sheetId="4" r:id="R111f4fa2b645418e"/>
    <x:sheet xmlns:r="http://schemas.openxmlformats.org/officeDocument/2006/relationships" name="Q2_逐箱交付" sheetId="5" r:id="R2d122fe56b804a26"/>
    <x:sheet xmlns:r="http://schemas.openxmlformats.org/officeDocument/2006/relationships" name="架次装载与时间" sheetId="6" r:id="R247bf604b62c40e0"/>
    <x:sheet xmlns:r="http://schemas.openxmlformats.org/officeDocument/2006/relationships" name="逐箱时限与交接" sheetId="7" r:id="Rcac70fd195f34edb"/>
    <x:sheet xmlns:r="http://schemas.openxmlformats.org/officeDocument/2006/relationships" name="电池使用与充电" sheetId="8" r:id="R27da8021736447d8"/>
    <x:sheet xmlns:r="http://schemas.openxmlformats.org/officeDocument/2006/relationships" name="无人机占用" sheetId="9" r:id="Rb06a909b9fcc4dd3"/>
    <x:sheet xmlns:r="http://schemas.openxmlformats.org/officeDocument/2006/relationships" name="逐段载荷与能耗" sheetId="10" r:id="R575e08aa958344f8"/>
    <x:sheet xmlns:r="http://schemas.openxmlformats.org/officeDocument/2006/relationships" name="对照运输安排" sheetId="11" r:id="Rdf711d516bcb4bcc"/>
    <x:sheet xmlns:r="http://schemas.openxmlformats.org/officeDocument/2006/relationships" name="对照逐箱交付" sheetId="12" r:id="R46ff97c2bb56493f"/>
    <x:sheet xmlns:r="http://schemas.openxmlformats.org/officeDocument/2006/relationships" name="硬截止裕量" sheetId="13" r:id="Rabbc7494f85d4fd3"/>
    <x:sheet xmlns:r="http://schemas.openxmlformats.org/officeDocument/2006/relationships" name="求解状态" sheetId="14" r:id="R125ba4d26a304fb5"/>
    <x:sheet xmlns:r="http://schemas.openxmlformats.org/officeDocument/2006/relationships" name="核验结果" sheetId="15" r:id="Rda42635713484069"/>
    <x:sheet xmlns:r="http://schemas.openxmlformats.org/officeDocument/2006/relationships" name="口径与来源" sheetId="16" r:id="R5593b416b46846f3"/>
    <x:sheet xmlns:r="http://schemas.openxmlformats.org/officeDocument/2006/relationships" name="航迹坐标" sheetId="17" r:id="R42c7f742eef6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"/>
    <x:numFmt numFmtId="202" formatCode="0.0"/>
    <x:numFmt numFmtId="203" formatCode="0.00%"/>
    <x:numFmt numFmtId="204" formatCode="0.000"/>
    <x:numFmt numFmtId="205" formatCode="0.000%"/>
  </x:numFmts>
  <x:fonts count="5">
    <x:font>
      <x:sz val="11"/>
      <x:name val="Carlito"/>
    </x:font>
    <x:font>
      <x:sz val="11"/>
      <x:name val="Arial"/>
    </x:font>
    <x:font>
      <x:sz val="11"/>
      <x:color rgb="FF1D293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0" borderId="0" xfId="0" applyNumberFormat="1" applyFont="1" applyFill="1" applyBorder="1" applyAlignment="1">
      <x:alignment horizontal="right" vertical="center" wrapText="1"/>
    </x:xf>
    <x:xf numFmtId="203" fontId="2" fillId="0" borderId="0" xfId="0" applyNumberFormat="1" applyFont="1" applyFill="1" applyBorder="1" applyAlignment="1">
      <x:alignment horizontal="right" vertical="center" wrapText="1"/>
    </x:xf>
    <x:xf numFmtId="202" fontId="2" fillId="3" borderId="0" xfId="0" applyNumberFormat="1" applyFont="1" applyFill="1" applyBorder="1" applyAlignment="1">
      <x:alignment horizontal="right" vertical="center" wrapText="1"/>
    </x:xf>
    <x:xf numFmtId="203" fontId="2" fillId="3" borderId="0" xfId="0" applyNumberFormat="1" applyFont="1" applyFill="1" applyBorder="1" applyAlignment="1">
      <x:alignment horizontal="right" vertical="center" wrapText="1"/>
    </x:xf>
    <x:xf numFmtId="204" fontId="2" fillId="0" borderId="0" xfId="0" applyNumberFormat="1" applyFont="1" applyFill="1" applyBorder="1" applyAlignment="1">
      <x:alignment horizontal="right" vertical="center" wrapText="1"/>
    </x:xf>
    <x:xf numFmtId="204" fontId="2" fillId="3" borderId="0" xfId="0" applyNumberFormat="1" applyFont="1" applyFill="1" applyBorder="1" applyAlignment="1">
      <x:alignment horizontal="right" vertical="center" wrapText="1"/>
    </x:xf>
    <x:xf numFmtId="205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205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26dabfae040df" /><Relationship Type="http://schemas.openxmlformats.org/officeDocument/2006/relationships/theme" Target="/xl/theme/theme1.xml" Id="R984e025142cf485b" /><Relationship Type="http://schemas.openxmlformats.org/officeDocument/2006/relationships/sharedStrings" Target="/xl/sharedStrings.xml" Id="R0f371c6c55484475" /><Relationship Type="http://schemas.openxmlformats.org/officeDocument/2006/relationships/worksheet" Target="/xl/worksheets/sheet1.xml" Id="Rba627273019847fa" /><Relationship Type="http://schemas.openxmlformats.org/officeDocument/2006/relationships/worksheet" Target="/xl/worksheets/sheet2.xml" Id="Rcac4423574284f2a" /><Relationship Type="http://schemas.openxmlformats.org/officeDocument/2006/relationships/worksheet" Target="/xl/worksheets/sheet3.xml" Id="R8b0807da5d6241ec" /><Relationship Type="http://schemas.openxmlformats.org/officeDocument/2006/relationships/worksheet" Target="/xl/worksheets/sheet4.xml" Id="R111f4fa2b645418e" /><Relationship Type="http://schemas.openxmlformats.org/officeDocument/2006/relationships/worksheet" Target="/xl/worksheets/sheet5.xml" Id="R2d122fe56b804a26" /><Relationship Type="http://schemas.openxmlformats.org/officeDocument/2006/relationships/worksheet" Target="/xl/worksheets/sheet6.xml" Id="R247bf604b62c40e0" /><Relationship Type="http://schemas.openxmlformats.org/officeDocument/2006/relationships/worksheet" Target="/xl/worksheets/sheet7.xml" Id="Rcac70fd195f34edb" /><Relationship Type="http://schemas.openxmlformats.org/officeDocument/2006/relationships/worksheet" Target="/xl/worksheets/sheet8.xml" Id="R27da8021736447d8" /><Relationship Type="http://schemas.openxmlformats.org/officeDocument/2006/relationships/worksheet" Target="/xl/worksheets/sheet9.xml" Id="Rb06a909b9fcc4dd3" /><Relationship Type="http://schemas.openxmlformats.org/officeDocument/2006/relationships/worksheet" Target="/xl/worksheets/sheet10.xml" Id="R575e08aa958344f8" /><Relationship Type="http://schemas.openxmlformats.org/officeDocument/2006/relationships/worksheet" Target="/xl/worksheets/sheet11.xml" Id="Rdf711d516bcb4bcc" /><Relationship Type="http://schemas.openxmlformats.org/officeDocument/2006/relationships/worksheet" Target="/xl/worksheets/sheet12.xml" Id="R46ff97c2bb56493f" /><Relationship Type="http://schemas.openxmlformats.org/officeDocument/2006/relationships/worksheet" Target="/xl/worksheets/sheet13.xml" Id="Rabbc7494f85d4fd3" /><Relationship Type="http://schemas.openxmlformats.org/officeDocument/2006/relationships/worksheet" Target="/xl/worksheets/sheet14.xml" Id="R125ba4d26a304fb5" /><Relationship Type="http://schemas.openxmlformats.org/officeDocument/2006/relationships/worksheet" Target="/xl/worksheets/sheet15.xml" Id="Rda42635713484069" /><Relationship Type="http://schemas.openxmlformats.org/officeDocument/2006/relationships/worksheet" Target="/xl/worksheets/sheet16.xml" Id="R5593b416b46846f3" /><Relationship Type="http://schemas.openxmlformats.org/officeDocument/2006/relationships/worksheet" Target="/xl/worksheets/sheet17.xml" Id="R42c7f742eef640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22" hidden="0" customWidth="1"/>
    <x:col min="7" max="7" width="24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2" customHeight="1">
      <x:c r="A1" s="9" t="str">
        <x:v>方案</x:v>
      </x:c>
      <x:c r="B1" s="9" t="str">
        <x:v>W系数·秒</x:v>
      </x:c>
      <x:c r="C1" s="9" t="str">
        <x:v>Cmax秒</x:v>
      </x:c>
      <x:c r="D1" s="9" t="str">
        <x:v>目标能耗kWh</x:v>
      </x:c>
      <x:c r="E1" s="9" t="str">
        <x:v>架次</x:v>
      </x:c>
      <x:c r="F1" s="9" t="str">
        <x:v>归一化W</x:v>
      </x:c>
      <x:c r="G1" s="9" t="str">
        <x:v>归一化Cmax</x:v>
      </x:c>
      <x:c r="H1" s="9" t="str">
        <x:v>归一化E</x:v>
      </x:c>
      <x:c r="I1" s="9" t="str">
        <x:v>归一化N</x:v>
      </x:c>
      <x:c r="J1" s="9" t="str">
        <x:v>主权重F</x:v>
      </x:c>
    </x:row>
    <x:row r="2" ht="30" customHeight="1">
      <x:c r="A2" s="12" t="str">
        <x:v>加权推荐方案</x:v>
      </x:c>
      <x:c r="B2" s="10" t="n">
        <x:v>47.892</x:v>
      </x:c>
      <x:c r="C2" s="10" t="n">
        <x:v>7727.954</x:v>
      </x:c>
      <x:c r="D2" s="10" t="n">
        <x:v>70.781829373</x:v>
      </x:c>
      <x:c r="E2" s="11" t="n">
        <x:v>24</x:v>
      </x:c>
      <x:c r="F2" s="10" t="n">
        <x:f>(B2-'权重设置'!$E$2)/'权重设置'!$G$2</x:f>
        <x:v>0.00011158327600707193</x:v>
      </x:c>
      <x:c r="G2" s="10" t="n">
        <x:f>(C2-'权重设置'!$E$3)/'权重设置'!$G$3</x:f>
        <x:v>0.050793280382586355</x:v>
      </x:c>
      <x:c r="H2" s="10" t="n">
        <x:f>(D2-'权重设置'!$E$4)/'权重设置'!$G$4</x:f>
        <x:v>0.35074383174862656</x:v>
      </x:c>
      <x:c r="I2" s="10" t="n">
        <x:f>(E2-'权重设置'!$E$5)/'权重设置'!$G$5</x:f>
        <x:v>0.4166666666666667</x:v>
      </x:c>
      <x:c r="J2" s="10" t="n">
        <x:f>F2*'权重设置'!$D$2+G2*'权重设置'!$D$3+H2*'权重设置'!$D$4+I2*'权重设置'!$D$5</x:f>
        <x:v>0.1059336392473101</x:v>
      </x:c>
    </x:row>
    <x:row r="3" ht="30" customHeight="1">
      <x:c r="A3" s="16" t="str">
        <x:v>及时性权重放大</x:v>
      </x:c>
      <x:c r="B3" s="14" t="n">
        <x:v>47.892</x:v>
      </x:c>
      <x:c r="C3" s="14" t="n">
        <x:v>7727.954</x:v>
      </x:c>
      <x:c r="D3" s="14" t="n">
        <x:v>70.781829373</x:v>
      </x:c>
      <x:c r="E3" s="15" t="n">
        <x:v>24</x:v>
      </x:c>
      <x:c r="F3" s="14" t="n">
        <x:f>(B3-'权重设置'!$E$2)/'权重设置'!$G$2</x:f>
        <x:v>0.00011158327600707193</x:v>
      </x:c>
      <x:c r="G3" s="14" t="n">
        <x:f>(C3-'权重设置'!$E$3)/'权重设置'!$G$3</x:f>
        <x:v>0.050793280382586355</x:v>
      </x:c>
      <x:c r="H3" s="14" t="n">
        <x:f>(D3-'权重设置'!$E$4)/'权重设置'!$G$4</x:f>
        <x:v>0.35074383174862656</x:v>
      </x:c>
      <x:c r="I3" s="14" t="n">
        <x:f>(E3-'权重设置'!$E$5)/'权重设置'!$G$5</x:f>
        <x:v>0.4166666666666667</x:v>
      </x:c>
      <x:c r="J3" s="14" t="n">
        <x:f>F3*'权重设置'!$D$2+G3*'权重设置'!$D$3+H3*'权重设置'!$D$4+I3*'权重设置'!$D$5</x:f>
        <x:v>0.1059336392473101</x:v>
      </x:c>
    </x:row>
    <x:row r="4" ht="30" customHeight="1">
      <x:c r="A4" s="12" t="str">
        <x:v>完工时间权重放大</x:v>
      </x:c>
      <x:c r="B4" s="10" t="n">
        <x:v>179071.716</x:v>
      </x:c>
      <x:c r="C4" s="10" t="n">
        <x:v>6921.074</x:v>
      </x:c>
      <x:c r="D4" s="10" t="n">
        <x:v>71.535264088</x:v>
      </x:c>
      <x:c r="E4" s="11" t="n">
        <x:v>25</x:v>
      </x:c>
      <x:c r="F4" s="10" t="n">
        <x:f>(B4-'权重设置'!$E$2)/'权重设置'!$G$2</x:f>
        <x:v>0.4172180888559257</x:v>
      </x:c>
      <x:c r="G4" s="10" t="n">
        <x:f>(C4-'权重设置'!$E$3)/'权重设置'!$G$3</x:f>
        <x:v>-0.15476642066317267</x:v>
      </x:c>
      <x:c r="H4" s="10" t="n">
        <x:f>(D4-'权重设置'!$E$4)/'权重设置'!$G$4</x:f>
        <x:v>0.38317741575118514</x:v>
      </x:c>
      <x:c r="I4" s="10" t="n">
        <x:f>(E4-'权重设置'!$E$5)/'权重设置'!$G$5</x:f>
        <x:v>0.5</x:v>
      </x:c>
      <x:c r="J4" s="10" t="n">
        <x:f>F4*'权重设置'!$D$2+G4*'权重设置'!$D$3+H4*'权重设置'!$D$4+I4*'权重设置'!$D$5</x:f>
        <x:v>0.27544700855403387</x:v>
      </x:c>
    </x:row>
    <x:row r="5" ht="30" customHeight="1">
      <x:c r="A5" s="16" t="str">
        <x:v>能耗权重放大</x:v>
      </x:c>
      <x:c r="B5" s="14" t="n">
        <x:v>42218.64</x:v>
      </x:c>
      <x:c r="C5" s="14" t="n">
        <x:v>8760.787</x:v>
      </x:c>
      <x:c r="D5" s="14" t="n">
        <x:v>62.508335392</x:v>
      </x:c>
      <x:c r="E5" s="15" t="n">
        <x:v>19</x:v>
      </x:c>
      <x:c r="F5" s="14" t="n">
        <x:f>(B5-'权重设置'!$E$2)/'权重设置'!$G$2</x:f>
        <x:v>0.0983649494646957</x:v>
      </x:c>
      <x:c r="G5" s="14" t="n">
        <x:f>(C5-'权重设置'!$E$3)/'权重设置'!$G$3</x:f>
        <x:v>0.3139164743026172</x:v>
      </x:c>
      <x:c r="H5" s="14" t="n">
        <x:f>(D5-'权重设置'!$E$4)/'权重设置'!$G$4</x:f>
        <x:v>-0.005410532637705624</x:v>
      </x:c>
      <x:c r="I5" s="14" t="n">
        <x:f>(E5-'权重设置'!$E$5)/'权重设置'!$G$5</x:f>
        <x:v>0</x:v>
      </x:c>
      <x:c r="J5" s="14" t="n">
        <x:f>F5*'权重设置'!$D$2+G5*'权重设置'!$D$3+H5*'权重设置'!$D$4+I5*'权重设置'!$D$5</x:f>
        <x:v>0.12675983786838455</x:v>
      </x:c>
    </x:row>
    <x:row r="6" ht="30" customHeight="1">
      <x:c r="A6" s="12" t="str">
        <x:v>架次权重放大</x:v>
      </x:c>
      <x:c r="B6" s="10" t="n">
        <x:v>42218.64</x:v>
      </x:c>
      <x:c r="C6" s="10" t="n">
        <x:v>8760.787</x:v>
      </x:c>
      <x:c r="D6" s="10" t="n">
        <x:v>62.508335392</x:v>
      </x:c>
      <x:c r="E6" s="11" t="n">
        <x:v>19</x:v>
      </x:c>
      <x:c r="F6" s="10" t="n">
        <x:f>(B6-'权重设置'!$E$2)/'权重设置'!$G$2</x:f>
        <x:v>0.0983649494646957</x:v>
      </x:c>
      <x:c r="G6" s="10" t="n">
        <x:f>(C6-'权重设置'!$E$3)/'权重设置'!$G$3</x:f>
        <x:v>0.3139164743026172</x:v>
      </x:c>
      <x:c r="H6" s="10" t="n">
        <x:f>(D6-'权重设置'!$E$4)/'权重设置'!$G$4</x:f>
        <x:v>-0.005410532637705624</x:v>
      </x:c>
      <x:c r="I6" s="10" t="n">
        <x:f>(E6-'权重设置'!$E$5)/'权重设置'!$G$5</x:f>
        <x:v>0</x:v>
      </x:c>
      <x:c r="J6" s="10" t="n">
        <x:f>F6*'权重设置'!$D$2+G6*'权重设置'!$D$3+H6*'权重设置'!$D$4+I6*'权重设置'!$D$5</x:f>
        <x:v>0.12675983786838455</x:v>
      </x:c>
    </x:row>
    <x:row r="7" ht="30" customHeight="1">
      <x:c r="A7" s="16" t="str">
        <x:v>旧词典序：及时性</x:v>
      </x:c>
      <x:c r="B7" s="14" t="n">
        <x:v>0</x:v>
      </x:c>
      <x:c r="C7" s="14" t="n">
        <x:v>7715.162</x:v>
      </x:c>
      <x:c r="D7" s="14" t="n">
        <x:v>85.86410138</x:v>
      </x:c>
      <x:c r="E7" s="15" t="n">
        <x:v>31</x:v>
      </x:c>
      <x:c r="F7" s="14" t="n">
        <x:f>(B7-'权重设置'!$E$2)/'权重设置'!$G$2</x:f>
        <x:v>0</x:v>
      </x:c>
      <x:c r="G7" s="14" t="n">
        <x:f>(C7-'权重设置'!$E$3)/'权重设置'!$G$3</x:f>
        <x:v>0.04753440707332446</x:v>
      </x:c>
      <x:c r="H7" s="14" t="n">
        <x:f>(D7-'权重设置'!$E$4)/'权重设置'!$G$4</x:f>
        <x:v>0.9999999999999997</x:v>
      </x:c>
      <x:c r="I7" s="14" t="n">
        <x:f>(E7-'权重设置'!$E$5)/'权重设置'!$G$5</x:f>
        <x:v>1</x:v>
      </x:c>
      <x:c r="J7" s="14" t="n">
        <x:f>F7*'权重设置'!$D$2+G7*'权重设置'!$D$3+H7*'权重设置'!$D$4+I7*'权重设置'!$D$5</x:f>
        <x:v>0.26188360176833103</x:v>
      </x:c>
    </x:row>
    <x:row r="8" ht="30" customHeight="1">
      <x:c r="A8" s="12" t="str">
        <x:v>旧词典序：完工时间</x:v>
      </x:c>
      <x:c r="B8" s="10" t="n">
        <x:v>783.576</x:v>
      </x:c>
      <x:c r="C8" s="10" t="n">
        <x:v>7528.576</x:v>
      </x:c>
      <x:c r="D8" s="10" t="n">
        <x:v>83.189040162</x:v>
      </x:c>
      <x:c r="E8" s="11" t="n">
        <x:v>30</x:v>
      </x:c>
      <x:c r="F8" s="10" t="n">
        <x:f>(B8-'权重设置'!$E$2)/'权重设置'!$G$2</x:f>
        <x:v>0.0018256488992006471</x:v>
      </x:c>
      <x:c r="G8" s="10" t="n">
        <x:f>(C8-'权重设置'!$E$3)/'权重设置'!$G$3</x:f>
        <x:v>0</x:v>
      </x:c>
      <x:c r="H8" s="10" t="n">
        <x:f>(D8-'权重设置'!$E$4)/'权重设置'!$G$4</x:f>
        <x:v>0.8848449361322719</x:v>
      </x:c>
      <x:c r="I8" s="10" t="n">
        <x:f>(E8-'权重设置'!$E$5)/'权重设置'!$G$5</x:f>
        <x:v>0.9166666666666666</x:v>
      </x:c>
      <x:c r="J8" s="10" t="n">
        <x:f>F8*'权重设置'!$D$2+G8*'权重设置'!$D$3+H8*'权重设置'!$D$4+I8*'权重设置'!$D$5</x:f>
        <x:v>0.2247758693605345</x:v>
      </x:c>
    </x:row>
    <x:row r="9" ht="30" customHeight="1">
      <x:c r="A9" s="16" t="str">
        <x:v>旧词典序：能耗</x:v>
      </x:c>
      <x:c r="B9" s="14" t="n">
        <x:v>429204.104</x:v>
      </x:c>
      <x:c r="C9" s="14" t="n">
        <x:v>11453.859</x:v>
      </x:c>
      <x:c r="D9" s="14" t="n">
        <x:v>62.634022492</x:v>
      </x:c>
      <x:c r="E9" s="15" t="n">
        <x:v>19</x:v>
      </x:c>
      <x:c r="F9" s="14" t="n">
        <x:f>(B9-'权重设置'!$E$2)/'权重设置'!$G$2</x:f>
        <x:v>1</x:v>
      </x:c>
      <x:c r="G9" s="14" t="n">
        <x:f>(C9-'权重设置'!$E$3)/'权重设置'!$G$3</x:f>
        <x:v>1.0000000000000002</x:v>
      </x:c>
      <x:c r="H9" s="14" t="n">
        <x:f>(D9-'权重设置'!$E$4)/'权重设置'!$G$4</x:f>
        <x:v>0</x:v>
      </x:c>
      <x:c r="I9" s="14" t="n">
        <x:f>(E9-'权重设置'!$E$5)/'权重设置'!$G$5</x:f>
        <x:v>0</x:v>
      </x:c>
      <x:c r="J9" s="14" t="n">
        <x:f>F9*'权重设置'!$D$2+G9*'权重设置'!$D$3+H9*'权重设置'!$D$4+I9*'权重设置'!$D$5</x:f>
        <x:v>0.75</x:v>
      </x:c>
    </x:row>
    <x:row r="10" ht="30" customHeight="1">
      <x:c r="A10" s="12" t="str">
        <x:v>旧词典序：架次</x:v>
      </x:c>
      <x:c r="B10" s="10" t="n">
        <x:v>60547.406</x:v>
      </x:c>
      <x:c r="C10" s="10" t="n">
        <x:v>9906.71</x:v>
      </x:c>
      <x:c r="D10" s="10" t="n">
        <x:v>65.525211747</x:v>
      </x:c>
      <x:c r="E10" s="11" t="n">
        <x:v>19</x:v>
      </x:c>
      <x:c r="F10" s="10" t="n">
        <x:f>(B10-'权重设置'!$E$2)/'权重设置'!$G$2</x:f>
        <x:v>0.14106902854777922</x:v>
      </x:c>
      <x:c r="G10" s="10" t="n">
        <x:f>(C10-'权重设置'!$E$3)/'权重设置'!$G$3</x:f>
        <x:v>0.6058503297724009</x:v>
      </x:c>
      <x:c r="H10" s="10" t="n">
        <x:f>(D10-'权重设置'!$E$4)/'权重设置'!$G$4</x:f>
        <x:v>0.12445886511790998</x:v>
      </x:c>
      <x:c r="I10" s="10" t="n">
        <x:f>(E10-'权重设置'!$E$5)/'权重设置'!$G$5</x:f>
        <x:v>0</x:v>
      </x:c>
      <x:c r="J10" s="10" t="n">
        <x:f>F10*'权重设置'!$D$2+G10*'权重设置'!$D$3+H10*'权重设置'!$D$4+I10*'权重设置'!$D$5</x:f>
        <x:v>0.2427402409033082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2" customHeight="1">
      <x:c r="A1" s="9" t="str">
        <x:v>指标</x:v>
      </x:c>
      <x:c r="B1" s="9" t="str">
        <x:v>单位</x:v>
      </x:c>
      <x:c r="C1" s="9" t="str">
        <x:v>相对权重</x:v>
      </x:c>
      <x:c r="D1" s="9" t="str">
        <x:v>归一化权重α</x:v>
      </x:c>
      <x:c r="E1" s="9" t="str">
        <x:v>固定参考下端</x:v>
      </x:c>
      <x:c r="F1" s="9" t="str">
        <x:v>固定参考上端</x:v>
      </x:c>
      <x:c r="G1" s="9" t="str">
        <x:v>固定尺度</x:v>
      </x:c>
    </x:row>
    <x:row r="2" ht="30" customHeight="1">
      <x:c r="A2" s="12" t="str">
        <x:v>及时性W</x:v>
      </x:c>
      <x:c r="B2" s="12" t="str">
        <x:v>系数·秒</x:v>
      </x:c>
      <x:c r="C2" s="17" t="n">
        <x:v>3</x:v>
      </x:c>
      <x:c r="D2" s="18" t="n">
        <x:f>C2/SUM($C$2:$C$5)</x:f>
        <x:v>0.5</x:v>
      </x:c>
      <x:c r="E2" s="10" t="n">
        <x:v>0</x:v>
      </x:c>
      <x:c r="F2" s="10" t="n">
        <x:v>429204.104</x:v>
      </x:c>
      <x:c r="G2" s="10" t="n">
        <x:v>429204.104</x:v>
      </x:c>
    </x:row>
    <x:row r="3" ht="30" customHeight="1">
      <x:c r="A3" s="16" t="str">
        <x:v>完工时间Cmax</x:v>
      </x:c>
      <x:c r="B3" s="16" t="str">
        <x:v>秒</x:v>
      </x:c>
      <x:c r="C3" s="19" t="n">
        <x:v>1.5</x:v>
      </x:c>
      <x:c r="D3" s="20" t="n">
        <x:f>C3/SUM($C$2:$C$5)</x:f>
        <x:v>0.25</x:v>
      </x:c>
      <x:c r="E3" s="14" t="n">
        <x:v>7528.576</x:v>
      </x:c>
      <x:c r="F3" s="14" t="n">
        <x:v>11453.859</x:v>
      </x:c>
      <x:c r="G3" s="14" t="n">
        <x:v>3925.283</x:v>
      </x:c>
    </x:row>
    <x:row r="4" ht="30" customHeight="1">
      <x:c r="A4" s="12" t="str">
        <x:v>运输能耗E</x:v>
      </x:c>
      <x:c r="B4" s="12" t="str">
        <x:v>kWh</x:v>
      </x:c>
      <x:c r="C4" s="17" t="n">
        <x:v>1</x:v>
      </x:c>
      <x:c r="D4" s="18" t="n">
        <x:f>C4/SUM($C$2:$C$5)</x:f>
        <x:v>0.16666666666666666</x:v>
      </x:c>
      <x:c r="E4" s="10" t="n">
        <x:v>62.634022492</x:v>
      </x:c>
      <x:c r="F4" s="10" t="n">
        <x:v>85.86410138</x:v>
      </x:c>
      <x:c r="G4" s="10" t="n">
        <x:v>23.230078888</x:v>
      </x:c>
    </x:row>
    <x:row r="5" ht="30" customHeight="1">
      <x:c r="A5" s="16" t="str">
        <x:v>架次N</x:v>
      </x:c>
      <x:c r="B5" s="16" t="str">
        <x:v>架次</x:v>
      </x:c>
      <x:c r="C5" s="19" t="n">
        <x:v>0.5</x:v>
      </x:c>
      <x:c r="D5" s="20" t="n">
        <x:f>C5/SUM($C$2:$C$5)</x:f>
        <x:v>0.08333333333333333</x:v>
      </x:c>
      <x:c r="E5" s="14" t="n">
        <x:v>19</x:v>
      </x:c>
      <x:c r="F5" s="14" t="n">
        <x:v>31</x:v>
      </x:c>
      <x:c r="G5" s="14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42" customHeight="1">
      <x:c r="A1" s="9" t="str">
        <x:v>情景</x:v>
      </x:c>
      <x:c r="B1" s="9" t="str">
        <x:v>W相对权重</x:v>
      </x:c>
      <x:c r="C1" s="9" t="str">
        <x:v>Cmax相对权重</x:v>
      </x:c>
      <x:c r="D1" s="9" t="str">
        <x:v>E相对权重</x:v>
      </x:c>
      <x:c r="E1" s="9" t="str">
        <x:v>N相对权重</x:v>
      </x:c>
      <x:c r="F1" s="9" t="str">
        <x:v>扰动次数</x:v>
      </x:c>
      <x:c r="G1" s="9" t="str">
        <x:v>精修秒数</x:v>
      </x:c>
      <x:c r="H1" s="9" t="str">
        <x:v>跨情景回评采用来源</x:v>
      </x:c>
      <x:c r="I1" s="9" t="str">
        <x:v>独立终点情景F</x:v>
      </x:c>
      <x:c r="J1" s="9" t="str">
        <x:v>回评后情景F</x:v>
      </x:c>
    </x:row>
    <x:row r="2" ht="30" customHeight="1">
      <x:c r="A2" s="12" t="str">
        <x:v>及时性权重放大</x:v>
      </x:c>
      <x:c r="B2" s="10" t="n">
        <x:v>30</x:v>
      </x:c>
      <x:c r="C2" s="10" t="n">
        <x:v>1.5</x:v>
      </x:c>
      <x:c r="D2" s="10" t="n">
        <x:v>1</x:v>
      </x:c>
      <x:c r="E2" s="10" t="n">
        <x:v>0.5</x:v>
      </x:c>
      <x:c r="F2" s="5" t="n">
        <x:v>3000</x:v>
      </x:c>
      <x:c r="G2" s="10" t="n">
        <x:v>60</x:v>
      </x:c>
      <x:c r="H2" s="12" t="str">
        <x:v>加权推荐方案</x:v>
      </x:c>
      <x:c r="I2" s="10" t="n">
        <x:v>0.03827399124808814</x:v>
      </x:c>
      <x:c r="J2" s="10" t="n">
        <x:v>0.01935195708897127</x:v>
      </x:c>
    </x:row>
    <x:row r="3" ht="48" customHeight="1">
      <x:c r="A3" s="16" t="str">
        <x:v>完工时间权重放大</x:v>
      </x:c>
      <x:c r="B3" s="14" t="n">
        <x:v>3</x:v>
      </x:c>
      <x:c r="C3" s="14" t="n">
        <x:v>15</x:v>
      </x:c>
      <x:c r="D3" s="14" t="n">
        <x:v>1</x:v>
      </x:c>
      <x:c r="E3" s="14" t="n">
        <x:v>0.5</x:v>
      </x:c>
      <x:c r="F3" s="13" t="n">
        <x:v>3000</x:v>
      </x:c>
      <x:c r="G3" s="14" t="n">
        <x:v>60</x:v>
      </x:c>
      <x:c r="H3" s="16" t="str">
        <x:v>完工时间权重放大</x:v>
      </x:c>
      <x:c r="I3" s="14" t="n">
        <x:v>-0.022393057827109042</x:v>
      </x:c>
      <x:c r="J3" s="14" t="n">
        <x:v>-0.022393057827109042</x:v>
      </x:c>
    </x:row>
    <x:row r="4" ht="30" customHeight="1">
      <x:c r="A4" s="12" t="str">
        <x:v>能耗权重放大</x:v>
      </x:c>
      <x:c r="B4" s="10" t="n">
        <x:v>3</x:v>
      </x:c>
      <x:c r="C4" s="10" t="n">
        <x:v>1.5</x:v>
      </x:c>
      <x:c r="D4" s="10" t="n">
        <x:v>10</x:v>
      </x:c>
      <x:c r="E4" s="10" t="n">
        <x:v>0.5</x:v>
      </x:c>
      <x:c r="F4" s="5" t="n">
        <x:v>3000</x:v>
      </x:c>
      <x:c r="G4" s="10" t="n">
        <x:v>60</x:v>
      </x:c>
      <x:c r="H4" s="12" t="str">
        <x:v>能耗权重放大</x:v>
      </x:c>
      <x:c r="I4" s="10" t="n">
        <x:v>0.04745761556473045</x:v>
      </x:c>
      <x:c r="J4" s="10" t="n">
        <x:v>0.04745761556473045</x:v>
      </x:c>
    </x:row>
    <x:row r="5" ht="30" customHeight="1">
      <x:c r="A5" s="16" t="str">
        <x:v>架次权重放大</x:v>
      </x:c>
      <x:c r="B5" s="14" t="n">
        <x:v>3</x:v>
      </x:c>
      <x:c r="C5" s="14" t="n">
        <x:v>1.5</x:v>
      </x:c>
      <x:c r="D5" s="14" t="n">
        <x:v>1</x:v>
      </x:c>
      <x:c r="E5" s="14" t="n">
        <x:v>5</x:v>
      </x:c>
      <x:c r="F5" s="13" t="n">
        <x:v>3000</x:v>
      </x:c>
      <x:c r="G5" s="14" t="n">
        <x:v>60</x:v>
      </x:c>
      <x:c r="H5" s="16" t="str">
        <x:v>能耗权重放大</x:v>
      </x:c>
      <x:c r="I5" s="14" t="n">
        <x:v>0.40012823040243617</x:v>
      </x:c>
      <x:c r="J5" s="14" t="n">
        <x:v>0.07243419306764831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20" hidden="0" customWidth="1"/>
    <x:col min="5" max="5" width="21" hidden="0" customWidth="1"/>
    <x:col min="6" max="6" width="46" hidden="0" customWidth="1"/>
    <x:col min="7" max="7" width="24" hidden="0" customWidth="1"/>
    <x:col min="8" max="8" width="23" hidden="0" customWidth="1"/>
  </x:cols>
  <x:sheetData>
    <x:row r="1" ht="42" customHeight="1">
      <x:c r="A1" s="9" t="str">
        <x:v>架次编号</x:v>
      </x:c>
      <x:c r="B1" s="9" t="str">
        <x:v>无人机编号</x:v>
      </x:c>
      <x:c r="C1" s="9" t="str">
        <x:v>机型编号</x:v>
      </x:c>
      <x:c r="D1" s="9" t="str">
        <x:v>电池编号</x:v>
      </x:c>
      <x:c r="E1" s="9" t="str">
        <x:v>开始时刻（s）</x:v>
      </x:c>
      <x:c r="F1" s="9" t="str">
        <x:v>访问服务区顺序</x:v>
      </x:c>
      <x:c r="G1" s="9" t="str">
        <x:v>返回O01时刻（s）</x:v>
      </x:c>
      <x:c r="H1" s="9" t="str">
        <x:v>架次能耗（kWh）</x:v>
      </x:c>
    </x:row>
    <x:row r="2" ht="30" customHeight="1">
      <x:c r="A2" s="12" t="str">
        <x:v>Q2-001</x:v>
      </x:c>
      <x:c r="B2" s="12" t="str">
        <x:v>U05</x:v>
      </x:c>
      <x:c r="C2" s="12" t="str">
        <x:v>B</x:v>
      </x:c>
      <x:c r="D2" s="12" t="str">
        <x:v>BAT-B-01</x:v>
      </x:c>
      <x:c r="E2" s="21" t="n">
        <x:v>0</x:v>
      </x:c>
      <x:c r="F2" s="12" t="str">
        <x:v>O01 → S012 → O01</x:v>
      </x:c>
      <x:c r="G2" s="21" t="n">
        <x:v>1922.828</x:v>
      </x:c>
      <x:c r="H2" s="10" t="n">
        <x:v>2.7525999542899324</x:v>
      </x:c>
    </x:row>
    <x:row r="3" ht="30" customHeight="1">
      <x:c r="A3" s="16" t="str">
        <x:v>Q2-002</x:v>
      </x:c>
      <x:c r="B3" s="16" t="str">
        <x:v>U07</x:v>
      </x:c>
      <x:c r="C3" s="16" t="str">
        <x:v>C</x:v>
      </x:c>
      <x:c r="D3" s="16" t="str">
        <x:v>BAT-C-01</x:v>
      </x:c>
      <x:c r="E3" s="22" t="n">
        <x:v>0</x:v>
      </x:c>
      <x:c r="F3" s="16" t="str">
        <x:v>O01 → S002 → O01</x:v>
      </x:c>
      <x:c r="G3" s="22" t="n">
        <x:v>2173.844</x:v>
      </x:c>
      <x:c r="H3" s="14" t="n">
        <x:v>6.280970256414267</x:v>
      </x:c>
    </x:row>
    <x:row r="4" ht="30" customHeight="1">
      <x:c r="A4" s="12" t="str">
        <x:v>Q2-003</x:v>
      </x:c>
      <x:c r="B4" s="12" t="str">
        <x:v>U01</x:v>
      </x:c>
      <x:c r="C4" s="12" t="str">
        <x:v>A</x:v>
      </x:c>
      <x:c r="D4" s="12" t="str">
        <x:v>BAT-A-01</x:v>
      </x:c>
      <x:c r="E4" s="21" t="n">
        <x:v>0</x:v>
      </x:c>
      <x:c r="F4" s="12" t="str">
        <x:v>O01 → S014 → O01</x:v>
      </x:c>
      <x:c r="G4" s="21" t="n">
        <x:v>1930.4</x:v>
      </x:c>
      <x:c r="H4" s="10" t="n">
        <x:v>2.251627801047422</x:v>
      </x:c>
    </x:row>
    <x:row r="5" ht="30" customHeight="1">
      <x:c r="A5" s="16" t="str">
        <x:v>Q2-004</x:v>
      </x:c>
      <x:c r="B5" s="16" t="str">
        <x:v>U02</x:v>
      </x:c>
      <x:c r="C5" s="16" t="str">
        <x:v>A</x:v>
      </x:c>
      <x:c r="D5" s="16" t="str">
        <x:v>BAT-A-02</x:v>
      </x:c>
      <x:c r="E5" s="22" t="n">
        <x:v>0</x:v>
      </x:c>
      <x:c r="F5" s="16" t="str">
        <x:v>O01 → S007 → O01</x:v>
      </x:c>
      <x:c r="G5" s="22" t="n">
        <x:v>1727.468</x:v>
      </x:c>
      <x:c r="H5" s="14" t="n">
        <x:v>1.9709635056721377</x:v>
      </x:c>
    </x:row>
    <x:row r="6" ht="30" customHeight="1">
      <x:c r="A6" s="12" t="str">
        <x:v>Q2-005</x:v>
      </x:c>
      <x:c r="B6" s="12" t="str">
        <x:v>U06</x:v>
      </x:c>
      <x:c r="C6" s="12" t="str">
        <x:v>B</x:v>
      </x:c>
      <x:c r="D6" s="12" t="str">
        <x:v>BAT-B-02</x:v>
      </x:c>
      <x:c r="E6" s="21" t="n">
        <x:v>0</x:v>
      </x:c>
      <x:c r="F6" s="12" t="str">
        <x:v>O01 → S010 → O01</x:v>
      </x:c>
      <x:c r="G6" s="21" t="n">
        <x:v>1555.405</x:v>
      </x:c>
      <x:c r="H6" s="10" t="n">
        <x:v>1.823216564231414</x:v>
      </x:c>
    </x:row>
    <x:row r="7" ht="30" customHeight="1">
      <x:c r="A7" s="16" t="str">
        <x:v>Q2-006</x:v>
      </x:c>
      <x:c r="B7" s="16" t="str">
        <x:v>U03</x:v>
      </x:c>
      <x:c r="C7" s="16" t="str">
        <x:v>A</x:v>
      </x:c>
      <x:c r="D7" s="16" t="str">
        <x:v>BAT-A-03</x:v>
      </x:c>
      <x:c r="E7" s="22" t="n">
        <x:v>0</x:v>
      </x:c>
      <x:c r="F7" s="16" t="str">
        <x:v>O01 → S014 → O01</x:v>
      </x:c>
      <x:c r="G7" s="22" t="n">
        <x:v>1990.4</x:v>
      </x:c>
      <x:c r="H7" s="14" t="n">
        <x:v>2.2175912570533356</x:v>
      </x:c>
    </x:row>
    <x:row r="8" ht="30" customHeight="1">
      <x:c r="A8" s="12" t="str">
        <x:v>Q2-007</x:v>
      </x:c>
      <x:c r="B8" s="12" t="str">
        <x:v>U04</x:v>
      </x:c>
      <x:c r="C8" s="12" t="str">
        <x:v>A</x:v>
      </x:c>
      <x:c r="D8" s="12" t="str">
        <x:v>BAT-A-04</x:v>
      </x:c>
      <x:c r="E8" s="21" t="n">
        <x:v>0</x:v>
      </x:c>
      <x:c r="F8" s="12" t="str">
        <x:v>O01 → S007 → O01</x:v>
      </x:c>
      <x:c r="G8" s="21" t="n">
        <x:v>1727.468</x:v>
      </x:c>
      <x:c r="H8" s="10" t="n">
        <x:v>1.8275023375986301</x:v>
      </x:c>
    </x:row>
    <x:row r="9" ht="30" customHeight="1">
      <x:c r="A9" s="16" t="str">
        <x:v>Q2-008</x:v>
      </x:c>
      <x:c r="B9" s="16" t="str">
        <x:v>U08</x:v>
      </x:c>
      <x:c r="C9" s="16" t="str">
        <x:v>C</x:v>
      </x:c>
      <x:c r="D9" s="16" t="str">
        <x:v>BAT-C-02</x:v>
      </x:c>
      <x:c r="E9" s="22" t="n">
        <x:v>0</x:v>
      </x:c>
      <x:c r="F9" s="16" t="str">
        <x:v>O01 → S006 → O01</x:v>
      </x:c>
      <x:c r="G9" s="22" t="n">
        <x:v>1561.554</x:v>
      </x:c>
      <x:c r="H9" s="14" t="n">
        <x:v>2.5979362904386822</x:v>
      </x:c>
    </x:row>
    <x:row r="10" ht="30" customHeight="1">
      <x:c r="A10" s="12" t="str">
        <x:v>Q2-009</x:v>
      </x:c>
      <x:c r="B10" s="12" t="str">
        <x:v>U06</x:v>
      </x:c>
      <x:c r="C10" s="12" t="str">
        <x:v>B</x:v>
      </x:c>
      <x:c r="D10" s="12" t="str">
        <x:v>BAT-B-03</x:v>
      </x:c>
      <x:c r="E10" s="21" t="n">
        <x:v>1555.405</x:v>
      </x:c>
      <x:c r="F10" s="12" t="str">
        <x:v>O01 → S013 → O01</x:v>
      </x:c>
      <x:c r="G10" s="21" t="n">
        <x:v>3065.918</x:v>
      </x:c>
      <x:c r="H10" s="10" t="n">
        <x:v>1.8248281910807473</x:v>
      </x:c>
    </x:row>
    <x:row r="11" ht="30" customHeight="1">
      <x:c r="A11" s="16" t="str">
        <x:v>Q2-010</x:v>
      </x:c>
      <x:c r="B11" s="16" t="str">
        <x:v>U08</x:v>
      </x:c>
      <x:c r="C11" s="16" t="str">
        <x:v>C</x:v>
      </x:c>
      <x:c r="D11" s="16" t="str">
        <x:v>BAT-C-03</x:v>
      </x:c>
      <x:c r="E11" s="22" t="n">
        <x:v>1561.554</x:v>
      </x:c>
      <x:c r="F11" s="16" t="str">
        <x:v>O01 → S001 → O01</x:v>
      </x:c>
      <x:c r="G11" s="22" t="n">
        <x:v>3253.73</x:v>
      </x:c>
      <x:c r="H11" s="14" t="n">
        <x:v>2.9175880955868267</x:v>
      </x:c>
    </x:row>
    <x:row r="12" ht="30" customHeight="1">
      <x:c r="A12" s="12" t="str">
        <x:v>Q2-011</x:v>
      </x:c>
      <x:c r="B12" s="12" t="str">
        <x:v>U02</x:v>
      </x:c>
      <x:c r="C12" s="12" t="str">
        <x:v>A</x:v>
      </x:c>
      <x:c r="D12" s="12" t="str">
        <x:v>BAT-A-05</x:v>
      </x:c>
      <x:c r="E12" s="21" t="n">
        <x:v>1727.468</x:v>
      </x:c>
      <x:c r="F12" s="12" t="str">
        <x:v>O01 → S007 → O01</x:v>
      </x:c>
      <x:c r="G12" s="21" t="n">
        <x:v>3394.936</x:v>
      </x:c>
      <x:c r="H12" s="10" t="n">
        <x:v>1.872588415047149</x:v>
      </x:c>
    </x:row>
    <x:row r="13" ht="30" customHeight="1">
      <x:c r="A13" s="16" t="str">
        <x:v>Q2-012</x:v>
      </x:c>
      <x:c r="B13" s="16" t="str">
        <x:v>U04</x:v>
      </x:c>
      <x:c r="C13" s="16" t="str">
        <x:v>A</x:v>
      </x:c>
      <x:c r="D13" s="16" t="str">
        <x:v>BAT-A-06</x:v>
      </x:c>
      <x:c r="E13" s="22" t="n">
        <x:v>1727.468</x:v>
      </x:c>
      <x:c r="F13" s="16" t="str">
        <x:v>O01 → S002 → O01</x:v>
      </x:c>
      <x:c r="G13" s="22" t="n">
        <x:v>3671.244</x:v>
      </x:c>
      <x:c r="H13" s="14" t="n">
        <x:v>2.871489106123694</x:v>
      </x:c>
    </x:row>
    <x:row r="14" ht="30" customHeight="1">
      <x:c r="A14" s="12" t="str">
        <x:v>Q2-013</x:v>
      </x:c>
      <x:c r="B14" s="12" t="str">
        <x:v>U05</x:v>
      </x:c>
      <x:c r="C14" s="12" t="str">
        <x:v>B</x:v>
      </x:c>
      <x:c r="D14" s="12" t="str">
        <x:v>BAT-B-04</x:v>
      </x:c>
      <x:c r="E14" s="21" t="n">
        <x:v>1922.828</x:v>
      </x:c>
      <x:c r="F14" s="12" t="str">
        <x:v>O01 → S005 → S004 → O01</x:v>
      </x:c>
      <x:c r="G14" s="21" t="n">
        <x:v>4138.669</x:v>
      </x:c>
      <x:c r="H14" s="10" t="n">
        <x:v>2.7917500781027624</x:v>
      </x:c>
    </x:row>
    <x:row r="15" ht="30" customHeight="1">
      <x:c r="A15" s="16" t="str">
        <x:v>Q2-014</x:v>
      </x:c>
      <x:c r="B15" s="16" t="str">
        <x:v>U07</x:v>
      </x:c>
      <x:c r="C15" s="16" t="str">
        <x:v>C</x:v>
      </x:c>
      <x:c r="D15" s="16" t="str">
        <x:v>BAT-C-04</x:v>
      </x:c>
      <x:c r="E15" s="22" t="n">
        <x:v>2173.844</x:v>
      </x:c>
      <x:c r="F15" s="16" t="str">
        <x:v>O01 → S001 → O01</x:v>
      </x:c>
      <x:c r="G15" s="22" t="n">
        <x:v>3602.02</x:v>
      </x:c>
      <x:c r="H15" s="14" t="n">
        <x:v>2.5655813655342623</x:v>
      </x:c>
    </x:row>
    <x:row r="16" ht="30" customHeight="1">
      <x:c r="A16" s="12" t="str">
        <x:v>Q2-015</x:v>
      </x:c>
      <x:c r="B16" s="12" t="str">
        <x:v>U01</x:v>
      </x:c>
      <x:c r="C16" s="12" t="str">
        <x:v>A</x:v>
      </x:c>
      <x:c r="D16" s="12" t="str">
        <x:v>BAT-A-04</x:v>
      </x:c>
      <x:c r="E16" s="21" t="n">
        <x:v>2755.414</x:v>
      </x:c>
      <x:c r="F16" s="12" t="str">
        <x:v>O01 → S001 → O01</x:v>
      </x:c>
      <x:c r="G16" s="21" t="n">
        <x:v>3946.322</x:v>
      </x:c>
      <x:c r="H16" s="10" t="n">
        <x:v>1.219518751679032</x:v>
      </x:c>
    </x:row>
    <x:row r="17" ht="30" customHeight="1">
      <x:c r="A17" s="16" t="str">
        <x:v>Q2-016</x:v>
      </x:c>
      <x:c r="B17" s="16" t="str">
        <x:v>U03</x:v>
      </x:c>
      <x:c r="C17" s="16" t="str">
        <x:v>A</x:v>
      </x:c>
      <x:c r="D17" s="16" t="str">
        <x:v>BAT-A-02</x:v>
      </x:c>
      <x:c r="E17" s="22" t="n">
        <x:v>2796.858</x:v>
      </x:c>
      <x:c r="F17" s="16" t="str">
        <x:v>O01 → S008 → O01</x:v>
      </x:c>
      <x:c r="G17" s="22" t="n">
        <x:v>4908.005</x:v>
      </x:c>
      <x:c r="H17" s="14" t="n">
        <x:v>3.146459854356152</x:v>
      </x:c>
    </x:row>
    <x:row r="18" ht="30" customHeight="1">
      <x:c r="A18" s="12" t="str">
        <x:v>Q2-017</x:v>
      </x:c>
      <x:c r="B18" s="12" t="str">
        <x:v>U06</x:v>
      </x:c>
      <x:c r="C18" s="12" t="str">
        <x:v>B</x:v>
      </x:c>
      <x:c r="D18" s="12" t="str">
        <x:v>BAT-B-02</x:v>
      </x:c>
      <x:c r="E18" s="21" t="n">
        <x:v>3065.918</x:v>
      </x:c>
      <x:c r="F18" s="12" t="str">
        <x:v>O01 → S008 → O01</x:v>
      </x:c>
      <x:c r="G18" s="21" t="n">
        <x:v>5027.761</x:v>
      </x:c>
      <x:c r="H18" s="10" t="n">
        <x:v>2.9752068745422333</x:v>
      </x:c>
    </x:row>
    <x:row r="19" ht="30" customHeight="1">
      <x:c r="A19" s="16" t="str">
        <x:v>Q2-018</x:v>
      </x:c>
      <x:c r="B19" s="16" t="str">
        <x:v>U08</x:v>
      </x:c>
      <x:c r="C19" s="16" t="str">
        <x:v>C</x:v>
      </x:c>
      <x:c r="D19" s="16" t="str">
        <x:v>BAT-C-02</x:v>
      </x:c>
      <x:c r="E19" s="22" t="n">
        <x:v>3253.73</x:v>
      </x:c>
      <x:c r="F19" s="16" t="str">
        <x:v>O01 → S004 → O01</x:v>
      </x:c>
      <x:c r="G19" s="22" t="n">
        <x:v>5422.786</x:v>
      </x:c>
      <x:c r="H19" s="14" t="n">
        <x:v>5.705440174682608</x:v>
      </x:c>
    </x:row>
    <x:row r="20" ht="30" customHeight="1">
      <x:c r="A20" s="12" t="str">
        <x:v>Q2-019</x:v>
      </x:c>
      <x:c r="B20" s="12" t="str">
        <x:v>U02</x:v>
      </x:c>
      <x:c r="C20" s="12" t="str">
        <x:v>A</x:v>
      </x:c>
      <x:c r="D20" s="12" t="str">
        <x:v>BAT-A-01</x:v>
      </x:c>
      <x:c r="E20" s="21" t="n">
        <x:v>3394.936</x:v>
      </x:c>
      <x:c r="F20" s="12" t="str">
        <x:v>O01 → S003 → O01</x:v>
      </x:c>
      <x:c r="G20" s="21" t="n">
        <x:v>5597.674</x:v>
      </x:c>
      <x:c r="H20" s="10" t="n">
        <x:v>2.9316889875927306</x:v>
      </x:c>
    </x:row>
    <x:row r="21" ht="30" customHeight="1">
      <x:c r="A21" s="16" t="str">
        <x:v>Q2-020</x:v>
      </x:c>
      <x:c r="B21" s="16" t="str">
        <x:v>U04</x:v>
      </x:c>
      <x:c r="C21" s="16" t="str">
        <x:v>A</x:v>
      </x:c>
      <x:c r="D21" s="16" t="str">
        <x:v>BAT-A-03</x:v>
      </x:c>
      <x:c r="E21" s="22" t="n">
        <x:v>3671.244</x:v>
      </x:c>
      <x:c r="F21" s="16" t="str">
        <x:v>O01 → S008 → O01</x:v>
      </x:c>
      <x:c r="G21" s="22" t="n">
        <x:v>5782.391</x:v>
      </x:c>
      <x:c r="H21" s="14" t="n">
        <x:v>3.0410236755457847</x:v>
      </x:c>
    </x:row>
    <x:row r="22" ht="30" customHeight="1">
      <x:c r="A22" s="12" t="str">
        <x:v>Q2-021</x:v>
      </x:c>
      <x:c r="B22" s="12" t="str">
        <x:v>U05</x:v>
      </x:c>
      <x:c r="C22" s="12" t="str">
        <x:v>B</x:v>
      </x:c>
      <x:c r="D22" s="12" t="str">
        <x:v>BAT-B-01</x:v>
      </x:c>
      <x:c r="E22" s="21" t="n">
        <x:v>4138.669</x:v>
      </x:c>
      <x:c r="F22" s="12" t="str">
        <x:v>O01 → S015 → O01</x:v>
      </x:c>
      <x:c r="G22" s="21" t="n">
        <x:v>5966.997</x:v>
      </x:c>
      <x:c r="H22" s="10" t="n">
        <x:v>2.3075285057525154</x:v>
      </x:c>
    </x:row>
    <x:row r="23" ht="30" customHeight="1">
      <x:c r="A23" s="16" t="str">
        <x:v>Q2-022</x:v>
      </x:c>
      <x:c r="B23" s="16" t="str">
        <x:v>U07</x:v>
      </x:c>
      <x:c r="C23" s="16" t="str">
        <x:v>C</x:v>
      </x:c>
      <x:c r="D23" s="16" t="str">
        <x:v>BAT-C-01</x:v>
      </x:c>
      <x:c r="E23" s="22" t="n">
        <x:v>4708.274</x:v>
      </x:c>
      <x:c r="F23" s="16" t="str">
        <x:v>O01 → S003 → O01</x:v>
      </x:c>
      <x:c r="G23" s="22" t="n">
        <x:v>7210.452</x:v>
      </x:c>
      <x:c r="H23" s="14" t="n">
        <x:v>6.324499390874367</x:v>
      </x:c>
    </x:row>
    <x:row r="24" ht="30" customHeight="1">
      <x:c r="A24" s="12" t="str">
        <x:v>Q2-023</x:v>
      </x:c>
      <x:c r="B24" s="12" t="str">
        <x:v>U06</x:v>
      </x:c>
      <x:c r="C24" s="12" t="str">
        <x:v>B</x:v>
      </x:c>
      <x:c r="D24" s="12" t="str">
        <x:v>BAT-B-03</x:v>
      </x:c>
      <x:c r="E24" s="21" t="n">
        <x:v>5027.761</x:v>
      </x:c>
      <x:c r="F24" s="12" t="str">
        <x:v>O01 → S009 → O01</x:v>
      </x:c>
      <x:c r="G24" s="21" t="n">
        <x:v>6586.225</x:v>
      </x:c>
      <x:c r="H24" s="10" t="n">
        <x:v>2.0962654017373348</x:v>
      </x:c>
    </x:row>
    <x:row r="25" ht="30" customHeight="1">
      <x:c r="A25" s="16" t="str">
        <x:v>Q2-024</x:v>
      </x:c>
      <x:c r="B25" s="16" t="str">
        <x:v>U08</x:v>
      </x:c>
      <x:c r="C25" s="16" t="str">
        <x:v>C</x:v>
      </x:c>
      <x:c r="D25" s="16" t="str">
        <x:v>BAT-C-03</x:v>
      </x:c>
      <x:c r="E25" s="22" t="n">
        <x:v>5422.786</x:v>
      </x:c>
      <x:c r="F25" s="16" t="str">
        <x:v>O01 → S011 → S005 → O01</x:v>
      </x:c>
      <x:c r="G25" s="22" t="n">
        <x:v>7727.954</x:v>
      </x:c>
      <x:c r="H25" s="14" t="n">
        <x:v>4.467964535576655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6" hidden="0" customWidth="1"/>
  </x:cols>
  <x:sheetData>
    <x:row r="1" ht="42" customHeight="1">
      <x:c r="A1" s="9" t="str">
        <x:v>货箱编号</x:v>
      </x:c>
      <x:c r="B1" s="9" t="str">
        <x:v>架次编号</x:v>
      </x:c>
      <x:c r="C1" s="9" t="str">
        <x:v>服务区编号</x:v>
      </x:c>
      <x:c r="D1" s="9" t="str">
        <x:v>交付完成时刻（s）</x:v>
      </x:c>
    </x:row>
    <x:row r="2" ht="30" customHeight="1">
      <x:c r="A2" s="12" t="str">
        <x:v>S001-FOD-01</x:v>
      </x:c>
      <x:c r="B2" s="12" t="str">
        <x:v>Q2-010</x:v>
      </x:c>
      <x:c r="C2" s="12" t="str">
        <x:v>S001</x:v>
      </x:c>
      <x:c r="D2" s="21" t="n">
        <x:v>2833.827</x:v>
      </x:c>
    </x:row>
    <x:row r="3" ht="30" customHeight="1">
      <x:c r="A3" s="16" t="str">
        <x:v>S001-FOD-02</x:v>
      </x:c>
      <x:c r="B3" s="16" t="str">
        <x:v>Q2-010</x:v>
      </x:c>
      <x:c r="C3" s="16" t="str">
        <x:v>S001</x:v>
      </x:c>
      <x:c r="D3" s="22" t="n">
        <x:v>2869.827</x:v>
      </x:c>
    </x:row>
    <x:row r="4" ht="30" customHeight="1">
      <x:c r="A4" s="12" t="str">
        <x:v>S001-FOD-03</x:v>
      </x:c>
      <x:c r="B4" s="12" t="str">
        <x:v>Q2-014</x:v>
      </x:c>
      <x:c r="C4" s="12" t="str">
        <x:v>S001</x:v>
      </x:c>
      <x:c r="D4" s="21" t="n">
        <x:v>3290.117</x:v>
      </x:c>
    </x:row>
    <x:row r="5" ht="30" customHeight="1">
      <x:c r="A5" s="16" t="str">
        <x:v>S001-HYG-01</x:v>
      </x:c>
      <x:c r="B5" s="16" t="str">
        <x:v>Q2-010</x:v>
      </x:c>
      <x:c r="C5" s="16" t="str">
        <x:v>S001</x:v>
      </x:c>
      <x:c r="D5" s="22" t="n">
        <x:v>2905.827</x:v>
      </x:c>
    </x:row>
    <x:row r="6" ht="30" customHeight="1">
      <x:c r="A6" s="12" t="str">
        <x:v>S001-HYG-02</x:v>
      </x:c>
      <x:c r="B6" s="12" t="str">
        <x:v>Q2-010</x:v>
      </x:c>
      <x:c r="C6" s="12" t="str">
        <x:v>S001</x:v>
      </x:c>
      <x:c r="D6" s="21" t="n">
        <x:v>2941.827</x:v>
      </x:c>
    </x:row>
    <x:row r="7" ht="30" customHeight="1">
      <x:c r="A7" s="16" t="str">
        <x:v>S001-MED-01</x:v>
      </x:c>
      <x:c r="B7" s="16" t="str">
        <x:v>Q2-010</x:v>
      </x:c>
      <x:c r="C7" s="16" t="str">
        <x:v>S001</x:v>
      </x:c>
      <x:c r="D7" s="22" t="n">
        <x:v>2653.827</x:v>
      </x:c>
    </x:row>
    <x:row r="8" ht="30" customHeight="1">
      <x:c r="A8" s="12" t="str">
        <x:v>S001-MED-02</x:v>
      </x:c>
      <x:c r="B8" s="12" t="str">
        <x:v>Q2-010</x:v>
      </x:c>
      <x:c r="C8" s="12" t="str">
        <x:v>S001</x:v>
      </x:c>
      <x:c r="D8" s="21" t="n">
        <x:v>2689.827</x:v>
      </x:c>
    </x:row>
    <x:row r="9" ht="30" customHeight="1">
      <x:c r="A9" s="16" t="str">
        <x:v>S001-WAT-01</x:v>
      </x:c>
      <x:c r="B9" s="16" t="str">
        <x:v>Q2-014</x:v>
      </x:c>
      <x:c r="C9" s="16" t="str">
        <x:v>S001</x:v>
      </x:c>
      <x:c r="D9" s="22" t="n">
        <x:v>3146.117</x:v>
      </x:c>
    </x:row>
    <x:row r="10" ht="30" customHeight="1">
      <x:c r="A10" s="12" t="str">
        <x:v>S001-WAT-02</x:v>
      </x:c>
      <x:c r="B10" s="12" t="str">
        <x:v>Q2-014</x:v>
      </x:c>
      <x:c r="C10" s="12" t="str">
        <x:v>S001</x:v>
      </x:c>
      <x:c r="D10" s="21" t="n">
        <x:v>3182.117</x:v>
      </x:c>
    </x:row>
    <x:row r="11" ht="30" customHeight="1">
      <x:c r="A11" s="16" t="str">
        <x:v>S001-WAT-03</x:v>
      </x:c>
      <x:c r="B11" s="16" t="str">
        <x:v>Q2-014</x:v>
      </x:c>
      <x:c r="C11" s="16" t="str">
        <x:v>S001</x:v>
      </x:c>
      <x:c r="D11" s="22" t="n">
        <x:v>3218.117</x:v>
      </x:c>
    </x:row>
    <x:row r="12" ht="30" customHeight="1">
      <x:c r="A12" s="12" t="str">
        <x:v>S001-WAT-04</x:v>
      </x:c>
      <x:c r="B12" s="12" t="str">
        <x:v>Q2-010</x:v>
      </x:c>
      <x:c r="C12" s="12" t="str">
        <x:v>S001</x:v>
      </x:c>
      <x:c r="D12" s="21" t="n">
        <x:v>2725.827</x:v>
      </x:c>
    </x:row>
    <x:row r="13" ht="30" customHeight="1">
      <x:c r="A13" s="16" t="str">
        <x:v>S001-WAT-05</x:v>
      </x:c>
      <x:c r="B13" s="16" t="str">
        <x:v>Q2-010</x:v>
      </x:c>
      <x:c r="C13" s="16" t="str">
        <x:v>S001</x:v>
      </x:c>
      <x:c r="D13" s="22" t="n">
        <x:v>2761.827</x:v>
      </x:c>
    </x:row>
    <x:row r="14" ht="30" customHeight="1">
      <x:c r="A14" s="12" t="str">
        <x:v>S001-WAT-06</x:v>
      </x:c>
      <x:c r="B14" s="12" t="str">
        <x:v>Q2-010</x:v>
      </x:c>
      <x:c r="C14" s="12" t="str">
        <x:v>S001</x:v>
      </x:c>
      <x:c r="D14" s="21" t="n">
        <x:v>2797.827</x:v>
      </x:c>
    </x:row>
    <x:row r="15" ht="30" customHeight="1">
      <x:c r="A15" s="16" t="str">
        <x:v>S001-WAT-07</x:v>
      </x:c>
      <x:c r="B15" s="16" t="str">
        <x:v>Q2-015</x:v>
      </x:c>
      <x:c r="C15" s="16" t="str">
        <x:v>S001</x:v>
      </x:c>
      <x:c r="D15" s="22" t="n">
        <x:v>3603.991</x:v>
      </x:c>
    </x:row>
    <x:row r="16" ht="30" customHeight="1">
      <x:c r="A16" s="12" t="str">
        <x:v>S001-WAT-08</x:v>
      </x:c>
      <x:c r="B16" s="12" t="str">
        <x:v>Q2-014</x:v>
      </x:c>
      <x:c r="C16" s="12" t="str">
        <x:v>S001</x:v>
      </x:c>
      <x:c r="D16" s="21" t="n">
        <x:v>3254.117</x:v>
      </x:c>
    </x:row>
    <x:row r="17" ht="30" customHeight="1">
      <x:c r="A17" s="16" t="str">
        <x:v>S002-FOD-01</x:v>
      </x:c>
      <x:c r="B17" s="16" t="str">
        <x:v>Q2-002</x:v>
      </x:c>
      <x:c r="C17" s="16" t="str">
        <x:v>S002</x:v>
      </x:c>
      <x:c r="D17" s="22" t="n">
        <x:v>1481.332</x:v>
      </x:c>
    </x:row>
    <x:row r="18" ht="30" customHeight="1">
      <x:c r="A18" s="12" t="str">
        <x:v>S002-FOD-02</x:v>
      </x:c>
      <x:c r="B18" s="12" t="str">
        <x:v>Q2-002</x:v>
      </x:c>
      <x:c r="C18" s="12" t="str">
        <x:v>S002</x:v>
      </x:c>
      <x:c r="D18" s="21" t="n">
        <x:v>1517.332</x:v>
      </x:c>
    </x:row>
    <x:row r="19" ht="30" customHeight="1">
      <x:c r="A19" s="16" t="str">
        <x:v>S002-HYG-01</x:v>
      </x:c>
      <x:c r="B19" s="16" t="str">
        <x:v>Q2-002</x:v>
      </x:c>
      <x:c r="C19" s="16" t="str">
        <x:v>S002</x:v>
      </x:c>
      <x:c r="D19" s="22" t="n">
        <x:v>1553.332</x:v>
      </x:c>
    </x:row>
    <x:row r="20" ht="30" customHeight="1">
      <x:c r="A20" s="12" t="str">
        <x:v>S002-MED-01</x:v>
      </x:c>
      <x:c r="B20" s="12" t="str">
        <x:v>Q2-002</x:v>
      </x:c>
      <x:c r="C20" s="12" t="str">
        <x:v>S002</x:v>
      </x:c>
      <x:c r="D20" s="21" t="n">
        <x:v>1337.332</x:v>
      </x:c>
    </x:row>
    <x:row r="21" ht="30" customHeight="1">
      <x:c r="A21" s="16" t="str">
        <x:v>S002-WAT-01</x:v>
      </x:c>
      <x:c r="B21" s="16" t="str">
        <x:v>Q2-002</x:v>
      </x:c>
      <x:c r="C21" s="16" t="str">
        <x:v>S002</x:v>
      </x:c>
      <x:c r="D21" s="22" t="n">
        <x:v>1373.332</x:v>
      </x:c>
    </x:row>
    <x:row r="22" ht="30" customHeight="1">
      <x:c r="A22" s="12" t="str">
        <x:v>S002-WAT-02</x:v>
      </x:c>
      <x:c r="B22" s="12" t="str">
        <x:v>Q2-012</x:v>
      </x:c>
      <x:c r="C22" s="12" t="str">
        <x:v>S002</x:v>
      </x:c>
      <x:c r="D22" s="21" t="n">
        <x:v>2951.296</x:v>
      </x:c>
    </x:row>
    <x:row r="23" ht="30" customHeight="1">
      <x:c r="A23" s="16" t="str">
        <x:v>S002-WAT-03</x:v>
      </x:c>
      <x:c r="B23" s="16" t="str">
        <x:v>Q2-002</x:v>
      </x:c>
      <x:c r="C23" s="16" t="str">
        <x:v>S002</x:v>
      </x:c>
      <x:c r="D23" s="22" t="n">
        <x:v>1409.332</x:v>
      </x:c>
    </x:row>
    <x:row r="24" ht="30" customHeight="1">
      <x:c r="A24" s="12" t="str">
        <x:v>S002-WAT-04</x:v>
      </x:c>
      <x:c r="B24" s="12" t="str">
        <x:v>Q2-002</x:v>
      </x:c>
      <x:c r="C24" s="12" t="str">
        <x:v>S002</x:v>
      </x:c>
      <x:c r="D24" s="21" t="n">
        <x:v>1445.332</x:v>
      </x:c>
    </x:row>
    <x:row r="25" ht="30" customHeight="1">
      <x:c r="A25" s="16" t="str">
        <x:v>S003-FOD-01</x:v>
      </x:c>
      <x:c r="B25" s="16" t="str">
        <x:v>Q2-022</x:v>
      </x:c>
      <x:c r="C25" s="16" t="str">
        <x:v>S003</x:v>
      </x:c>
      <x:c r="D25" s="22" t="n">
        <x:v>6347.823</x:v>
      </x:c>
    </x:row>
    <x:row r="26" ht="30" customHeight="1">
      <x:c r="A26" s="12" t="str">
        <x:v>S003-FOD-02</x:v>
      </x:c>
      <x:c r="B26" s="12" t="str">
        <x:v>Q2-022</x:v>
      </x:c>
      <x:c r="C26" s="12" t="str">
        <x:v>S003</x:v>
      </x:c>
      <x:c r="D26" s="21" t="n">
        <x:v>6383.823</x:v>
      </x:c>
    </x:row>
    <x:row r="27" ht="30" customHeight="1">
      <x:c r="A27" s="16" t="str">
        <x:v>S003-HYG-01</x:v>
      </x:c>
      <x:c r="B27" s="16" t="str">
        <x:v>Q2-022</x:v>
      </x:c>
      <x:c r="C27" s="16" t="str">
        <x:v>S003</x:v>
      </x:c>
      <x:c r="D27" s="22" t="n">
        <x:v>6419.823</x:v>
      </x:c>
    </x:row>
    <x:row r="28" ht="30" customHeight="1">
      <x:c r="A28" s="12" t="str">
        <x:v>S003-MED-01</x:v>
      </x:c>
      <x:c r="B28" s="12" t="str">
        <x:v>Q2-022</x:v>
      </x:c>
      <x:c r="C28" s="12" t="str">
        <x:v>S003</x:v>
      </x:c>
      <x:c r="D28" s="21" t="n">
        <x:v>6203.823</x:v>
      </x:c>
    </x:row>
    <x:row r="29" ht="30" customHeight="1">
      <x:c r="A29" s="16" t="str">
        <x:v>S003-WAT-01</x:v>
      </x:c>
      <x:c r="B29" s="16" t="str">
        <x:v>Q2-022</x:v>
      </x:c>
      <x:c r="C29" s="16" t="str">
        <x:v>S003</x:v>
      </x:c>
      <x:c r="D29" s="22" t="n">
        <x:v>6239.823</x:v>
      </x:c>
    </x:row>
    <x:row r="30" ht="30" customHeight="1">
      <x:c r="A30" s="12" t="str">
        <x:v>S003-WAT-02</x:v>
      </x:c>
      <x:c r="B30" s="12" t="str">
        <x:v>Q2-022</x:v>
      </x:c>
      <x:c r="C30" s="12" t="str">
        <x:v>S003</x:v>
      </x:c>
      <x:c r="D30" s="21" t="n">
        <x:v>6275.823</x:v>
      </x:c>
    </x:row>
    <x:row r="31" ht="30" customHeight="1">
      <x:c r="A31" s="16" t="str">
        <x:v>S003-WAT-03</x:v>
      </x:c>
      <x:c r="B31" s="16" t="str">
        <x:v>Q2-019</x:v>
      </x:c>
      <x:c r="C31" s="16" t="str">
        <x:v>S003</x:v>
      </x:c>
      <x:c r="D31" s="22" t="n">
        <x:v>4744.278</x:v>
      </x:c>
    </x:row>
    <x:row r="32" ht="30" customHeight="1">
      <x:c r="A32" s="12" t="str">
        <x:v>S003-WAT-04</x:v>
      </x:c>
      <x:c r="B32" s="12" t="str">
        <x:v>Q2-022</x:v>
      </x:c>
      <x:c r="C32" s="12" t="str">
        <x:v>S003</x:v>
      </x:c>
      <x:c r="D32" s="21" t="n">
        <x:v>6311.823</x:v>
      </x:c>
    </x:row>
    <x:row r="33" ht="30" customHeight="1">
      <x:c r="A33" s="16" t="str">
        <x:v>S004-FOD-01</x:v>
      </x:c>
      <x:c r="B33" s="16" t="str">
        <x:v>Q2-013</x:v>
      </x:c>
      <x:c r="C33" s="16" t="str">
        <x:v>S004</x:v>
      </x:c>
      <x:c r="D33" s="22" t="n">
        <x:v>3459.494</x:v>
      </x:c>
    </x:row>
    <x:row r="34" ht="30" customHeight="1">
      <x:c r="A34" s="12" t="str">
        <x:v>S004-HYG-01</x:v>
      </x:c>
      <x:c r="B34" s="12" t="str">
        <x:v>Q2-018</x:v>
      </x:c>
      <x:c r="C34" s="12" t="str">
        <x:v>S004</x:v>
      </x:c>
      <x:c r="D34" s="21" t="n">
        <x:v>4705.228</x:v>
      </x:c>
    </x:row>
    <x:row r="35" ht="30" customHeight="1">
      <x:c r="A35" s="16" t="str">
        <x:v>S004-MED-01</x:v>
      </x:c>
      <x:c r="B35" s="16" t="str">
        <x:v>Q2-013</x:v>
      </x:c>
      <x:c r="C35" s="16" t="str">
        <x:v>S004</x:v>
      </x:c>
      <x:c r="D35" s="22" t="n">
        <x:v>3429.494</x:v>
      </x:c>
    </x:row>
    <x:row r="36" ht="30" customHeight="1">
      <x:c r="A36" s="12" t="str">
        <x:v>S004-WAT-01</x:v>
      </x:c>
      <x:c r="B36" s="12" t="str">
        <x:v>Q2-018</x:v>
      </x:c>
      <x:c r="C36" s="12" t="str">
        <x:v>S004</x:v>
      </x:c>
      <x:c r="D36" s="21" t="n">
        <x:v>4597.228</x:v>
      </x:c>
    </x:row>
    <x:row r="37" ht="30" customHeight="1">
      <x:c r="A37" s="16" t="str">
        <x:v>S004-WAT-02</x:v>
      </x:c>
      <x:c r="B37" s="16" t="str">
        <x:v>Q2-018</x:v>
      </x:c>
      <x:c r="C37" s="16" t="str">
        <x:v>S004</x:v>
      </x:c>
      <x:c r="D37" s="22" t="n">
        <x:v>4633.228</x:v>
      </x:c>
    </x:row>
    <x:row r="38" ht="30" customHeight="1">
      <x:c r="A38" s="12" t="str">
        <x:v>S004-WAT-03</x:v>
      </x:c>
      <x:c r="B38" s="12" t="str">
        <x:v>Q2-018</x:v>
      </x:c>
      <x:c r="C38" s="12" t="str">
        <x:v>S004</x:v>
      </x:c>
      <x:c r="D38" s="21" t="n">
        <x:v>4669.228</x:v>
      </x:c>
    </x:row>
    <x:row r="39" ht="30" customHeight="1">
      <x:c r="A39" s="16" t="str">
        <x:v>S005-FOD-01</x:v>
      </x:c>
      <x:c r="B39" s="16" t="str">
        <x:v>Q2-024</x:v>
      </x:c>
      <x:c r="C39" s="16" t="str">
        <x:v>S005</x:v>
      </x:c>
      <x:c r="D39" s="22" t="n">
        <x:v>7187.994</x:v>
      </x:c>
    </x:row>
    <x:row r="40" ht="30" customHeight="1">
      <x:c r="A40" s="12" t="str">
        <x:v>S005-HYG-01</x:v>
      </x:c>
      <x:c r="B40" s="12" t="str">
        <x:v>Q2-024</x:v>
      </x:c>
      <x:c r="C40" s="12" t="str">
        <x:v>S005</x:v>
      </x:c>
      <x:c r="D40" s="21" t="n">
        <x:v>7223.994</x:v>
      </x:c>
    </x:row>
    <x:row r="41" ht="30" customHeight="1">
      <x:c r="A41" s="16" t="str">
        <x:v>S005-MED-01</x:v>
      </x:c>
      <x:c r="B41" s="16" t="str">
        <x:v>Q2-024</x:v>
      </x:c>
      <x:c r="C41" s="16" t="str">
        <x:v>S005</x:v>
      </x:c>
      <x:c r="D41" s="22" t="n">
        <x:v>7079.994</x:v>
      </x:c>
    </x:row>
    <x:row r="42" ht="30" customHeight="1">
      <x:c r="A42" s="12" t="str">
        <x:v>S005-WAT-01</x:v>
      </x:c>
      <x:c r="B42" s="12" t="str">
        <x:v>Q2-024</x:v>
      </x:c>
      <x:c r="C42" s="12" t="str">
        <x:v>S005</x:v>
      </x:c>
      <x:c r="D42" s="21" t="n">
        <x:v>7115.994</x:v>
      </x:c>
    </x:row>
    <x:row r="43" ht="30" customHeight="1">
      <x:c r="A43" s="16" t="str">
        <x:v>S005-WAT-02</x:v>
      </x:c>
      <x:c r="B43" s="16" t="str">
        <x:v>Q2-024</x:v>
      </x:c>
      <x:c r="C43" s="16" t="str">
        <x:v>S005</x:v>
      </x:c>
      <x:c r="D43" s="22" t="n">
        <x:v>7151.994</x:v>
      </x:c>
    </x:row>
    <x:row r="44" ht="30" customHeight="1">
      <x:c r="A44" s="12" t="str">
        <x:v>S005-WAT-03</x:v>
      </x:c>
      <x:c r="B44" s="12" t="str">
        <x:v>Q2-013</x:v>
      </x:c>
      <x:c r="C44" s="12" t="str">
        <x:v>S005</x:v>
      </x:c>
      <x:c r="D44" s="21" t="n">
        <x:v>2963.669</x:v>
      </x:c>
    </x:row>
    <x:row r="45" ht="30" customHeight="1">
      <x:c r="A45" s="16" t="str">
        <x:v>S006-FOD-01</x:v>
      </x:c>
      <x:c r="B45" s="16" t="str">
        <x:v>Q2-008</x:v>
      </x:c>
      <x:c r="C45" s="16" t="str">
        <x:v>S006</x:v>
      </x:c>
      <x:c r="D45" s="22" t="n">
        <x:v>1173.422</x:v>
      </x:c>
    </x:row>
    <x:row r="46" ht="30" customHeight="1">
      <x:c r="A46" s="12" t="str">
        <x:v>S006-HYG-01</x:v>
      </x:c>
      <x:c r="B46" s="12" t="str">
        <x:v>Q2-008</x:v>
      </x:c>
      <x:c r="C46" s="12" t="str">
        <x:v>S006</x:v>
      </x:c>
      <x:c r="D46" s="21" t="n">
        <x:v>1209.422</x:v>
      </x:c>
    </x:row>
    <x:row r="47" ht="30" customHeight="1">
      <x:c r="A47" s="16" t="str">
        <x:v>S006-MED-01</x:v>
      </x:c>
      <x:c r="B47" s="16" t="str">
        <x:v>Q2-008</x:v>
      </x:c>
      <x:c r="C47" s="16" t="str">
        <x:v>S006</x:v>
      </x:c>
      <x:c r="D47" s="22" t="n">
        <x:v>1029.422</x:v>
      </x:c>
    </x:row>
    <x:row r="48" ht="30" customHeight="1">
      <x:c r="A48" s="12" t="str">
        <x:v>S006-WAT-01</x:v>
      </x:c>
      <x:c r="B48" s="12" t="str">
        <x:v>Q2-008</x:v>
      </x:c>
      <x:c r="C48" s="12" t="str">
        <x:v>S006</x:v>
      </x:c>
      <x:c r="D48" s="21" t="n">
        <x:v>1065.422</x:v>
      </x:c>
    </x:row>
    <x:row r="49" ht="30" customHeight="1">
      <x:c r="A49" s="16" t="str">
        <x:v>S006-WAT-02</x:v>
      </x:c>
      <x:c r="B49" s="16" t="str">
        <x:v>Q2-008</x:v>
      </x:c>
      <x:c r="C49" s="16" t="str">
        <x:v>S006</x:v>
      </x:c>
      <x:c r="D49" s="22" t="n">
        <x:v>1101.422</x:v>
      </x:c>
    </x:row>
    <x:row r="50" ht="30" customHeight="1">
      <x:c r="A50" s="12" t="str">
        <x:v>S006-WAT-03</x:v>
      </x:c>
      <x:c r="B50" s="12" t="str">
        <x:v>Q2-008</x:v>
      </x:c>
      <x:c r="C50" s="12" t="str">
        <x:v>S006</x:v>
      </x:c>
      <x:c r="D50" s="21" t="n">
        <x:v>1137.422</x:v>
      </x:c>
    </x:row>
    <x:row r="51" ht="30" customHeight="1">
      <x:c r="A51" s="16" t="str">
        <x:v>S007-FOD-01</x:v>
      </x:c>
      <x:c r="B51" s="16" t="str">
        <x:v>Q2-004</x:v>
      </x:c>
      <x:c r="C51" s="16" t="str">
        <x:v>S007</x:v>
      </x:c>
      <x:c r="D51" s="22" t="n">
        <x:v>1141.374</x:v>
      </x:c>
    </x:row>
    <x:row r="52" ht="30" customHeight="1">
      <x:c r="A52" s="12" t="str">
        <x:v>S007-HYG-01</x:v>
      </x:c>
      <x:c r="B52" s="12" t="str">
        <x:v>Q2-007</x:v>
      </x:c>
      <x:c r="C52" s="12" t="str">
        <x:v>S007</x:v>
      </x:c>
      <x:c r="D52" s="21" t="n">
        <x:v>1141.374</x:v>
      </x:c>
    </x:row>
    <x:row r="53" ht="30" customHeight="1">
      <x:c r="A53" s="16" t="str">
        <x:v>S007-MED-01</x:v>
      </x:c>
      <x:c r="B53" s="16" t="str">
        <x:v>Q2-007</x:v>
      </x:c>
      <x:c r="C53" s="16" t="str">
        <x:v>S007</x:v>
      </x:c>
      <x:c r="D53" s="22" t="n">
        <x:v>1111.374</x:v>
      </x:c>
    </x:row>
    <x:row r="54" ht="30" customHeight="1">
      <x:c r="A54" s="12" t="str">
        <x:v>S007-WAT-01</x:v>
      </x:c>
      <x:c r="B54" s="12" t="str">
        <x:v>Q2-004</x:v>
      </x:c>
      <x:c r="C54" s="12" t="str">
        <x:v>S007</x:v>
      </x:c>
      <x:c r="D54" s="21" t="n">
        <x:v>1111.374</x:v>
      </x:c>
    </x:row>
    <x:row r="55" ht="30" customHeight="1">
      <x:c r="A55" s="16" t="str">
        <x:v>S007-WAT-02</x:v>
      </x:c>
      <x:c r="B55" s="16" t="str">
        <x:v>Q2-011</x:v>
      </x:c>
      <x:c r="C55" s="16" t="str">
        <x:v>S007</x:v>
      </x:c>
      <x:c r="D55" s="22" t="n">
        <x:v>2808.842</x:v>
      </x:c>
    </x:row>
    <x:row r="56" ht="30" customHeight="1">
      <x:c r="A56" s="12" t="str">
        <x:v>S008-FOD-01</x:v>
      </x:c>
      <x:c r="B56" s="12" t="str">
        <x:v>Q2-017</x:v>
      </x:c>
      <x:c r="C56" s="12" t="str">
        <x:v>S008</x:v>
      </x:c>
      <x:c r="D56" s="21" t="n">
        <x:v>4357.066</x:v>
      </x:c>
    </x:row>
    <x:row r="57" ht="30" customHeight="1">
      <x:c r="A57" s="16" t="str">
        <x:v>S008-HYG-01</x:v>
      </x:c>
      <x:c r="B57" s="16" t="str">
        <x:v>Q2-020</x:v>
      </x:c>
      <x:c r="C57" s="16" t="str">
        <x:v>S008</x:v>
      </x:c>
      <x:c r="D57" s="22" t="n">
        <x:v>4977.044</x:v>
      </x:c>
    </x:row>
    <x:row r="58" ht="30" customHeight="1">
      <x:c r="A58" s="12" t="str">
        <x:v>S008-MED-01</x:v>
      </x:c>
      <x:c r="B58" s="12" t="str">
        <x:v>Q2-017</x:v>
      </x:c>
      <x:c r="C58" s="12" t="str">
        <x:v>S008</x:v>
      </x:c>
      <x:c r="D58" s="21" t="n">
        <x:v>4297.066</x:v>
      </x:c>
    </x:row>
    <x:row r="59" ht="30" customHeight="1">
      <x:c r="A59" s="16" t="str">
        <x:v>S008-WAT-01</x:v>
      </x:c>
      <x:c r="B59" s="16" t="str">
        <x:v>Q2-017</x:v>
      </x:c>
      <x:c r="C59" s="16" t="str">
        <x:v>S008</x:v>
      </x:c>
      <x:c r="D59" s="22" t="n">
        <x:v>4327.066</x:v>
      </x:c>
    </x:row>
    <x:row r="60" ht="30" customHeight="1">
      <x:c r="A60" s="12" t="str">
        <x:v>S008-WAT-02</x:v>
      </x:c>
      <x:c r="B60" s="12" t="str">
        <x:v>Q2-016</x:v>
      </x:c>
      <x:c r="C60" s="12" t="str">
        <x:v>S008</x:v>
      </x:c>
      <x:c r="D60" s="21" t="n">
        <x:v>4102.658</x:v>
      </x:c>
    </x:row>
    <x:row r="61" ht="30" customHeight="1">
      <x:c r="A61" s="16" t="str">
        <x:v>S009-FOD-01</x:v>
      </x:c>
      <x:c r="B61" s="16" t="str">
        <x:v>Q2-023</x:v>
      </x:c>
      <x:c r="C61" s="16" t="str">
        <x:v>S009</x:v>
      </x:c>
      <x:c r="D61" s="22" t="n">
        <x:v>6118.583</x:v>
      </x:c>
    </x:row>
    <x:row r="62" ht="30" customHeight="1">
      <x:c r="A62" s="12" t="str">
        <x:v>S009-MED-01</x:v>
      </x:c>
      <x:c r="B62" s="12" t="str">
        <x:v>Q2-023</x:v>
      </x:c>
      <x:c r="C62" s="12" t="str">
        <x:v>S009</x:v>
      </x:c>
      <x:c r="D62" s="21" t="n">
        <x:v>6058.583</x:v>
      </x:c>
    </x:row>
    <x:row r="63" ht="30" customHeight="1">
      <x:c r="A63" s="16" t="str">
        <x:v>S009-WAT-01</x:v>
      </x:c>
      <x:c r="B63" s="16" t="str">
        <x:v>Q2-023</x:v>
      </x:c>
      <x:c r="C63" s="16" t="str">
        <x:v>S009</x:v>
      </x:c>
      <x:c r="D63" s="22" t="n">
        <x:v>6088.583</x:v>
      </x:c>
    </x:row>
    <x:row r="64" ht="30" customHeight="1">
      <x:c r="A64" s="12" t="str">
        <x:v>S010-FOD-01</x:v>
      </x:c>
      <x:c r="B64" s="12" t="str">
        <x:v>Q2-005</x:v>
      </x:c>
      <x:c r="C64" s="12" t="str">
        <x:v>S010</x:v>
      </x:c>
      <x:c r="D64" s="21" t="n">
        <x:v>1085.239</x:v>
      </x:c>
    </x:row>
    <x:row r="65" ht="30" customHeight="1">
      <x:c r="A65" s="16" t="str">
        <x:v>S010-MED-01</x:v>
      </x:c>
      <x:c r="B65" s="16" t="str">
        <x:v>Q2-005</x:v>
      </x:c>
      <x:c r="C65" s="16" t="str">
        <x:v>S010</x:v>
      </x:c>
      <x:c r="D65" s="22" t="n">
        <x:v>1025.239</x:v>
      </x:c>
    </x:row>
    <x:row r="66" ht="30" customHeight="1">
      <x:c r="A66" s="12" t="str">
        <x:v>S010-WAT-01</x:v>
      </x:c>
      <x:c r="B66" s="12" t="str">
        <x:v>Q2-005</x:v>
      </x:c>
      <x:c r="C66" s="12" t="str">
        <x:v>S010</x:v>
      </x:c>
      <x:c r="D66" s="21" t="n">
        <x:v>1055.239</x:v>
      </x:c>
    </x:row>
    <x:row r="67" ht="30" customHeight="1">
      <x:c r="A67" s="16" t="str">
        <x:v>S011-FOD-01</x:v>
      </x:c>
      <x:c r="B67" s="16" t="str">
        <x:v>Q2-024</x:v>
      </x:c>
      <x:c r="C67" s="16" t="str">
        <x:v>S011</x:v>
      </x:c>
      <x:c r="D67" s="22" t="n">
        <x:v>6546.689</x:v>
      </x:c>
    </x:row>
    <x:row r="68" ht="30" customHeight="1">
      <x:c r="A68" s="12" t="str">
        <x:v>S011-MED-01</x:v>
      </x:c>
      <x:c r="B68" s="12" t="str">
        <x:v>Q2-024</x:v>
      </x:c>
      <x:c r="C68" s="12" t="str">
        <x:v>S011</x:v>
      </x:c>
      <x:c r="D68" s="21" t="n">
        <x:v>6474.689</x:v>
      </x:c>
    </x:row>
    <x:row r="69" ht="30" customHeight="1">
      <x:c r="A69" s="16" t="str">
        <x:v>S011-WAT-01</x:v>
      </x:c>
      <x:c r="B69" s="16" t="str">
        <x:v>Q2-024</x:v>
      </x:c>
      <x:c r="C69" s="16" t="str">
        <x:v>S011</x:v>
      </x:c>
      <x:c r="D69" s="22" t="n">
        <x:v>6510.689</x:v>
      </x:c>
    </x:row>
    <x:row r="70" ht="30" customHeight="1">
      <x:c r="A70" s="12" t="str">
        <x:v>S012-FOD-01</x:v>
      </x:c>
      <x:c r="B70" s="12" t="str">
        <x:v>Q2-001</x:v>
      </x:c>
      <x:c r="C70" s="12" t="str">
        <x:v>S012</x:v>
      </x:c>
      <x:c r="D70" s="21" t="n">
        <x:v>1271.344</x:v>
      </x:c>
    </x:row>
    <x:row r="71" ht="30" customHeight="1">
      <x:c r="A71" s="16" t="str">
        <x:v>S012-MED-01</x:v>
      </x:c>
      <x:c r="B71" s="16" t="str">
        <x:v>Q2-001</x:v>
      </x:c>
      <x:c r="C71" s="16" t="str">
        <x:v>S012</x:v>
      </x:c>
      <x:c r="D71" s="22" t="n">
        <x:v>1241.344</x:v>
      </x:c>
    </x:row>
    <x:row r="72" ht="30" customHeight="1">
      <x:c r="A72" s="12" t="str">
        <x:v>S012-WAT-01</x:v>
      </x:c>
      <x:c r="B72" s="12" t="str">
        <x:v>Q2-001</x:v>
      </x:c>
      <x:c r="C72" s="12" t="str">
        <x:v>S012</x:v>
      </x:c>
      <x:c r="D72" s="21" t="n">
        <x:v>1211.344</x:v>
      </x:c>
    </x:row>
    <x:row r="73" ht="30" customHeight="1">
      <x:c r="A73" s="16" t="str">
        <x:v>S013-FOD-01</x:v>
      </x:c>
      <x:c r="B73" s="16" t="str">
        <x:v>Q2-009</x:v>
      </x:c>
      <x:c r="C73" s="16" t="str">
        <x:v>S013</x:v>
      </x:c>
      <x:c r="D73" s="22" t="n">
        <x:v>2618.195</x:v>
      </x:c>
    </x:row>
    <x:row r="74" ht="30" customHeight="1">
      <x:c r="A74" s="12" t="str">
        <x:v>S013-MED-01</x:v>
      </x:c>
      <x:c r="B74" s="12" t="str">
        <x:v>Q2-009</x:v>
      </x:c>
      <x:c r="C74" s="12" t="str">
        <x:v>S013</x:v>
      </x:c>
      <x:c r="D74" s="21" t="n">
        <x:v>2558.195</x:v>
      </x:c>
    </x:row>
    <x:row r="75" ht="30" customHeight="1">
      <x:c r="A75" s="16" t="str">
        <x:v>S013-WAT-01</x:v>
      </x:c>
      <x:c r="B75" s="16" t="str">
        <x:v>Q2-009</x:v>
      </x:c>
      <x:c r="C75" s="16" t="str">
        <x:v>S013</x:v>
      </x:c>
      <x:c r="D75" s="22" t="n">
        <x:v>2588.195</x:v>
      </x:c>
    </x:row>
    <x:row r="76" ht="30" customHeight="1">
      <x:c r="A76" s="12" t="str">
        <x:v>S014-FOD-01</x:v>
      </x:c>
      <x:c r="B76" s="12" t="str">
        <x:v>Q2-006</x:v>
      </x:c>
      <x:c r="C76" s="12" t="str">
        <x:v>S014</x:v>
      </x:c>
      <x:c r="D76" s="21" t="n">
        <x:v>1272.757</x:v>
      </x:c>
    </x:row>
    <x:row r="77" ht="30" customHeight="1">
      <x:c r="A77" s="16" t="str">
        <x:v>S014-MED-01</x:v>
      </x:c>
      <x:c r="B77" s="16" t="str">
        <x:v>Q2-006</x:v>
      </x:c>
      <x:c r="C77" s="16" t="str">
        <x:v>S014</x:v>
      </x:c>
      <x:c r="D77" s="22" t="n">
        <x:v>1242.757</x:v>
      </x:c>
    </x:row>
    <x:row r="78" ht="30" customHeight="1">
      <x:c r="A78" s="12" t="str">
        <x:v>S014-WAT-01</x:v>
      </x:c>
      <x:c r="B78" s="12" t="str">
        <x:v>Q2-003</x:v>
      </x:c>
      <x:c r="C78" s="12" t="str">
        <x:v>S014</x:v>
      </x:c>
      <x:c r="D78" s="21" t="n">
        <x:v>1212.757</x:v>
      </x:c>
    </x:row>
    <x:row r="79" ht="30" customHeight="1">
      <x:c r="A79" s="16" t="str">
        <x:v>S015-FOD-01</x:v>
      </x:c>
      <x:c r="B79" s="16" t="str">
        <x:v>Q2-021</x:v>
      </x:c>
      <x:c r="C79" s="16" t="str">
        <x:v>S015</x:v>
      </x:c>
      <x:c r="D79" s="22" t="n">
        <x:v>5356.273</x:v>
      </x:c>
    </x:row>
    <x:row r="80" ht="30" customHeight="1">
      <x:c r="A80" s="12" t="str">
        <x:v>S015-MED-01</x:v>
      </x:c>
      <x:c r="B80" s="12" t="str">
        <x:v>Q2-021</x:v>
      </x:c>
      <x:c r="C80" s="12" t="str">
        <x:v>S015</x:v>
      </x:c>
      <x:c r="D80" s="21" t="n">
        <x:v>5296.273</x:v>
      </x:c>
    </x:row>
    <x:row r="81" ht="30" customHeight="1">
      <x:c r="A81" s="16" t="str">
        <x:v>S015-WAT-01</x:v>
      </x:c>
      <x:c r="B81" s="16" t="str">
        <x:v>Q2-021</x:v>
      </x:c>
      <x:c r="C81" s="16" t="str">
        <x:v>S015</x:v>
      </x:c>
      <x:c r="D81" s="22" t="n">
        <x:v>5326.273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42" customHeight="1">
      <x:c r="A1" s="9" t="str">
        <x:v>架次</x:v>
      </x:c>
      <x:c r="B1" s="9" t="str">
        <x:v>货箱列表</x:v>
      </x:c>
      <x:c r="C1" s="9" t="str">
        <x:v>质量kg</x:v>
      </x:c>
      <x:c r="D1" s="9" t="str">
        <x:v>体积m³</x:v>
      </x:c>
      <x:c r="E1" s="9" t="str">
        <x:v>离地时刻s</x:v>
      </x:c>
      <x:c r="F1" s="9" t="str">
        <x:v>飞行时间s</x:v>
      </x:c>
      <x:c r="G1" s="9" t="str">
        <x:v>累计作业时间s</x:v>
      </x:c>
      <x:c r="H1" s="9" t="str">
        <x:v>返航SOC</x:v>
      </x:c>
      <x:c r="I1" s="9" t="str">
        <x:v>飞行取整裕量s</x:v>
      </x:c>
    </x:row>
    <x:row r="2" ht="30" customHeight="1">
      <x:c r="A2" s="12" t="str">
        <x:v>Q2-001</x:v>
      </x:c>
      <x:c r="B2" s="24" t="str">
        <x:v>S012-FOD-01; S012-MED-01; S012-WAT-01</x:v>
      </x:c>
      <x:c r="C2" s="5" t="n">
        <x:v>25</x:v>
      </x:c>
      <x:c r="D2" s="21" t="n">
        <x:v>0.067</x:v>
      </x:c>
      <x:c r="E2" s="21" t="n">
        <x:v>390</x:v>
      </x:c>
      <x:c r="F2" s="21" t="n">
        <x:v>1292.8268141491867</x:v>
      </x:c>
      <x:c r="G2" s="21" t="n">
        <x:v>1922.828</x:v>
      </x:c>
      <x:c r="H2" s="23" t="n">
        <x:v>0.3118500114275169</x:v>
      </x:c>
      <x:c r="I2" s="10" t="n">
        <x:v>0.001185850813271827</x:v>
      </x:c>
    </x:row>
    <x:row r="3" ht="30" customHeight="1">
      <x:c r="A3" s="16" t="str">
        <x:v>Q2-002</x:v>
      </x:c>
      <x:c r="B3" s="26" t="str">
        <x:v>S002-FOD-01; S002-FOD-02; S002-HYG-01; S002-MED-01; S002-WAT-01; S002-WAT-03; S002-WAT-04</x:v>
      </x:c>
      <x:c r="C3" s="13" t="n">
        <x:v>67</x:v>
      </x:c>
      <x:c r="D3" s="22" t="n">
        <x:v>0.184</x:v>
      </x:c>
      <x:c r="E3" s="22" t="n">
        <x:v>510</x:v>
      </x:c>
      <x:c r="F3" s="22" t="n">
        <x:v>1231.8421660245544</x:v>
      </x:c>
      <x:c r="G3" s="22" t="n">
        <x:v>2173.844</x:v>
      </x:c>
      <x:c r="H3" s="25" t="n">
        <x:v>0.21487871794821667</x:v>
      </x:c>
      <x:c r="I3" s="14" t="n">
        <x:v>0.0018339754456064838</x:v>
      </x:c>
    </x:row>
    <x:row r="4" ht="30" customHeight="1">
      <x:c r="A4" s="12" t="str">
        <x:v>Q2-003</x:v>
      </x:c>
      <x:c r="B4" s="12" t="str">
        <x:v>S014-WAT-01</x:v>
      </x:c>
      <x:c r="C4" s="5" t="n">
        <x:v>14</x:v>
      </x:c>
      <x:c r="D4" s="21" t="n">
        <x:v>0.027</x:v>
      </x:c>
      <x:c r="E4" s="21" t="n">
        <x:v>330</x:v>
      </x:c>
      <x:c r="F4" s="21" t="n">
        <x:v>1420.3988852767495</x:v>
      </x:c>
      <x:c r="G4" s="21" t="n">
        <x:v>1930.4</x:v>
      </x:c>
      <x:c r="H4" s="23" t="n">
        <x:v>0.4996382664339062</x:v>
      </x:c>
      <x:c r="I4" s="10" t="n">
        <x:v>0.0011147232504526983</x:v>
      </x:c>
    </x:row>
    <x:row r="5" ht="30" customHeight="1">
      <x:c r="A5" s="16" t="str">
        <x:v>Q2-004</x:v>
      </x:c>
      <x:c r="B5" s="16" t="str">
        <x:v>S007-FOD-01; S007-WAT-01</x:v>
      </x:c>
      <x:c r="C5" s="13" t="n">
        <x:v>22</x:v>
      </x:c>
      <x:c r="D5" s="22" t="n">
        <x:v>0.055</x:v>
      </x:c>
      <x:c r="E5" s="22" t="n">
        <x:v>360</x:v>
      </x:c>
      <x:c r="F5" s="22" t="n">
        <x:v>1157.4668858917819</x:v>
      </x:c>
      <x:c r="G5" s="22" t="n">
        <x:v>1727.468</x:v>
      </x:c>
      <x:c r="H5" s="25" t="n">
        <x:v>0.562008109850636</x:v>
      </x:c>
      <x:c r="I5" s="14" t="n">
        <x:v>0.001114108218189358</x:v>
      </x:c>
    </x:row>
    <x:row r="6" ht="30" customHeight="1">
      <x:c r="A6" s="12" t="str">
        <x:v>Q2-005</x:v>
      </x:c>
      <x:c r="B6" s="24" t="str">
        <x:v>S010-FOD-01; S010-MED-01; S010-WAT-01</x:v>
      </x:c>
      <x:c r="C6" s="5" t="n">
        <x:v>25</x:v>
      </x:c>
      <x:c r="D6" s="21" t="n">
        <x:v>0.067</x:v>
      </x:c>
      <x:c r="E6" s="21" t="n">
        <x:v>390</x:v>
      </x:c>
      <x:c r="F6" s="21" t="n">
        <x:v>925.4035197802173</x:v>
      </x:c>
      <x:c r="G6" s="21" t="n">
        <x:v>1555.405</x:v>
      </x:c>
      <x:c r="H6" s="23" t="n">
        <x:v>0.5441958589421465</x:v>
      </x:c>
      <x:c r="I6" s="10" t="n">
        <x:v>0.0014802197826497832</x:v>
      </x:c>
    </x:row>
    <x:row r="7" ht="30" customHeight="1">
      <x:c r="A7" s="16" t="str">
        <x:v>Q2-006</x:v>
      </x:c>
      <x:c r="B7" s="16" t="str">
        <x:v>S014-FOD-01; S014-MED-01</x:v>
      </x:c>
      <x:c r="C7" s="13" t="n">
        <x:v>11</x:v>
      </x:c>
      <x:c r="D7" s="22" t="n">
        <x:v>0.04</x:v>
      </x:c>
      <x:c r="E7" s="22" t="n">
        <x:v>360</x:v>
      </x:c>
      <x:c r="F7" s="22" t="n">
        <x:v>1420.3988852767495</x:v>
      </x:c>
      <x:c r="G7" s="22" t="n">
        <x:v>1990.4</x:v>
      </x:c>
      <x:c r="H7" s="25" t="n">
        <x:v>0.5072019428770365</x:v>
      </x:c>
      <x:c r="I7" s="14" t="n">
        <x:v>0.0011147232504526983</x:v>
      </x:c>
    </x:row>
    <x:row r="8" ht="30" customHeight="1">
      <x:c r="A8" s="12" t="str">
        <x:v>Q2-007</x:v>
      </x:c>
      <x:c r="B8" s="12" t="str">
        <x:v>S007-HYG-01; S007-MED-01</x:v>
      </x:c>
      <x:c r="C8" s="5" t="n">
        <x:v>9</x:v>
      </x:c>
      <x:c r="D8" s="21" t="n">
        <x:v>0.047</x:v>
      </x:c>
      <x:c r="E8" s="21" t="n">
        <x:v>360</x:v>
      </x:c>
      <x:c r="F8" s="21" t="n">
        <x:v>1157.4668858917819</x:v>
      </x:c>
      <x:c r="G8" s="21" t="n">
        <x:v>1727.468</x:v>
      </x:c>
      <x:c r="H8" s="23" t="n">
        <x:v>0.5938883694225267</x:v>
      </x:c>
      <x:c r="I8" s="10" t="n">
        <x:v>0.001114108218189358</x:v>
      </x:c>
    </x:row>
    <x:row r="9" ht="30" customHeight="1">
      <x:c r="A9" s="16" t="str">
        <x:v>Q2-008</x:v>
      </x:c>
      <x:c r="B9" s="26" t="str">
        <x:v>S006-FOD-01; S006-HYG-01; S006-MED-01; S006-WAT-01; S006-WAT-02; S006-WAT-03</x:v>
      </x:c>
      <x:c r="C9" s="13" t="n">
        <x:v>59</x:v>
      </x:c>
      <x:c r="D9" s="22" t="n">
        <x:v>0.156</x:v>
      </x:c>
      <x:c r="E9" s="22" t="n">
        <x:v>480</x:v>
      </x:c>
      <x:c r="F9" s="22" t="n">
        <x:v>685.5526244866224</x:v>
      </x:c>
      <x:c r="G9" s="22" t="n">
        <x:v>1561.554</x:v>
      </x:c>
      <x:c r="H9" s="25" t="n">
        <x:v>0.6752579636951648</x:v>
      </x:c>
      <x:c r="I9" s="14" t="n">
        <x:v>0.001375513377581683</x:v>
      </x:c>
    </x:row>
    <x:row r="10" ht="30" customHeight="1">
      <x:c r="A10" s="12" t="str">
        <x:v>Q2-009</x:v>
      </x:c>
      <x:c r="B10" s="24" t="str">
        <x:v>S013-FOD-01; S013-MED-01; S013-WAT-01</x:v>
      </x:c>
      <x:c r="C10" s="5" t="n">
        <x:v>25</x:v>
      </x:c>
      <x:c r="D10" s="21" t="n">
        <x:v>0.067</x:v>
      </x:c>
      <x:c r="E10" s="21" t="n">
        <x:v>1945.405</x:v>
      </x:c>
      <x:c r="F10" s="21" t="n">
        <x:v>880.5115887445249</x:v>
      </x:c>
      <x:c r="G10" s="21" t="n">
        <x:v>1510.513</x:v>
      </x:c>
      <x:c r="H10" s="23" t="n">
        <x:v>0.5437929522298132</x:v>
      </x:c>
      <x:c r="I10" s="10" t="n">
        <x:v>0.0014112554750340678</x:v>
      </x:c>
    </x:row>
    <x:row r="11" ht="48" customHeight="1">
      <x:c r="A11" s="16" t="str">
        <x:v>Q2-010</x:v>
      </x:c>
      <x:c r="B11" s="26" t="str">
        <x:v>S001-FOD-01; S001-FOD-02; S001-HYG-01; S001-HYG-02; S001-MED-01; S001-MED-02; S001-WAT-04; S001-WAT-05; S001-WAT-06</x:v>
      </x:c>
      <x:c r="C11" s="13" t="n">
        <x:v>76</x:v>
      </x:c>
      <x:c r="D11" s="22" t="n">
        <x:v>0.231</x:v>
      </x:c>
      <x:c r="E11" s="22" t="n">
        <x:v>2131.554</x:v>
      </x:c>
      <x:c r="F11" s="22" t="n">
        <x:v>618.1750458620229</x:v>
      </x:c>
      <x:c r="G11" s="22" t="n">
        <x:v>1692.176</x:v>
      </x:c>
      <x:c r="H11" s="25" t="n">
        <x:v>0.6353014880516467</x:v>
      </x:c>
      <x:c r="I11" s="14" t="n">
        <x:v>0.0009541379771462744</x:v>
      </x:c>
    </x:row>
    <x:row r="12" ht="30" customHeight="1">
      <x:c r="A12" s="12" t="str">
        <x:v>Q2-011</x:v>
      </x:c>
      <x:c r="B12" s="12" t="str">
        <x:v>S007-WAT-02</x:v>
      </x:c>
      <x:c r="C12" s="5" t="n">
        <x:v>14</x:v>
      </x:c>
      <x:c r="D12" s="21" t="n">
        <x:v>0.027</x:v>
      </x:c>
      <x:c r="E12" s="21" t="n">
        <x:v>2057.468</x:v>
      </x:c>
      <x:c r="F12" s="21" t="n">
        <x:v>1157.4668858917819</x:v>
      </x:c>
      <x:c r="G12" s="21" t="n">
        <x:v>1667.468</x:v>
      </x:c>
      <x:c r="H12" s="23" t="n">
        <x:v>0.5838692411006335</x:v>
      </x:c>
      <x:c r="I12" s="10" t="n">
        <x:v>0.001114108218189358</x:v>
      </x:c>
    </x:row>
    <x:row r="13" ht="30" customHeight="1">
      <x:c r="A13" s="16" t="str">
        <x:v>Q2-012</x:v>
      </x:c>
      <x:c r="B13" s="16" t="str">
        <x:v>S002-WAT-02</x:v>
      </x:c>
      <x:c r="C13" s="13" t="n">
        <x:v>14</x:v>
      </x:c>
      <x:c r="D13" s="22" t="n">
        <x:v>0.027</x:v>
      </x:c>
      <x:c r="E13" s="22" t="n">
        <x:v>2057.468</x:v>
      </x:c>
      <x:c r="F13" s="22" t="n">
        <x:v>1433.7752084462204</x:v>
      </x:c>
      <x:c r="G13" s="22" t="n">
        <x:v>1943.776</x:v>
      </x:c>
      <x:c r="H13" s="25" t="n">
        <x:v>0.36189130975029027</x:v>
      </x:c>
      <x:c r="I13" s="14" t="n">
        <x:v>0.0007915537796634453</x:v>
      </x:c>
    </x:row>
    <x:row r="14" ht="30" customHeight="1">
      <x:c r="A14" s="12" t="str">
        <x:v>Q2-013</x:v>
      </x:c>
      <x:c r="B14" s="24" t="str">
        <x:v>S004-FOD-01; S004-MED-01; S005-WAT-03</x:v>
      </x:c>
      <x:c r="C14" s="5" t="n">
        <x:v>25</x:v>
      </x:c>
      <x:c r="D14" s="21" t="n">
        <x:v>0.067</x:v>
      </x:c>
      <x:c r="E14" s="21" t="n">
        <x:v>2312.828</x:v>
      </x:c>
      <x:c r="F14" s="21" t="n">
        <x:v>1435.839503105971</x:v>
      </x:c>
      <x:c r="G14" s="21" t="n">
        <x:v>2215.841</x:v>
      </x:c>
      <x:c r="H14" s="23" t="n">
        <x:v>0.3020624804743094</x:v>
      </x:c>
      <x:c r="I14" s="10" t="n">
        <x:v>0.0014968940288895283</x:v>
      </x:c>
    </x:row>
    <x:row r="15" ht="30" customHeight="1">
      <x:c r="A15" s="16" t="str">
        <x:v>Q2-014</x:v>
      </x:c>
      <x:c r="B15" s="26" t="str">
        <x:v>S001-FOD-03; S001-WAT-01; S001-WAT-02; S001-WAT-03; S001-WAT-08</x:v>
      </x:c>
      <x:c r="C15" s="13" t="n">
        <x:v>64</x:v>
      </x:c>
      <x:c r="D15" s="22" t="n">
        <x:v>0.136</x:v>
      </x:c>
      <x:c r="E15" s="22" t="n">
        <x:v>2623.844</x:v>
      </x:c>
      <x:c r="F15" s="22" t="n">
        <x:v>618.1750458620229</x:v>
      </x:c>
      <x:c r="G15" s="22" t="n">
        <x:v>1428.176</x:v>
      </x:c>
      <x:c r="H15" s="25" t="n">
        <x:v>0.6793023293082172</x:v>
      </x:c>
      <x:c r="I15" s="14" t="n">
        <x:v>0.0009541379771462744</x:v>
      </x:c>
    </x:row>
    <x:row r="16" ht="30" customHeight="1">
      <x:c r="A16" s="12" t="str">
        <x:v>Q2-015</x:v>
      </x:c>
      <x:c r="B16" s="12" t="str">
        <x:v>S001-WAT-07</x:v>
      </x:c>
      <x:c r="C16" s="5" t="n">
        <x:v>14</x:v>
      </x:c>
      <x:c r="D16" s="21" t="n">
        <x:v>0.027</x:v>
      </x:c>
      <x:c r="E16" s="21" t="n">
        <x:v>3085.414</x:v>
      </x:c>
      <x:c r="F16" s="21" t="n">
        <x:v>680.9069627433815</x:v>
      </x:c>
      <x:c r="G16" s="21" t="n">
        <x:v>1190.908</x:v>
      </x:c>
      <x:c r="H16" s="23" t="n">
        <x:v>0.7289958329602151</x:v>
      </x:c>
      <x:c r="I16" s="10" t="n">
        <x:v>0.0010372566184742027</x:v>
      </x:c>
    </x:row>
    <x:row r="17" ht="30" customHeight="1">
      <x:c r="A17" s="16" t="str">
        <x:v>Q2-016</x:v>
      </x:c>
      <x:c r="B17" s="16" t="str">
        <x:v>S008-WAT-02</x:v>
      </x:c>
      <x:c r="C17" s="13" t="n">
        <x:v>14</x:v>
      </x:c>
      <x:c r="D17" s="22" t="n">
        <x:v>0.027</x:v>
      </x:c>
      <x:c r="E17" s="22" t="n">
        <x:v>3126.858</x:v>
      </x:c>
      <x:c r="F17" s="22" t="n">
        <x:v>1601.1454288019854</x:v>
      </x:c>
      <x:c r="G17" s="22" t="n">
        <x:v>2111.147</x:v>
      </x:c>
      <x:c r="H17" s="25" t="n">
        <x:v>0.3007866990319662</x:v>
      </x:c>
      <x:c r="I17" s="14" t="n">
        <x:v>0.0015711980144033078</x:v>
      </x:c>
    </x:row>
    <x:row r="18" ht="30" customHeight="1">
      <x:c r="A18" s="12" t="str">
        <x:v>Q2-017</x:v>
      </x:c>
      <x:c r="B18" s="24" t="str">
        <x:v>S008-FOD-01; S008-MED-01; S008-WAT-01</x:v>
      </x:c>
      <x:c r="C18" s="5" t="n">
        <x:v>25</x:v>
      </x:c>
      <x:c r="D18" s="21" t="n">
        <x:v>0.067</x:v>
      </x:c>
      <x:c r="E18" s="21" t="n">
        <x:v>3455.918</x:v>
      </x:c>
      <x:c r="F18" s="21" t="n">
        <x:v>1331.841747175703</x:v>
      </x:c>
      <x:c r="G18" s="21" t="n">
        <x:v>1961.843</x:v>
      </x:c>
      <x:c r="H18" s="23" t="n">
        <x:v>0.25619828136444167</x:v>
      </x:c>
      <x:c r="I18" s="10" t="n">
        <x:v>0.0012528242970120118</x:v>
      </x:c>
    </x:row>
    <x:row r="19" ht="30" customHeight="1">
      <x:c r="A19" s="16" t="str">
        <x:v>Q2-018</x:v>
      </x:c>
      <x:c r="B19" s="26" t="str">
        <x:v>S004-HYG-01; S004-WAT-01; S004-WAT-02; S004-WAT-03</x:v>
      </x:c>
      <x:c r="C19" s="13" t="n">
        <x:v>48</x:v>
      </x:c>
      <x:c r="D19" s="22" t="n">
        <x:v>0.116</x:v>
      </x:c>
      <x:c r="E19" s="22" t="n">
        <x:v>3673.73</x:v>
      </x:c>
      <x:c r="F19" s="22" t="n">
        <x:v>1425.0547187724458</x:v>
      </x:c>
      <x:c r="G19" s="22" t="n">
        <x:v>2169.056</x:v>
      </x:c>
      <x:c r="H19" s="25" t="n">
        <x:v>0.28681997816467397</x:v>
      </x:c>
      <x:c r="I19" s="14" t="n">
        <x:v>0.0012812275542728457</x:v>
      </x:c>
    </x:row>
    <x:row r="20" ht="30" customHeight="1">
      <x:c r="A20" s="12" t="str">
        <x:v>Q2-019</x:v>
      </x:c>
      <x:c r="B20" s="12" t="str">
        <x:v>S003-WAT-03</x:v>
      </x:c>
      <x:c r="C20" s="5" t="n">
        <x:v>14</x:v>
      </x:c>
      <x:c r="D20" s="21" t="n">
        <x:v>0.027</x:v>
      </x:c>
      <x:c r="E20" s="21" t="n">
        <x:v>3724.936</x:v>
      </x:c>
      <x:c r="F20" s="21" t="n">
        <x:v>1692.7372306302605</x:v>
      </x:c>
      <x:c r="G20" s="21" t="n">
        <x:v>2202.738</x:v>
      </x:c>
      <x:c r="H20" s="23" t="n">
        <x:v>0.34851355831272657</x:v>
      </x:c>
      <x:c r="I20" s="10" t="n">
        <x:v>0.0007693697394870469</x:v>
      </x:c>
    </x:row>
    <x:row r="21" ht="30" customHeight="1">
      <x:c r="A21" s="16" t="str">
        <x:v>Q2-020</x:v>
      </x:c>
      <x:c r="B21" s="16" t="str">
        <x:v>S008-HYG-01</x:v>
      </x:c>
      <x:c r="C21" s="13" t="n">
        <x:v>6</x:v>
      </x:c>
      <x:c r="D21" s="22" t="n">
        <x:v>0.035</x:v>
      </x:c>
      <x:c r="E21" s="22" t="n">
        <x:v>4001.244</x:v>
      </x:c>
      <x:c r="F21" s="22" t="n">
        <x:v>1601.1454288019854</x:v>
      </x:c>
      <x:c r="G21" s="22" t="n">
        <x:v>2111.147</x:v>
      </x:c>
      <x:c r="H21" s="25" t="n">
        <x:v>0.32421696098982566</x:v>
      </x:c>
      <x:c r="I21" s="14" t="n">
        <x:v>0.0015711980144033078</x:v>
      </x:c>
    </x:row>
    <x:row r="22" ht="30" customHeight="1">
      <x:c r="A22" s="12" t="str">
        <x:v>Q2-021</x:v>
      </x:c>
      <x:c r="B22" s="24" t="str">
        <x:v>S015-FOD-01; S015-MED-01; S015-WAT-01</x:v>
      </x:c>
      <x:c r="C22" s="5" t="n">
        <x:v>25</x:v>
      </x:c>
      <x:c r="D22" s="21" t="n">
        <x:v>0.067</x:v>
      </x:c>
      <x:c r="E22" s="21" t="n">
        <x:v>4528.669</x:v>
      </x:c>
      <x:c r="F22" s="21" t="n">
        <x:v>1198.3275601736595</x:v>
      </x:c>
      <x:c r="G22" s="21" t="n">
        <x:v>1828.328</x:v>
      </x:c>
      <x:c r="H22" s="23" t="n">
        <x:v>0.42311787356187114</x:v>
      </x:c>
      <x:c r="I22" s="10" t="n">
        <x:v>0.00043982634053918446</x:v>
      </x:c>
    </x:row>
    <x:row r="23" ht="30" customHeight="1">
      <x:c r="A23" s="16" t="str">
        <x:v>Q2-022</x:v>
      </x:c>
      <x:c r="B23" s="26" t="str">
        <x:v>S003-FOD-01; S003-FOD-02; S003-HYG-01; S003-MED-01; S003-WAT-01; S003-WAT-02; S003-WAT-04</x:v>
      </x:c>
      <x:c r="C23" s="13" t="n">
        <x:v>67</x:v>
      </x:c>
      <x:c r="D23" s="22" t="n">
        <x:v>0.184</x:v>
      </x:c>
      <x:c r="E23" s="22" t="n">
        <x:v>5218.274</x:v>
      </x:c>
      <x:c r="F23" s="22" t="n">
        <x:v>1560.1777110992603</x:v>
      </x:c>
      <x:c r="G23" s="22" t="n">
        <x:v>2502.178</x:v>
      </x:c>
      <x:c r="H23" s="25" t="n">
        <x:v>0.20943757614070413</x:v>
      </x:c>
      <x:c r="I23" s="14" t="n">
        <x:v>0.0002889007396333909</x:v>
      </x:c>
    </x:row>
    <x:row r="24" ht="30" customHeight="1">
      <x:c r="A24" s="12" t="str">
        <x:v>Q2-023</x:v>
      </x:c>
      <x:c r="B24" s="24" t="str">
        <x:v>S009-FOD-01; S009-MED-01; S009-WAT-01</x:v>
      </x:c>
      <x:c r="C24" s="5" t="n">
        <x:v>25</x:v>
      </x:c>
      <x:c r="D24" s="21" t="n">
        <x:v>0.067</x:v>
      </x:c>
      <x:c r="E24" s="21" t="n">
        <x:v>5417.761</x:v>
      </x:c>
      <x:c r="F24" s="21" t="n">
        <x:v>928.4628643343575</x:v>
      </x:c>
      <x:c r="G24" s="21" t="n">
        <x:v>1558.464</x:v>
      </x:c>
      <x:c r="H24" s="23" t="n">
        <x:v>0.4759336495656663</x:v>
      </x:c>
      <x:c r="I24" s="10" t="n">
        <x:v>0.0011356656424936773</x:v>
      </x:c>
    </x:row>
    <x:row r="25" ht="48" customHeight="1">
      <x:c r="A25" s="16" t="str">
        <x:v>Q2-024</x:v>
      </x:c>
      <x:c r="B25" s="26" t="str">
        <x:v>S005-FOD-01; S005-HYG-01; S005-MED-01; S005-WAT-01; S005-WAT-02; S011-FOD-01; S011-MED-01; S011-WAT-01</x:v>
      </x:c>
      <x:c r="C25" s="13" t="n">
        <x:v>70</x:v>
      </x:c>
      <x:c r="D25" s="22" t="n">
        <x:v>0.196</x:v>
      </x:c>
      <x:c r="E25" s="22" t="n">
        <x:v>5962.786</x:v>
      </x:c>
      <x:c r="F25" s="22" t="n">
        <x:v>1117.1669662295876</x:v>
      </x:c>
      <x:c r="G25" s="22" t="n">
        <x:v>2305.168</x:v>
      </x:c>
      <x:c r="H25" s="25" t="n">
        <x:v>0.4415044330529181</x:v>
      </x:c>
      <x:c r="I25" s="14" t="n">
        <x:v>0.0010337704122775904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42" customHeight="1">
      <x:c r="A1" s="9" t="str">
        <x:v>货箱</x:v>
      </x:c>
      <x:c r="B1" s="9" t="str">
        <x:v>架次</x:v>
      </x:c>
      <x:c r="C1" s="9" t="str">
        <x:v>服务区</x:v>
      </x:c>
      <x:c r="D1" s="9" t="str">
        <x:v>交接次序</x:v>
      </x:c>
      <x:c r="E1" s="9" t="str">
        <x:v>交接开始s</x:v>
      </x:c>
      <x:c r="F1" s="9" t="str">
        <x:v>交付完成s</x:v>
      </x:c>
      <x:c r="G1" s="9" t="str">
        <x:v>期望时刻s</x:v>
      </x:c>
      <x:c r="H1" s="9" t="str">
        <x:v>硬截止s</x:v>
      </x:c>
      <x:c r="I1" s="9" t="str">
        <x:v>首批</x:v>
      </x:c>
      <x:c r="J1" s="9" t="str">
        <x:v>优先系数</x:v>
      </x:c>
      <x:c r="K1" s="9" t="str">
        <x:v>逾期s</x:v>
      </x:c>
    </x:row>
    <x:row r="2" ht="30" customHeight="1">
      <x:c r="A2" s="12" t="str">
        <x:v>S001-FOD-01</x:v>
      </x:c>
      <x:c r="B2" s="12" t="str">
        <x:v>Q2-010</x:v>
      </x:c>
      <x:c r="C2" s="12" t="str">
        <x:v>S001</x:v>
      </x:c>
      <x:c r="D2" s="5" t="n">
        <x:v>6</x:v>
      </x:c>
      <x:c r="E2" s="21" t="n">
        <x:v>2797.827</x:v>
      </x:c>
      <x:c r="F2" s="21" t="n">
        <x:v>2833.827</x:v>
      </x:c>
      <x:c r="G2" s="21" t="n">
        <x:v>7200</x:v>
      </x:c>
      <x:c r="H2" s="21"/>
      <x:c r="I2" s="12" t="str">
        <x:v>否</x:v>
      </x:c>
      <x:c r="J2" s="5" t="n">
        <x:v>10</x:v>
      </x:c>
      <x:c r="K2" s="21" t="n">
        <x:v>0</x:v>
      </x:c>
    </x:row>
    <x:row r="3" ht="30" customHeight="1">
      <x:c r="A3" s="16" t="str">
        <x:v>S001-FOD-02</x:v>
      </x:c>
      <x:c r="B3" s="16" t="str">
        <x:v>Q2-010</x:v>
      </x:c>
      <x:c r="C3" s="16" t="str">
        <x:v>S001</x:v>
      </x:c>
      <x:c r="D3" s="13" t="n">
        <x:v>7</x:v>
      </x:c>
      <x:c r="E3" s="22" t="n">
        <x:v>2833.827</x:v>
      </x:c>
      <x:c r="F3" s="22" t="n">
        <x:v>2869.827</x:v>
      </x:c>
      <x:c r="G3" s="22" t="n">
        <x:v>7200</x:v>
      </x:c>
      <x:c r="H3" s="22"/>
      <x:c r="I3" s="16" t="str">
        <x:v>否</x:v>
      </x:c>
      <x:c r="J3" s="13" t="n">
        <x:v>10</x:v>
      </x:c>
      <x:c r="K3" s="22" t="n">
        <x:v>0</x:v>
      </x:c>
    </x:row>
    <x:row r="4" ht="30" customHeight="1">
      <x:c r="A4" s="12" t="str">
        <x:v>S001-FOD-03</x:v>
      </x:c>
      <x:c r="B4" s="12" t="str">
        <x:v>Q2-014</x:v>
      </x:c>
      <x:c r="C4" s="12" t="str">
        <x:v>S001</x:v>
      </x:c>
      <x:c r="D4" s="5" t="n">
        <x:v>5</x:v>
      </x:c>
      <x:c r="E4" s="21" t="n">
        <x:v>3254.117</x:v>
      </x:c>
      <x:c r="F4" s="21" t="n">
        <x:v>3290.117</x:v>
      </x:c>
      <x:c r="G4" s="21" t="n">
        <x:v>7200</x:v>
      </x:c>
      <x:c r="H4" s="21"/>
      <x:c r="I4" s="12" t="str">
        <x:v>否</x:v>
      </x:c>
      <x:c r="J4" s="5" t="n">
        <x:v>10</x:v>
      </x:c>
      <x:c r="K4" s="21" t="n">
        <x:v>0</x:v>
      </x:c>
    </x:row>
    <x:row r="5" ht="30" customHeight="1">
      <x:c r="A5" s="16" t="str">
        <x:v>S001-HYG-01</x:v>
      </x:c>
      <x:c r="B5" s="16" t="str">
        <x:v>Q2-010</x:v>
      </x:c>
      <x:c r="C5" s="16" t="str">
        <x:v>S001</x:v>
      </x:c>
      <x:c r="D5" s="13" t="n">
        <x:v>8</x:v>
      </x:c>
      <x:c r="E5" s="22" t="n">
        <x:v>2869.827</x:v>
      </x:c>
      <x:c r="F5" s="22" t="n">
        <x:v>2905.827</x:v>
      </x:c>
      <x:c r="G5" s="22" t="n">
        <x:v>10800</x:v>
      </x:c>
      <x:c r="H5" s="22"/>
      <x:c r="I5" s="16" t="str">
        <x:v>否</x:v>
      </x:c>
      <x:c r="J5" s="13" t="n">
        <x:v>8</x:v>
      </x:c>
      <x:c r="K5" s="22" t="n">
        <x:v>0</x:v>
      </x:c>
    </x:row>
    <x:row r="6" ht="30" customHeight="1">
      <x:c r="A6" s="12" t="str">
        <x:v>S001-HYG-02</x:v>
      </x:c>
      <x:c r="B6" s="12" t="str">
        <x:v>Q2-010</x:v>
      </x:c>
      <x:c r="C6" s="12" t="str">
        <x:v>S001</x:v>
      </x:c>
      <x:c r="D6" s="5" t="n">
        <x:v>9</x:v>
      </x:c>
      <x:c r="E6" s="21" t="n">
        <x:v>2905.827</x:v>
      </x:c>
      <x:c r="F6" s="21" t="n">
        <x:v>2941.827</x:v>
      </x:c>
      <x:c r="G6" s="21" t="n">
        <x:v>10800</x:v>
      </x:c>
      <x:c r="H6" s="21"/>
      <x:c r="I6" s="12" t="str">
        <x:v>否</x:v>
      </x:c>
      <x:c r="J6" s="5" t="n">
        <x:v>8</x:v>
      </x:c>
      <x:c r="K6" s="21" t="n">
        <x:v>0</x:v>
      </x:c>
    </x:row>
    <x:row r="7" ht="30" customHeight="1">
      <x:c r="A7" s="16" t="str">
        <x:v>S001-MED-01</x:v>
      </x:c>
      <x:c r="B7" s="16" t="str">
        <x:v>Q2-010</x:v>
      </x:c>
      <x:c r="C7" s="16" t="str">
        <x:v>S001</x:v>
      </x:c>
      <x:c r="D7" s="13" t="n">
        <x:v>1</x:v>
      </x:c>
      <x:c r="E7" s="22" t="n">
        <x:v>2617.827</x:v>
      </x:c>
      <x:c r="F7" s="22" t="n">
        <x:v>2653.827</x:v>
      </x:c>
      <x:c r="G7" s="22" t="n">
        <x:v>3600</x:v>
      </x:c>
      <x:c r="H7" s="22" t="n">
        <x:v>3600</x:v>
      </x:c>
      <x:c r="I7" s="16" t="str">
        <x:v>是</x:v>
      </x:c>
      <x:c r="J7" s="13" t="n">
        <x:v>24</x:v>
      </x:c>
      <x:c r="K7" s="22" t="n">
        <x:v>0</x:v>
      </x:c>
    </x:row>
    <x:row r="8" ht="30" customHeight="1">
      <x:c r="A8" s="12" t="str">
        <x:v>S001-MED-02</x:v>
      </x:c>
      <x:c r="B8" s="12" t="str">
        <x:v>Q2-010</x:v>
      </x:c>
      <x:c r="C8" s="12" t="str">
        <x:v>S001</x:v>
      </x:c>
      <x:c r="D8" s="5" t="n">
        <x:v>2</x:v>
      </x:c>
      <x:c r="E8" s="21" t="n">
        <x:v>2653.827</x:v>
      </x:c>
      <x:c r="F8" s="21" t="n">
        <x:v>2689.827</x:v>
      </x:c>
      <x:c r="G8" s="21" t="n">
        <x:v>3600</x:v>
      </x:c>
      <x:c r="H8" s="21" t="n">
        <x:v>3600</x:v>
      </x:c>
      <x:c r="I8" s="12" t="str">
        <x:v>否</x:v>
      </x:c>
      <x:c r="J8" s="5" t="n">
        <x:v>24</x:v>
      </x:c>
      <x:c r="K8" s="21" t="n">
        <x:v>0</x:v>
      </x:c>
    </x:row>
    <x:row r="9" ht="30" customHeight="1">
      <x:c r="A9" s="16" t="str">
        <x:v>S001-WAT-01</x:v>
      </x:c>
      <x:c r="B9" s="16" t="str">
        <x:v>Q2-014</x:v>
      </x:c>
      <x:c r="C9" s="16" t="str">
        <x:v>S001</x:v>
      </x:c>
      <x:c r="D9" s="13" t="n">
        <x:v>1</x:v>
      </x:c>
      <x:c r="E9" s="22" t="n">
        <x:v>3110.117</x:v>
      </x:c>
      <x:c r="F9" s="22" t="n">
        <x:v>3146.117</x:v>
      </x:c>
      <x:c r="G9" s="22" t="n">
        <x:v>3600</x:v>
      </x:c>
      <x:c r="H9" s="22" t="n">
        <x:v>3600</x:v>
      </x:c>
      <x:c r="I9" s="16" t="str">
        <x:v>是</x:v>
      </x:c>
      <x:c r="J9" s="13" t="n">
        <x:v>12</x:v>
      </x:c>
      <x:c r="K9" s="22" t="n">
        <x:v>0</x:v>
      </x:c>
    </x:row>
    <x:row r="10" ht="30" customHeight="1">
      <x:c r="A10" s="12" t="str">
        <x:v>S001-WAT-02</x:v>
      </x:c>
      <x:c r="B10" s="12" t="str">
        <x:v>Q2-014</x:v>
      </x:c>
      <x:c r="C10" s="12" t="str">
        <x:v>S001</x:v>
      </x:c>
      <x:c r="D10" s="5" t="n">
        <x:v>2</x:v>
      </x:c>
      <x:c r="E10" s="21" t="n">
        <x:v>3146.117</x:v>
      </x:c>
      <x:c r="F10" s="21" t="n">
        <x:v>3182.117</x:v>
      </x:c>
      <x:c r="G10" s="21" t="n">
        <x:v>3600</x:v>
      </x:c>
      <x:c r="H10" s="21"/>
      <x:c r="I10" s="12" t="str">
        <x:v>否</x:v>
      </x:c>
      <x:c r="J10" s="5" t="n">
        <x:v>12</x:v>
      </x:c>
      <x:c r="K10" s="21" t="n">
        <x:v>0</x:v>
      </x:c>
    </x:row>
    <x:row r="11" ht="30" customHeight="1">
      <x:c r="A11" s="16" t="str">
        <x:v>S001-WAT-03</x:v>
      </x:c>
      <x:c r="B11" s="16" t="str">
        <x:v>Q2-014</x:v>
      </x:c>
      <x:c r="C11" s="16" t="str">
        <x:v>S001</x:v>
      </x:c>
      <x:c r="D11" s="13" t="n">
        <x:v>3</x:v>
      </x:c>
      <x:c r="E11" s="22" t="n">
        <x:v>3182.117</x:v>
      </x:c>
      <x:c r="F11" s="22" t="n">
        <x:v>3218.117</x:v>
      </x:c>
      <x:c r="G11" s="22" t="n">
        <x:v>3600</x:v>
      </x:c>
      <x:c r="H11" s="22"/>
      <x:c r="I11" s="16" t="str">
        <x:v>否</x:v>
      </x:c>
      <x:c r="J11" s="13" t="n">
        <x:v>12</x:v>
      </x:c>
      <x:c r="K11" s="22" t="n">
        <x:v>0</x:v>
      </x:c>
    </x:row>
    <x:row r="12" ht="30" customHeight="1">
      <x:c r="A12" s="12" t="str">
        <x:v>S001-WAT-04</x:v>
      </x:c>
      <x:c r="B12" s="12" t="str">
        <x:v>Q2-010</x:v>
      </x:c>
      <x:c r="C12" s="12" t="str">
        <x:v>S001</x:v>
      </x:c>
      <x:c r="D12" s="5" t="n">
        <x:v>3</x:v>
      </x:c>
      <x:c r="E12" s="21" t="n">
        <x:v>2689.827</x:v>
      </x:c>
      <x:c r="F12" s="21" t="n">
        <x:v>2725.827</x:v>
      </x:c>
      <x:c r="G12" s="21" t="n">
        <x:v>3600</x:v>
      </x:c>
      <x:c r="H12" s="21"/>
      <x:c r="I12" s="12" t="str">
        <x:v>否</x:v>
      </x:c>
      <x:c r="J12" s="5" t="n">
        <x:v>12</x:v>
      </x:c>
      <x:c r="K12" s="21" t="n">
        <x:v>0</x:v>
      </x:c>
    </x:row>
    <x:row r="13" ht="30" customHeight="1">
      <x:c r="A13" s="16" t="str">
        <x:v>S001-WAT-05</x:v>
      </x:c>
      <x:c r="B13" s="16" t="str">
        <x:v>Q2-010</x:v>
      </x:c>
      <x:c r="C13" s="16" t="str">
        <x:v>S001</x:v>
      </x:c>
      <x:c r="D13" s="13" t="n">
        <x:v>4</x:v>
      </x:c>
      <x:c r="E13" s="22" t="n">
        <x:v>2725.827</x:v>
      </x:c>
      <x:c r="F13" s="22" t="n">
        <x:v>2761.827</x:v>
      </x:c>
      <x:c r="G13" s="22" t="n">
        <x:v>3600</x:v>
      </x:c>
      <x:c r="H13" s="22"/>
      <x:c r="I13" s="16" t="str">
        <x:v>否</x:v>
      </x:c>
      <x:c r="J13" s="13" t="n">
        <x:v>12</x:v>
      </x:c>
      <x:c r="K13" s="22" t="n">
        <x:v>0</x:v>
      </x:c>
    </x:row>
    <x:row r="14" ht="30" customHeight="1">
      <x:c r="A14" s="12" t="str">
        <x:v>S001-WAT-06</x:v>
      </x:c>
      <x:c r="B14" s="12" t="str">
        <x:v>Q2-010</x:v>
      </x:c>
      <x:c r="C14" s="12" t="str">
        <x:v>S001</x:v>
      </x:c>
      <x:c r="D14" s="5" t="n">
        <x:v>5</x:v>
      </x:c>
      <x:c r="E14" s="21" t="n">
        <x:v>2761.827</x:v>
      </x:c>
      <x:c r="F14" s="21" t="n">
        <x:v>2797.827</x:v>
      </x:c>
      <x:c r="G14" s="21" t="n">
        <x:v>3600</x:v>
      </x:c>
      <x:c r="H14" s="21"/>
      <x:c r="I14" s="12" t="str">
        <x:v>否</x:v>
      </x:c>
      <x:c r="J14" s="5" t="n">
        <x:v>12</x:v>
      </x:c>
      <x:c r="K14" s="21" t="n">
        <x:v>0</x:v>
      </x:c>
    </x:row>
    <x:row r="15" ht="30" customHeight="1">
      <x:c r="A15" s="16" t="str">
        <x:v>S001-WAT-07</x:v>
      </x:c>
      <x:c r="B15" s="16" t="str">
        <x:v>Q2-015</x:v>
      </x:c>
      <x:c r="C15" s="16" t="str">
        <x:v>S001</x:v>
      </x:c>
      <x:c r="D15" s="13" t="n">
        <x:v>1</x:v>
      </x:c>
      <x:c r="E15" s="22" t="n">
        <x:v>3573.991</x:v>
      </x:c>
      <x:c r="F15" s="22" t="n">
        <x:v>3603.991</x:v>
      </x:c>
      <x:c r="G15" s="22" t="n">
        <x:v>3600</x:v>
      </x:c>
      <x:c r="H15" s="22"/>
      <x:c r="I15" s="16" t="str">
        <x:v>否</x:v>
      </x:c>
      <x:c r="J15" s="13" t="n">
        <x:v>12</x:v>
      </x:c>
      <x:c r="K15" s="22" t="n">
        <x:v>3.9909999999999854</x:v>
      </x:c>
    </x:row>
    <x:row r="16" ht="30" customHeight="1">
      <x:c r="A16" s="12" t="str">
        <x:v>S001-WAT-08</x:v>
      </x:c>
      <x:c r="B16" s="12" t="str">
        <x:v>Q2-014</x:v>
      </x:c>
      <x:c r="C16" s="12" t="str">
        <x:v>S001</x:v>
      </x:c>
      <x:c r="D16" s="5" t="n">
        <x:v>4</x:v>
      </x:c>
      <x:c r="E16" s="21" t="n">
        <x:v>3218.117</x:v>
      </x:c>
      <x:c r="F16" s="21" t="n">
        <x:v>3254.117</x:v>
      </x:c>
      <x:c r="G16" s="21" t="n">
        <x:v>3600</x:v>
      </x:c>
      <x:c r="H16" s="21"/>
      <x:c r="I16" s="12" t="str">
        <x:v>否</x:v>
      </x:c>
      <x:c r="J16" s="5" t="n">
        <x:v>12</x:v>
      </x:c>
      <x:c r="K16" s="21" t="n">
        <x:v>0</x:v>
      </x:c>
    </x:row>
    <x:row r="17" ht="30" customHeight="1">
      <x:c r="A17" s="16" t="str">
        <x:v>S002-FOD-01</x:v>
      </x:c>
      <x:c r="B17" s="16" t="str">
        <x:v>Q2-002</x:v>
      </x:c>
      <x:c r="C17" s="16" t="str">
        <x:v>S002</x:v>
      </x:c>
      <x:c r="D17" s="13" t="n">
        <x:v>5</x:v>
      </x:c>
      <x:c r="E17" s="22" t="n">
        <x:v>1445.332</x:v>
      </x:c>
      <x:c r="F17" s="22" t="n">
        <x:v>1481.332</x:v>
      </x:c>
      <x:c r="G17" s="22" t="n">
        <x:v>7200</x:v>
      </x:c>
      <x:c r="H17" s="22"/>
      <x:c r="I17" s="16" t="str">
        <x:v>否</x:v>
      </x:c>
      <x:c r="J17" s="13" t="n">
        <x:v>10</x:v>
      </x:c>
      <x:c r="K17" s="22" t="n">
        <x:v>0</x:v>
      </x:c>
    </x:row>
    <x:row r="18" ht="30" customHeight="1">
      <x:c r="A18" s="12" t="str">
        <x:v>S002-FOD-02</x:v>
      </x:c>
      <x:c r="B18" s="12" t="str">
        <x:v>Q2-002</x:v>
      </x:c>
      <x:c r="C18" s="12" t="str">
        <x:v>S002</x:v>
      </x:c>
      <x:c r="D18" s="5" t="n">
        <x:v>6</x:v>
      </x:c>
      <x:c r="E18" s="21" t="n">
        <x:v>1481.332</x:v>
      </x:c>
      <x:c r="F18" s="21" t="n">
        <x:v>1517.332</x:v>
      </x:c>
      <x:c r="G18" s="21" t="n">
        <x:v>7200</x:v>
      </x:c>
      <x:c r="H18" s="21"/>
      <x:c r="I18" s="12" t="str">
        <x:v>否</x:v>
      </x:c>
      <x:c r="J18" s="5" t="n">
        <x:v>10</x:v>
      </x:c>
      <x:c r="K18" s="21" t="n">
        <x:v>0</x:v>
      </x:c>
    </x:row>
    <x:row r="19" ht="30" customHeight="1">
      <x:c r="A19" s="16" t="str">
        <x:v>S002-HYG-01</x:v>
      </x:c>
      <x:c r="B19" s="16" t="str">
        <x:v>Q2-002</x:v>
      </x:c>
      <x:c r="C19" s="16" t="str">
        <x:v>S002</x:v>
      </x:c>
      <x:c r="D19" s="13" t="n">
        <x:v>7</x:v>
      </x:c>
      <x:c r="E19" s="22" t="n">
        <x:v>1517.332</x:v>
      </x:c>
      <x:c r="F19" s="22" t="n">
        <x:v>1553.332</x:v>
      </x:c>
      <x:c r="G19" s="22" t="n">
        <x:v>10800</x:v>
      </x:c>
      <x:c r="H19" s="22"/>
      <x:c r="I19" s="16" t="str">
        <x:v>否</x:v>
      </x:c>
      <x:c r="J19" s="13" t="n">
        <x:v>8</x:v>
      </x:c>
      <x:c r="K19" s="22" t="n">
        <x:v>0</x:v>
      </x:c>
    </x:row>
    <x:row r="20" ht="30" customHeight="1">
      <x:c r="A20" s="12" t="str">
        <x:v>S002-MED-01</x:v>
      </x:c>
      <x:c r="B20" s="12" t="str">
        <x:v>Q2-002</x:v>
      </x:c>
      <x:c r="C20" s="12" t="str">
        <x:v>S002</x:v>
      </x:c>
      <x:c r="D20" s="5" t="n">
        <x:v>1</x:v>
      </x:c>
      <x:c r="E20" s="21" t="n">
        <x:v>1301.332</x:v>
      </x:c>
      <x:c r="F20" s="21" t="n">
        <x:v>1337.332</x:v>
      </x:c>
      <x:c r="G20" s="21" t="n">
        <x:v>3600</x:v>
      </x:c>
      <x:c r="H20" s="21" t="n">
        <x:v>3600</x:v>
      </x:c>
      <x:c r="I20" s="12" t="str">
        <x:v>是</x:v>
      </x:c>
      <x:c r="J20" s="5" t="n">
        <x:v>24</x:v>
      </x:c>
      <x:c r="K20" s="21" t="n">
        <x:v>0</x:v>
      </x:c>
    </x:row>
    <x:row r="21" ht="30" customHeight="1">
      <x:c r="A21" s="16" t="str">
        <x:v>S002-WAT-01</x:v>
      </x:c>
      <x:c r="B21" s="16" t="str">
        <x:v>Q2-002</x:v>
      </x:c>
      <x:c r="C21" s="16" t="str">
        <x:v>S002</x:v>
      </x:c>
      <x:c r="D21" s="13" t="n">
        <x:v>2</x:v>
      </x:c>
      <x:c r="E21" s="22" t="n">
        <x:v>1337.332</x:v>
      </x:c>
      <x:c r="F21" s="22" t="n">
        <x:v>1373.332</x:v>
      </x:c>
      <x:c r="G21" s="22" t="n">
        <x:v>3600</x:v>
      </x:c>
      <x:c r="H21" s="22" t="n">
        <x:v>3600</x:v>
      </x:c>
      <x:c r="I21" s="16" t="str">
        <x:v>是</x:v>
      </x:c>
      <x:c r="J21" s="13" t="n">
        <x:v>12</x:v>
      </x:c>
      <x:c r="K21" s="22" t="n">
        <x:v>0</x:v>
      </x:c>
    </x:row>
    <x:row r="22" ht="30" customHeight="1">
      <x:c r="A22" s="12" t="str">
        <x:v>S002-WAT-02</x:v>
      </x:c>
      <x:c r="B22" s="12" t="str">
        <x:v>Q2-012</x:v>
      </x:c>
      <x:c r="C22" s="12" t="str">
        <x:v>S002</x:v>
      </x:c>
      <x:c r="D22" s="5" t="n">
        <x:v>1</x:v>
      </x:c>
      <x:c r="E22" s="21" t="n">
        <x:v>2921.296</x:v>
      </x:c>
      <x:c r="F22" s="21" t="n">
        <x:v>2951.296</x:v>
      </x:c>
      <x:c r="G22" s="21" t="n">
        <x:v>3600</x:v>
      </x:c>
      <x:c r="H22" s="21"/>
      <x:c r="I22" s="12" t="str">
        <x:v>否</x:v>
      </x:c>
      <x:c r="J22" s="5" t="n">
        <x:v>12</x:v>
      </x:c>
      <x:c r="K22" s="21" t="n">
        <x:v>0</x:v>
      </x:c>
    </x:row>
    <x:row r="23" ht="30" customHeight="1">
      <x:c r="A23" s="16" t="str">
        <x:v>S002-WAT-03</x:v>
      </x:c>
      <x:c r="B23" s="16" t="str">
        <x:v>Q2-002</x:v>
      </x:c>
      <x:c r="C23" s="16" t="str">
        <x:v>S002</x:v>
      </x:c>
      <x:c r="D23" s="13" t="n">
        <x:v>3</x:v>
      </x:c>
      <x:c r="E23" s="22" t="n">
        <x:v>1373.332</x:v>
      </x:c>
      <x:c r="F23" s="22" t="n">
        <x:v>1409.332</x:v>
      </x:c>
      <x:c r="G23" s="22" t="n">
        <x:v>3600</x:v>
      </x:c>
      <x:c r="H23" s="22"/>
      <x:c r="I23" s="16" t="str">
        <x:v>否</x:v>
      </x:c>
      <x:c r="J23" s="13" t="n">
        <x:v>12</x:v>
      </x:c>
      <x:c r="K23" s="22" t="n">
        <x:v>0</x:v>
      </x:c>
    </x:row>
    <x:row r="24" ht="30" customHeight="1">
      <x:c r="A24" s="12" t="str">
        <x:v>S002-WAT-04</x:v>
      </x:c>
      <x:c r="B24" s="12" t="str">
        <x:v>Q2-002</x:v>
      </x:c>
      <x:c r="C24" s="12" t="str">
        <x:v>S002</x:v>
      </x:c>
      <x:c r="D24" s="5" t="n">
        <x:v>4</x:v>
      </x:c>
      <x:c r="E24" s="21" t="n">
        <x:v>1409.332</x:v>
      </x:c>
      <x:c r="F24" s="21" t="n">
        <x:v>1445.332</x:v>
      </x:c>
      <x:c r="G24" s="21" t="n">
        <x:v>3600</x:v>
      </x:c>
      <x:c r="H24" s="21"/>
      <x:c r="I24" s="12" t="str">
        <x:v>否</x:v>
      </x:c>
      <x:c r="J24" s="5" t="n">
        <x:v>12</x:v>
      </x:c>
      <x:c r="K24" s="21" t="n">
        <x:v>0</x:v>
      </x:c>
    </x:row>
    <x:row r="25" ht="30" customHeight="1">
      <x:c r="A25" s="16" t="str">
        <x:v>S003-FOD-01</x:v>
      </x:c>
      <x:c r="B25" s="16" t="str">
        <x:v>Q2-022</x:v>
      </x:c>
      <x:c r="C25" s="16" t="str">
        <x:v>S003</x:v>
      </x:c>
      <x:c r="D25" s="13" t="n">
        <x:v>5</x:v>
      </x:c>
      <x:c r="E25" s="22" t="n">
        <x:v>6311.823</x:v>
      </x:c>
      <x:c r="F25" s="22" t="n">
        <x:v>6347.823</x:v>
      </x:c>
      <x:c r="G25" s="22" t="n">
        <x:v>10800</x:v>
      </x:c>
      <x:c r="H25" s="22"/>
      <x:c r="I25" s="16" t="str">
        <x:v>否</x:v>
      </x:c>
      <x:c r="J25" s="13" t="n">
        <x:v>8</x:v>
      </x:c>
      <x:c r="K25" s="22" t="n">
        <x:v>0</x:v>
      </x:c>
    </x:row>
    <x:row r="26" ht="30" customHeight="1">
      <x:c r="A26" s="12" t="str">
        <x:v>S003-FOD-02</x:v>
      </x:c>
      <x:c r="B26" s="12" t="str">
        <x:v>Q2-022</x:v>
      </x:c>
      <x:c r="C26" s="12" t="str">
        <x:v>S003</x:v>
      </x:c>
      <x:c r="D26" s="5" t="n">
        <x:v>6</x:v>
      </x:c>
      <x:c r="E26" s="21" t="n">
        <x:v>6347.823</x:v>
      </x:c>
      <x:c r="F26" s="21" t="n">
        <x:v>6383.823</x:v>
      </x:c>
      <x:c r="G26" s="21" t="n">
        <x:v>10800</x:v>
      </x:c>
      <x:c r="H26" s="21"/>
      <x:c r="I26" s="12" t="str">
        <x:v>否</x:v>
      </x:c>
      <x:c r="J26" s="5" t="n">
        <x:v>8</x:v>
      </x:c>
      <x:c r="K26" s="21" t="n">
        <x:v>0</x:v>
      </x:c>
    </x:row>
    <x:row r="27" ht="30" customHeight="1">
      <x:c r="A27" s="16" t="str">
        <x:v>S003-HYG-01</x:v>
      </x:c>
      <x:c r="B27" s="16" t="str">
        <x:v>Q2-022</x:v>
      </x:c>
      <x:c r="C27" s="16" t="str">
        <x:v>S003</x:v>
      </x:c>
      <x:c r="D27" s="13" t="n">
        <x:v>7</x:v>
      </x:c>
      <x:c r="E27" s="22" t="n">
        <x:v>6383.823</x:v>
      </x:c>
      <x:c r="F27" s="22" t="n">
        <x:v>6419.823</x:v>
      </x:c>
      <x:c r="G27" s="22" t="n">
        <x:v>14400</x:v>
      </x:c>
      <x:c r="H27" s="22"/>
      <x:c r="I27" s="16" t="str">
        <x:v>否</x:v>
      </x:c>
      <x:c r="J27" s="13" t="n">
        <x:v>6</x:v>
      </x:c>
      <x:c r="K27" s="22" t="n">
        <x:v>0</x:v>
      </x:c>
    </x:row>
    <x:row r="28" ht="30" customHeight="1">
      <x:c r="A28" s="12" t="str">
        <x:v>S003-MED-01</x:v>
      </x:c>
      <x:c r="B28" s="12" t="str">
        <x:v>Q2-022</x:v>
      </x:c>
      <x:c r="C28" s="12" t="str">
        <x:v>S003</x:v>
      </x:c>
      <x:c r="D28" s="5" t="n">
        <x:v>1</x:v>
      </x:c>
      <x:c r="E28" s="21" t="n">
        <x:v>6167.823</x:v>
      </x:c>
      <x:c r="F28" s="21" t="n">
        <x:v>6203.823</x:v>
      </x:c>
      <x:c r="G28" s="21" t="n">
        <x:v>7200</x:v>
      </x:c>
      <x:c r="H28" s="21" t="n">
        <x:v>7200</x:v>
      </x:c>
      <x:c r="I28" s="12" t="str">
        <x:v>是</x:v>
      </x:c>
      <x:c r="J28" s="5" t="n">
        <x:v>20</x:v>
      </x:c>
      <x:c r="K28" s="21" t="n">
        <x:v>0</x:v>
      </x:c>
    </x:row>
    <x:row r="29" ht="30" customHeight="1">
      <x:c r="A29" s="16" t="str">
        <x:v>S003-WAT-01</x:v>
      </x:c>
      <x:c r="B29" s="16" t="str">
        <x:v>Q2-022</x:v>
      </x:c>
      <x:c r="C29" s="16" t="str">
        <x:v>S003</x:v>
      </x:c>
      <x:c r="D29" s="13" t="n">
        <x:v>2</x:v>
      </x:c>
      <x:c r="E29" s="22" t="n">
        <x:v>6203.823</x:v>
      </x:c>
      <x:c r="F29" s="22" t="n">
        <x:v>6239.823</x:v>
      </x:c>
      <x:c r="G29" s="22" t="n">
        <x:v>7200</x:v>
      </x:c>
      <x:c r="H29" s="22" t="n">
        <x:v>7200</x:v>
      </x:c>
      <x:c r="I29" s="16" t="str">
        <x:v>是</x:v>
      </x:c>
      <x:c r="J29" s="13" t="n">
        <x:v>10</x:v>
      </x:c>
      <x:c r="K29" s="22" t="n">
        <x:v>0</x:v>
      </x:c>
    </x:row>
    <x:row r="30" ht="30" customHeight="1">
      <x:c r="A30" s="12" t="str">
        <x:v>S003-WAT-02</x:v>
      </x:c>
      <x:c r="B30" s="12" t="str">
        <x:v>Q2-022</x:v>
      </x:c>
      <x:c r="C30" s="12" t="str">
        <x:v>S003</x:v>
      </x:c>
      <x:c r="D30" s="5" t="n">
        <x:v>3</x:v>
      </x:c>
      <x:c r="E30" s="21" t="n">
        <x:v>6239.823</x:v>
      </x:c>
      <x:c r="F30" s="21" t="n">
        <x:v>6275.823</x:v>
      </x:c>
      <x:c r="G30" s="21" t="n">
        <x:v>7200</x:v>
      </x:c>
      <x:c r="H30" s="21"/>
      <x:c r="I30" s="12" t="str">
        <x:v>否</x:v>
      </x:c>
      <x:c r="J30" s="5" t="n">
        <x:v>10</x:v>
      </x:c>
      <x:c r="K30" s="21" t="n">
        <x:v>0</x:v>
      </x:c>
    </x:row>
    <x:row r="31" ht="30" customHeight="1">
      <x:c r="A31" s="16" t="str">
        <x:v>S003-WAT-03</x:v>
      </x:c>
      <x:c r="B31" s="16" t="str">
        <x:v>Q2-019</x:v>
      </x:c>
      <x:c r="C31" s="16" t="str">
        <x:v>S003</x:v>
      </x:c>
      <x:c r="D31" s="13" t="n">
        <x:v>1</x:v>
      </x:c>
      <x:c r="E31" s="22" t="n">
        <x:v>4714.278</x:v>
      </x:c>
      <x:c r="F31" s="22" t="n">
        <x:v>4744.278</x:v>
      </x:c>
      <x:c r="G31" s="22" t="n">
        <x:v>7200</x:v>
      </x:c>
      <x:c r="H31" s="22"/>
      <x:c r="I31" s="16" t="str">
        <x:v>否</x:v>
      </x:c>
      <x:c r="J31" s="13" t="n">
        <x:v>10</x:v>
      </x:c>
      <x:c r="K31" s="22" t="n">
        <x:v>0</x:v>
      </x:c>
    </x:row>
    <x:row r="32" ht="30" customHeight="1">
      <x:c r="A32" s="12" t="str">
        <x:v>S003-WAT-04</x:v>
      </x:c>
      <x:c r="B32" s="12" t="str">
        <x:v>Q2-022</x:v>
      </x:c>
      <x:c r="C32" s="12" t="str">
        <x:v>S003</x:v>
      </x:c>
      <x:c r="D32" s="5" t="n">
        <x:v>4</x:v>
      </x:c>
      <x:c r="E32" s="21" t="n">
        <x:v>6275.823</x:v>
      </x:c>
      <x:c r="F32" s="21" t="n">
        <x:v>6311.823</x:v>
      </x:c>
      <x:c r="G32" s="21" t="n">
        <x:v>7200</x:v>
      </x:c>
      <x:c r="H32" s="21"/>
      <x:c r="I32" s="12" t="str">
        <x:v>否</x:v>
      </x:c>
      <x:c r="J32" s="5" t="n">
        <x:v>10</x:v>
      </x:c>
      <x:c r="K32" s="21" t="n">
        <x:v>0</x:v>
      </x:c>
    </x:row>
    <x:row r="33" ht="30" customHeight="1">
      <x:c r="A33" s="16" t="str">
        <x:v>S004-FOD-01</x:v>
      </x:c>
      <x:c r="B33" s="16" t="str">
        <x:v>Q2-013</x:v>
      </x:c>
      <x:c r="C33" s="16" t="str">
        <x:v>S004</x:v>
      </x:c>
      <x:c r="D33" s="13" t="n">
        <x:v>2</x:v>
      </x:c>
      <x:c r="E33" s="22" t="n">
        <x:v>3429.494</x:v>
      </x:c>
      <x:c r="F33" s="22" t="n">
        <x:v>3459.494</x:v>
      </x:c>
      <x:c r="G33" s="22" t="n">
        <x:v>10800</x:v>
      </x:c>
      <x:c r="H33" s="22"/>
      <x:c r="I33" s="16" t="str">
        <x:v>否</x:v>
      </x:c>
      <x:c r="J33" s="13" t="n">
        <x:v>8</x:v>
      </x:c>
      <x:c r="K33" s="22" t="n">
        <x:v>0</x:v>
      </x:c>
    </x:row>
    <x:row r="34" ht="30" customHeight="1">
      <x:c r="A34" s="12" t="str">
        <x:v>S004-HYG-01</x:v>
      </x:c>
      <x:c r="B34" s="12" t="str">
        <x:v>Q2-018</x:v>
      </x:c>
      <x:c r="C34" s="12" t="str">
        <x:v>S004</x:v>
      </x:c>
      <x:c r="D34" s="5" t="n">
        <x:v>4</x:v>
      </x:c>
      <x:c r="E34" s="21" t="n">
        <x:v>4669.228</x:v>
      </x:c>
      <x:c r="F34" s="21" t="n">
        <x:v>4705.228</x:v>
      </x:c>
      <x:c r="G34" s="21" t="n">
        <x:v>14400</x:v>
      </x:c>
      <x:c r="H34" s="21"/>
      <x:c r="I34" s="12" t="str">
        <x:v>否</x:v>
      </x:c>
      <x:c r="J34" s="5" t="n">
        <x:v>6</x:v>
      </x:c>
      <x:c r="K34" s="21" t="n">
        <x:v>0</x:v>
      </x:c>
    </x:row>
    <x:row r="35" ht="30" customHeight="1">
      <x:c r="A35" s="16" t="str">
        <x:v>S004-MED-01</x:v>
      </x:c>
      <x:c r="B35" s="16" t="str">
        <x:v>Q2-013</x:v>
      </x:c>
      <x:c r="C35" s="16" t="str">
        <x:v>S004</x:v>
      </x:c>
      <x:c r="D35" s="13" t="n">
        <x:v>1</x:v>
      </x:c>
      <x:c r="E35" s="22" t="n">
        <x:v>3399.494</x:v>
      </x:c>
      <x:c r="F35" s="22" t="n">
        <x:v>3429.494</x:v>
      </x:c>
      <x:c r="G35" s="22" t="n">
        <x:v>7200</x:v>
      </x:c>
      <x:c r="H35" s="22" t="n">
        <x:v>7200</x:v>
      </x:c>
      <x:c r="I35" s="16" t="str">
        <x:v>是</x:v>
      </x:c>
      <x:c r="J35" s="13" t="n">
        <x:v>20</x:v>
      </x:c>
      <x:c r="K35" s="22" t="n">
        <x:v>0</x:v>
      </x:c>
    </x:row>
    <x:row r="36" ht="30" customHeight="1">
      <x:c r="A36" s="12" t="str">
        <x:v>S004-WAT-01</x:v>
      </x:c>
      <x:c r="B36" s="12" t="str">
        <x:v>Q2-018</x:v>
      </x:c>
      <x:c r="C36" s="12" t="str">
        <x:v>S004</x:v>
      </x:c>
      <x:c r="D36" s="5" t="n">
        <x:v>1</x:v>
      </x:c>
      <x:c r="E36" s="21" t="n">
        <x:v>4561.228</x:v>
      </x:c>
      <x:c r="F36" s="21" t="n">
        <x:v>4597.228</x:v>
      </x:c>
      <x:c r="G36" s="21" t="n">
        <x:v>7200</x:v>
      </x:c>
      <x:c r="H36" s="21" t="n">
        <x:v>7200</x:v>
      </x:c>
      <x:c r="I36" s="12" t="str">
        <x:v>是</x:v>
      </x:c>
      <x:c r="J36" s="5" t="n">
        <x:v>10</x:v>
      </x:c>
      <x:c r="K36" s="21" t="n">
        <x:v>0</x:v>
      </x:c>
    </x:row>
    <x:row r="37" ht="30" customHeight="1">
      <x:c r="A37" s="16" t="str">
        <x:v>S004-WAT-02</x:v>
      </x:c>
      <x:c r="B37" s="16" t="str">
        <x:v>Q2-018</x:v>
      </x:c>
      <x:c r="C37" s="16" t="str">
        <x:v>S004</x:v>
      </x:c>
      <x:c r="D37" s="13" t="n">
        <x:v>2</x:v>
      </x:c>
      <x:c r="E37" s="22" t="n">
        <x:v>4597.228</x:v>
      </x:c>
      <x:c r="F37" s="22" t="n">
        <x:v>4633.228</x:v>
      </x:c>
      <x:c r="G37" s="22" t="n">
        <x:v>7200</x:v>
      </x:c>
      <x:c r="H37" s="22"/>
      <x:c r="I37" s="16" t="str">
        <x:v>否</x:v>
      </x:c>
      <x:c r="J37" s="13" t="n">
        <x:v>10</x:v>
      </x:c>
      <x:c r="K37" s="22" t="n">
        <x:v>0</x:v>
      </x:c>
    </x:row>
    <x:row r="38" ht="30" customHeight="1">
      <x:c r="A38" s="12" t="str">
        <x:v>S004-WAT-03</x:v>
      </x:c>
      <x:c r="B38" s="12" t="str">
        <x:v>Q2-018</x:v>
      </x:c>
      <x:c r="C38" s="12" t="str">
        <x:v>S004</x:v>
      </x:c>
      <x:c r="D38" s="5" t="n">
        <x:v>3</x:v>
      </x:c>
      <x:c r="E38" s="21" t="n">
        <x:v>4633.228</x:v>
      </x:c>
      <x:c r="F38" s="21" t="n">
        <x:v>4669.228</x:v>
      </x:c>
      <x:c r="G38" s="21" t="n">
        <x:v>7200</x:v>
      </x:c>
      <x:c r="H38" s="21"/>
      <x:c r="I38" s="12" t="str">
        <x:v>否</x:v>
      </x:c>
      <x:c r="J38" s="5" t="n">
        <x:v>10</x:v>
      </x:c>
      <x:c r="K38" s="21" t="n">
        <x:v>0</x:v>
      </x:c>
    </x:row>
    <x:row r="39" ht="30" customHeight="1">
      <x:c r="A39" s="16" t="str">
        <x:v>S005-FOD-01</x:v>
      </x:c>
      <x:c r="B39" s="16" t="str">
        <x:v>Q2-024</x:v>
      </x:c>
      <x:c r="C39" s="16" t="str">
        <x:v>S005</x:v>
      </x:c>
      <x:c r="D39" s="13" t="n">
        <x:v>4</x:v>
      </x:c>
      <x:c r="E39" s="22" t="n">
        <x:v>7151.994</x:v>
      </x:c>
      <x:c r="F39" s="22" t="n">
        <x:v>7187.994</x:v>
      </x:c>
      <x:c r="G39" s="22" t="n">
        <x:v>14400</x:v>
      </x:c>
      <x:c r="H39" s="22"/>
      <x:c r="I39" s="16" t="str">
        <x:v>否</x:v>
      </x:c>
      <x:c r="J39" s="13" t="n">
        <x:v>6</x:v>
      </x:c>
      <x:c r="K39" s="22" t="n">
        <x:v>0</x:v>
      </x:c>
    </x:row>
    <x:row r="40" ht="30" customHeight="1">
      <x:c r="A40" s="12" t="str">
        <x:v>S005-HYG-01</x:v>
      </x:c>
      <x:c r="B40" s="12" t="str">
        <x:v>Q2-024</x:v>
      </x:c>
      <x:c r="C40" s="12" t="str">
        <x:v>S005</x:v>
      </x:c>
      <x:c r="D40" s="5" t="n">
        <x:v>5</x:v>
      </x:c>
      <x:c r="E40" s="21" t="n">
        <x:v>7187.994</x:v>
      </x:c>
      <x:c r="F40" s="21" t="n">
        <x:v>7223.994</x:v>
      </x:c>
      <x:c r="G40" s="21" t="n">
        <x:v>18000</x:v>
      </x:c>
      <x:c r="H40" s="21"/>
      <x:c r="I40" s="12" t="str">
        <x:v>否</x:v>
      </x:c>
      <x:c r="J40" s="5" t="n">
        <x:v>4</x:v>
      </x:c>
      <x:c r="K40" s="21" t="n">
        <x:v>0</x:v>
      </x:c>
    </x:row>
    <x:row r="41" ht="30" customHeight="1">
      <x:c r="A41" s="16" t="str">
        <x:v>S005-MED-01</x:v>
      </x:c>
      <x:c r="B41" s="16" t="str">
        <x:v>Q2-024</x:v>
      </x:c>
      <x:c r="C41" s="16" t="str">
        <x:v>S005</x:v>
      </x:c>
      <x:c r="D41" s="13" t="n">
        <x:v>1</x:v>
      </x:c>
      <x:c r="E41" s="22" t="n">
        <x:v>7043.994</x:v>
      </x:c>
      <x:c r="F41" s="22" t="n">
        <x:v>7079.994</x:v>
      </x:c>
      <x:c r="G41" s="22" t="n">
        <x:v>10800</x:v>
      </x:c>
      <x:c r="H41" s="22" t="n">
        <x:v>10800</x:v>
      </x:c>
      <x:c r="I41" s="16" t="str">
        <x:v>是</x:v>
      </x:c>
      <x:c r="J41" s="13" t="n">
        <x:v>16</x:v>
      </x:c>
      <x:c r="K41" s="22" t="n">
        <x:v>0</x:v>
      </x:c>
    </x:row>
    <x:row r="42" ht="30" customHeight="1">
      <x:c r="A42" s="12" t="str">
        <x:v>S005-WAT-01</x:v>
      </x:c>
      <x:c r="B42" s="12" t="str">
        <x:v>Q2-024</x:v>
      </x:c>
      <x:c r="C42" s="12" t="str">
        <x:v>S005</x:v>
      </x:c>
      <x:c r="D42" s="5" t="n">
        <x:v>2</x:v>
      </x:c>
      <x:c r="E42" s="21" t="n">
        <x:v>7079.994</x:v>
      </x:c>
      <x:c r="F42" s="21" t="n">
        <x:v>7115.994</x:v>
      </x:c>
      <x:c r="G42" s="21" t="n">
        <x:v>10800</x:v>
      </x:c>
      <x:c r="H42" s="21" t="n">
        <x:v>10800</x:v>
      </x:c>
      <x:c r="I42" s="12" t="str">
        <x:v>是</x:v>
      </x:c>
      <x:c r="J42" s="5" t="n">
        <x:v>8</x:v>
      </x:c>
      <x:c r="K42" s="21" t="n">
        <x:v>0</x:v>
      </x:c>
    </x:row>
    <x:row r="43" ht="30" customHeight="1">
      <x:c r="A43" s="16" t="str">
        <x:v>S005-WAT-02</x:v>
      </x:c>
      <x:c r="B43" s="16" t="str">
        <x:v>Q2-024</x:v>
      </x:c>
      <x:c r="C43" s="16" t="str">
        <x:v>S005</x:v>
      </x:c>
      <x:c r="D43" s="13" t="n">
        <x:v>3</x:v>
      </x:c>
      <x:c r="E43" s="22" t="n">
        <x:v>7115.994</x:v>
      </x:c>
      <x:c r="F43" s="22" t="n">
        <x:v>7151.994</x:v>
      </x:c>
      <x:c r="G43" s="22" t="n">
        <x:v>10800</x:v>
      </x:c>
      <x:c r="H43" s="22"/>
      <x:c r="I43" s="16" t="str">
        <x:v>否</x:v>
      </x:c>
      <x:c r="J43" s="13" t="n">
        <x:v>8</x:v>
      </x:c>
      <x:c r="K43" s="22" t="n">
        <x:v>0</x:v>
      </x:c>
    </x:row>
    <x:row r="44" ht="30" customHeight="1">
      <x:c r="A44" s="12" t="str">
        <x:v>S005-WAT-03</x:v>
      </x:c>
      <x:c r="B44" s="12" t="str">
        <x:v>Q2-013</x:v>
      </x:c>
      <x:c r="C44" s="12" t="str">
        <x:v>S005</x:v>
      </x:c>
      <x:c r="D44" s="5" t="n">
        <x:v>1</x:v>
      </x:c>
      <x:c r="E44" s="21" t="n">
        <x:v>2933.669</x:v>
      </x:c>
      <x:c r="F44" s="21" t="n">
        <x:v>2963.669</x:v>
      </x:c>
      <x:c r="G44" s="21" t="n">
        <x:v>10800</x:v>
      </x:c>
      <x:c r="H44" s="21"/>
      <x:c r="I44" s="12" t="str">
        <x:v>否</x:v>
      </x:c>
      <x:c r="J44" s="5" t="n">
        <x:v>8</x:v>
      </x:c>
      <x:c r="K44" s="21" t="n">
        <x:v>0</x:v>
      </x:c>
    </x:row>
    <x:row r="45" ht="30" customHeight="1">
      <x:c r="A45" s="16" t="str">
        <x:v>S006-FOD-01</x:v>
      </x:c>
      <x:c r="B45" s="16" t="str">
        <x:v>Q2-008</x:v>
      </x:c>
      <x:c r="C45" s="16" t="str">
        <x:v>S006</x:v>
      </x:c>
      <x:c r="D45" s="13" t="n">
        <x:v>5</x:v>
      </x:c>
      <x:c r="E45" s="22" t="n">
        <x:v>1137.422</x:v>
      </x:c>
      <x:c r="F45" s="22" t="n">
        <x:v>1173.422</x:v>
      </x:c>
      <x:c r="G45" s="22" t="n">
        <x:v>7200</x:v>
      </x:c>
      <x:c r="H45" s="22"/>
      <x:c r="I45" s="16" t="str">
        <x:v>否</x:v>
      </x:c>
      <x:c r="J45" s="13" t="n">
        <x:v>10</x:v>
      </x:c>
      <x:c r="K45" s="22" t="n">
        <x:v>0</x:v>
      </x:c>
    </x:row>
    <x:row r="46" ht="30" customHeight="1">
      <x:c r="A46" s="12" t="str">
        <x:v>S006-HYG-01</x:v>
      </x:c>
      <x:c r="B46" s="12" t="str">
        <x:v>Q2-008</x:v>
      </x:c>
      <x:c r="C46" s="12" t="str">
        <x:v>S006</x:v>
      </x:c>
      <x:c r="D46" s="5" t="n">
        <x:v>6</x:v>
      </x:c>
      <x:c r="E46" s="21" t="n">
        <x:v>1173.422</x:v>
      </x:c>
      <x:c r="F46" s="21" t="n">
        <x:v>1209.422</x:v>
      </x:c>
      <x:c r="G46" s="21" t="n">
        <x:v>10800</x:v>
      </x:c>
      <x:c r="H46" s="21"/>
      <x:c r="I46" s="12" t="str">
        <x:v>否</x:v>
      </x:c>
      <x:c r="J46" s="5" t="n">
        <x:v>8</x:v>
      </x:c>
      <x:c r="K46" s="21" t="n">
        <x:v>0</x:v>
      </x:c>
    </x:row>
    <x:row r="47" ht="30" customHeight="1">
      <x:c r="A47" s="16" t="str">
        <x:v>S006-MED-01</x:v>
      </x:c>
      <x:c r="B47" s="16" t="str">
        <x:v>Q2-008</x:v>
      </x:c>
      <x:c r="C47" s="16" t="str">
        <x:v>S006</x:v>
      </x:c>
      <x:c r="D47" s="13" t="n">
        <x:v>1</x:v>
      </x:c>
      <x:c r="E47" s="22" t="n">
        <x:v>993.422</x:v>
      </x:c>
      <x:c r="F47" s="22" t="n">
        <x:v>1029.422</x:v>
      </x:c>
      <x:c r="G47" s="22" t="n">
        <x:v>3600</x:v>
      </x:c>
      <x:c r="H47" s="22" t="n">
        <x:v>3600</x:v>
      </x:c>
      <x:c r="I47" s="16" t="str">
        <x:v>是</x:v>
      </x:c>
      <x:c r="J47" s="13" t="n">
        <x:v>24</x:v>
      </x:c>
      <x:c r="K47" s="22" t="n">
        <x:v>0</x:v>
      </x:c>
    </x:row>
    <x:row r="48" ht="30" customHeight="1">
      <x:c r="A48" s="12" t="str">
        <x:v>S006-WAT-01</x:v>
      </x:c>
      <x:c r="B48" s="12" t="str">
        <x:v>Q2-008</x:v>
      </x:c>
      <x:c r="C48" s="12" t="str">
        <x:v>S006</x:v>
      </x:c>
      <x:c r="D48" s="5" t="n">
        <x:v>2</x:v>
      </x:c>
      <x:c r="E48" s="21" t="n">
        <x:v>1029.422</x:v>
      </x:c>
      <x:c r="F48" s="21" t="n">
        <x:v>1065.422</x:v>
      </x:c>
      <x:c r="G48" s="21" t="n">
        <x:v>3600</x:v>
      </x:c>
      <x:c r="H48" s="21" t="n">
        <x:v>3600</x:v>
      </x:c>
      <x:c r="I48" s="12" t="str">
        <x:v>是</x:v>
      </x:c>
      <x:c r="J48" s="5" t="n">
        <x:v>12</x:v>
      </x:c>
      <x:c r="K48" s="21" t="n">
        <x:v>0</x:v>
      </x:c>
    </x:row>
    <x:row r="49" ht="30" customHeight="1">
      <x:c r="A49" s="16" t="str">
        <x:v>S006-WAT-02</x:v>
      </x:c>
      <x:c r="B49" s="16" t="str">
        <x:v>Q2-008</x:v>
      </x:c>
      <x:c r="C49" s="16" t="str">
        <x:v>S006</x:v>
      </x:c>
      <x:c r="D49" s="13" t="n">
        <x:v>3</x:v>
      </x:c>
      <x:c r="E49" s="22" t="n">
        <x:v>1065.422</x:v>
      </x:c>
      <x:c r="F49" s="22" t="n">
        <x:v>1101.422</x:v>
      </x:c>
      <x:c r="G49" s="22" t="n">
        <x:v>3600</x:v>
      </x:c>
      <x:c r="H49" s="22"/>
      <x:c r="I49" s="16" t="str">
        <x:v>否</x:v>
      </x:c>
      <x:c r="J49" s="13" t="n">
        <x:v>12</x:v>
      </x:c>
      <x:c r="K49" s="22" t="n">
        <x:v>0</x:v>
      </x:c>
    </x:row>
    <x:row r="50" ht="30" customHeight="1">
      <x:c r="A50" s="12" t="str">
        <x:v>S006-WAT-03</x:v>
      </x:c>
      <x:c r="B50" s="12" t="str">
        <x:v>Q2-008</x:v>
      </x:c>
      <x:c r="C50" s="12" t="str">
        <x:v>S006</x:v>
      </x:c>
      <x:c r="D50" s="5" t="n">
        <x:v>4</x:v>
      </x:c>
      <x:c r="E50" s="21" t="n">
        <x:v>1101.422</x:v>
      </x:c>
      <x:c r="F50" s="21" t="n">
        <x:v>1137.422</x:v>
      </x:c>
      <x:c r="G50" s="21" t="n">
        <x:v>3600</x:v>
      </x:c>
      <x:c r="H50" s="21"/>
      <x:c r="I50" s="12" t="str">
        <x:v>否</x:v>
      </x:c>
      <x:c r="J50" s="5" t="n">
        <x:v>12</x:v>
      </x:c>
      <x:c r="K50" s="21" t="n">
        <x:v>0</x:v>
      </x:c>
    </x:row>
    <x:row r="51" ht="30" customHeight="1">
      <x:c r="A51" s="16" t="str">
        <x:v>S007-FOD-01</x:v>
      </x:c>
      <x:c r="B51" s="16" t="str">
        <x:v>Q2-004</x:v>
      </x:c>
      <x:c r="C51" s="16" t="str">
        <x:v>S007</x:v>
      </x:c>
      <x:c r="D51" s="13" t="n">
        <x:v>2</x:v>
      </x:c>
      <x:c r="E51" s="22" t="n">
        <x:v>1111.374</x:v>
      </x:c>
      <x:c r="F51" s="22" t="n">
        <x:v>1141.374</x:v>
      </x:c>
      <x:c r="G51" s="22" t="n">
        <x:v>7200</x:v>
      </x:c>
      <x:c r="H51" s="22"/>
      <x:c r="I51" s="16" t="str">
        <x:v>否</x:v>
      </x:c>
      <x:c r="J51" s="13" t="n">
        <x:v>10</x:v>
      </x:c>
      <x:c r="K51" s="22" t="n">
        <x:v>0</x:v>
      </x:c>
    </x:row>
    <x:row r="52" ht="30" customHeight="1">
      <x:c r="A52" s="12" t="str">
        <x:v>S007-HYG-01</x:v>
      </x:c>
      <x:c r="B52" s="12" t="str">
        <x:v>Q2-007</x:v>
      </x:c>
      <x:c r="C52" s="12" t="str">
        <x:v>S007</x:v>
      </x:c>
      <x:c r="D52" s="5" t="n">
        <x:v>2</x:v>
      </x:c>
      <x:c r="E52" s="21" t="n">
        <x:v>1111.374</x:v>
      </x:c>
      <x:c r="F52" s="21" t="n">
        <x:v>1141.374</x:v>
      </x:c>
      <x:c r="G52" s="21" t="n">
        <x:v>10800</x:v>
      </x:c>
      <x:c r="H52" s="21"/>
      <x:c r="I52" s="12" t="str">
        <x:v>否</x:v>
      </x:c>
      <x:c r="J52" s="5" t="n">
        <x:v>8</x:v>
      </x:c>
      <x:c r="K52" s="21" t="n">
        <x:v>0</x:v>
      </x:c>
    </x:row>
    <x:row r="53" ht="30" customHeight="1">
      <x:c r="A53" s="16" t="str">
        <x:v>S007-MED-01</x:v>
      </x:c>
      <x:c r="B53" s="16" t="str">
        <x:v>Q2-007</x:v>
      </x:c>
      <x:c r="C53" s="16" t="str">
        <x:v>S007</x:v>
      </x:c>
      <x:c r="D53" s="13" t="n">
        <x:v>1</x:v>
      </x:c>
      <x:c r="E53" s="22" t="n">
        <x:v>1081.374</x:v>
      </x:c>
      <x:c r="F53" s="22" t="n">
        <x:v>1111.374</x:v>
      </x:c>
      <x:c r="G53" s="22" t="n">
        <x:v>3600</x:v>
      </x:c>
      <x:c r="H53" s="22" t="n">
        <x:v>3600</x:v>
      </x:c>
      <x:c r="I53" s="16" t="str">
        <x:v>是</x:v>
      </x:c>
      <x:c r="J53" s="13" t="n">
        <x:v>24</x:v>
      </x:c>
      <x:c r="K53" s="22" t="n">
        <x:v>0</x:v>
      </x:c>
    </x:row>
    <x:row r="54" ht="30" customHeight="1">
      <x:c r="A54" s="12" t="str">
        <x:v>S007-WAT-01</x:v>
      </x:c>
      <x:c r="B54" s="12" t="str">
        <x:v>Q2-004</x:v>
      </x:c>
      <x:c r="C54" s="12" t="str">
        <x:v>S007</x:v>
      </x:c>
      <x:c r="D54" s="5" t="n">
        <x:v>1</x:v>
      </x:c>
      <x:c r="E54" s="21" t="n">
        <x:v>1081.374</x:v>
      </x:c>
      <x:c r="F54" s="21" t="n">
        <x:v>1111.374</x:v>
      </x:c>
      <x:c r="G54" s="21" t="n">
        <x:v>3600</x:v>
      </x:c>
      <x:c r="H54" s="21" t="n">
        <x:v>3600</x:v>
      </x:c>
      <x:c r="I54" s="12" t="str">
        <x:v>是</x:v>
      </x:c>
      <x:c r="J54" s="5" t="n">
        <x:v>12</x:v>
      </x:c>
      <x:c r="K54" s="21" t="n">
        <x:v>0</x:v>
      </x:c>
    </x:row>
    <x:row r="55" ht="30" customHeight="1">
      <x:c r="A55" s="16" t="str">
        <x:v>S007-WAT-02</x:v>
      </x:c>
      <x:c r="B55" s="16" t="str">
        <x:v>Q2-011</x:v>
      </x:c>
      <x:c r="C55" s="16" t="str">
        <x:v>S007</x:v>
      </x:c>
      <x:c r="D55" s="13" t="n">
        <x:v>1</x:v>
      </x:c>
      <x:c r="E55" s="22" t="n">
        <x:v>2778.842</x:v>
      </x:c>
      <x:c r="F55" s="22" t="n">
        <x:v>2808.842</x:v>
      </x:c>
      <x:c r="G55" s="22" t="n">
        <x:v>3600</x:v>
      </x:c>
      <x:c r="H55" s="22"/>
      <x:c r="I55" s="16" t="str">
        <x:v>否</x:v>
      </x:c>
      <x:c r="J55" s="13" t="n">
        <x:v>12</x:v>
      </x:c>
      <x:c r="K55" s="22" t="n">
        <x:v>0</x:v>
      </x:c>
    </x:row>
    <x:row r="56" ht="30" customHeight="1">
      <x:c r="A56" s="12" t="str">
        <x:v>S008-FOD-01</x:v>
      </x:c>
      <x:c r="B56" s="12" t="str">
        <x:v>Q2-017</x:v>
      </x:c>
      <x:c r="C56" s="12" t="str">
        <x:v>S008</x:v>
      </x:c>
      <x:c r="D56" s="5" t="n">
        <x:v>3</x:v>
      </x:c>
      <x:c r="E56" s="21" t="n">
        <x:v>4327.066</x:v>
      </x:c>
      <x:c r="F56" s="21" t="n">
        <x:v>4357.066</x:v>
      </x:c>
      <x:c r="G56" s="21" t="n">
        <x:v>10800</x:v>
      </x:c>
      <x:c r="H56" s="21"/>
      <x:c r="I56" s="12" t="str">
        <x:v>否</x:v>
      </x:c>
      <x:c r="J56" s="5" t="n">
        <x:v>8</x:v>
      </x:c>
      <x:c r="K56" s="21" t="n">
        <x:v>0</x:v>
      </x:c>
    </x:row>
    <x:row r="57" ht="30" customHeight="1">
      <x:c r="A57" s="16" t="str">
        <x:v>S008-HYG-01</x:v>
      </x:c>
      <x:c r="B57" s="16" t="str">
        <x:v>Q2-020</x:v>
      </x:c>
      <x:c r="C57" s="16" t="str">
        <x:v>S008</x:v>
      </x:c>
      <x:c r="D57" s="13" t="n">
        <x:v>1</x:v>
      </x:c>
      <x:c r="E57" s="22" t="n">
        <x:v>4947.044</x:v>
      </x:c>
      <x:c r="F57" s="22" t="n">
        <x:v>4977.044</x:v>
      </x:c>
      <x:c r="G57" s="22" t="n">
        <x:v>14400</x:v>
      </x:c>
      <x:c r="H57" s="22"/>
      <x:c r="I57" s="16" t="str">
        <x:v>否</x:v>
      </x:c>
      <x:c r="J57" s="13" t="n">
        <x:v>6</x:v>
      </x:c>
      <x:c r="K57" s="22" t="n">
        <x:v>0</x:v>
      </x:c>
    </x:row>
    <x:row r="58" ht="30" customHeight="1">
      <x:c r="A58" s="12" t="str">
        <x:v>S008-MED-01</x:v>
      </x:c>
      <x:c r="B58" s="12" t="str">
        <x:v>Q2-017</x:v>
      </x:c>
      <x:c r="C58" s="12" t="str">
        <x:v>S008</x:v>
      </x:c>
      <x:c r="D58" s="5" t="n">
        <x:v>1</x:v>
      </x:c>
      <x:c r="E58" s="21" t="n">
        <x:v>4267.066</x:v>
      </x:c>
      <x:c r="F58" s="21" t="n">
        <x:v>4297.066</x:v>
      </x:c>
      <x:c r="G58" s="21" t="n">
        <x:v>7200</x:v>
      </x:c>
      <x:c r="H58" s="21" t="n">
        <x:v>7200</x:v>
      </x:c>
      <x:c r="I58" s="12" t="str">
        <x:v>是</x:v>
      </x:c>
      <x:c r="J58" s="5" t="n">
        <x:v>20</x:v>
      </x:c>
      <x:c r="K58" s="21" t="n">
        <x:v>0</x:v>
      </x:c>
    </x:row>
    <x:row r="59" ht="30" customHeight="1">
      <x:c r="A59" s="16" t="str">
        <x:v>S008-WAT-01</x:v>
      </x:c>
      <x:c r="B59" s="16" t="str">
        <x:v>Q2-017</x:v>
      </x:c>
      <x:c r="C59" s="16" t="str">
        <x:v>S008</x:v>
      </x:c>
      <x:c r="D59" s="13" t="n">
        <x:v>2</x:v>
      </x:c>
      <x:c r="E59" s="22" t="n">
        <x:v>4297.066</x:v>
      </x:c>
      <x:c r="F59" s="22" t="n">
        <x:v>4327.066</x:v>
      </x:c>
      <x:c r="G59" s="22" t="n">
        <x:v>7200</x:v>
      </x:c>
      <x:c r="H59" s="22" t="n">
        <x:v>7200</x:v>
      </x:c>
      <x:c r="I59" s="16" t="str">
        <x:v>是</x:v>
      </x:c>
      <x:c r="J59" s="13" t="n">
        <x:v>10</x:v>
      </x:c>
      <x:c r="K59" s="22" t="n">
        <x:v>0</x:v>
      </x:c>
    </x:row>
    <x:row r="60" ht="30" customHeight="1">
      <x:c r="A60" s="12" t="str">
        <x:v>S008-WAT-02</x:v>
      </x:c>
      <x:c r="B60" s="12" t="str">
        <x:v>Q2-016</x:v>
      </x:c>
      <x:c r="C60" s="12" t="str">
        <x:v>S008</x:v>
      </x:c>
      <x:c r="D60" s="5" t="n">
        <x:v>1</x:v>
      </x:c>
      <x:c r="E60" s="21" t="n">
        <x:v>4072.658</x:v>
      </x:c>
      <x:c r="F60" s="21" t="n">
        <x:v>4102.658</x:v>
      </x:c>
      <x:c r="G60" s="21" t="n">
        <x:v>7200</x:v>
      </x:c>
      <x:c r="H60" s="21"/>
      <x:c r="I60" s="12" t="str">
        <x:v>否</x:v>
      </x:c>
      <x:c r="J60" s="5" t="n">
        <x:v>10</x:v>
      </x:c>
      <x:c r="K60" s="21" t="n">
        <x:v>0</x:v>
      </x:c>
    </x:row>
    <x:row r="61" ht="30" customHeight="1">
      <x:c r="A61" s="16" t="str">
        <x:v>S009-FOD-01</x:v>
      </x:c>
      <x:c r="B61" s="16" t="str">
        <x:v>Q2-023</x:v>
      </x:c>
      <x:c r="C61" s="16" t="str">
        <x:v>S009</x:v>
      </x:c>
      <x:c r="D61" s="13" t="n">
        <x:v>3</x:v>
      </x:c>
      <x:c r="E61" s="22" t="n">
        <x:v>6088.583</x:v>
      </x:c>
      <x:c r="F61" s="22" t="n">
        <x:v>6118.583</x:v>
      </x:c>
      <x:c r="G61" s="22" t="n">
        <x:v>14400</x:v>
      </x:c>
      <x:c r="H61" s="22"/>
      <x:c r="I61" s="16" t="str">
        <x:v>否</x:v>
      </x:c>
      <x:c r="J61" s="13" t="n">
        <x:v>6</x:v>
      </x:c>
      <x:c r="K61" s="22" t="n">
        <x:v>0</x:v>
      </x:c>
    </x:row>
    <x:row r="62" ht="30" customHeight="1">
      <x:c r="A62" s="12" t="str">
        <x:v>S009-MED-01</x:v>
      </x:c>
      <x:c r="B62" s="12" t="str">
        <x:v>Q2-023</x:v>
      </x:c>
      <x:c r="C62" s="12" t="str">
        <x:v>S009</x:v>
      </x:c>
      <x:c r="D62" s="5" t="n">
        <x:v>1</x:v>
      </x:c>
      <x:c r="E62" s="21" t="n">
        <x:v>6028.583</x:v>
      </x:c>
      <x:c r="F62" s="21" t="n">
        <x:v>6058.583</x:v>
      </x:c>
      <x:c r="G62" s="21" t="n">
        <x:v>10800</x:v>
      </x:c>
      <x:c r="H62" s="21" t="n">
        <x:v>10800</x:v>
      </x:c>
      <x:c r="I62" s="12" t="str">
        <x:v>是</x:v>
      </x:c>
      <x:c r="J62" s="5" t="n">
        <x:v>16</x:v>
      </x:c>
      <x:c r="K62" s="21" t="n">
        <x:v>0</x:v>
      </x:c>
    </x:row>
    <x:row r="63" ht="30" customHeight="1">
      <x:c r="A63" s="16" t="str">
        <x:v>S009-WAT-01</x:v>
      </x:c>
      <x:c r="B63" s="16" t="str">
        <x:v>Q2-023</x:v>
      </x:c>
      <x:c r="C63" s="16" t="str">
        <x:v>S009</x:v>
      </x:c>
      <x:c r="D63" s="13" t="n">
        <x:v>2</x:v>
      </x:c>
      <x:c r="E63" s="22" t="n">
        <x:v>6058.583</x:v>
      </x:c>
      <x:c r="F63" s="22" t="n">
        <x:v>6088.583</x:v>
      </x:c>
      <x:c r="G63" s="22" t="n">
        <x:v>10800</x:v>
      </x:c>
      <x:c r="H63" s="22" t="n">
        <x:v>10800</x:v>
      </x:c>
      <x:c r="I63" s="16" t="str">
        <x:v>是</x:v>
      </x:c>
      <x:c r="J63" s="13" t="n">
        <x:v>8</x:v>
      </x:c>
      <x:c r="K63" s="22" t="n">
        <x:v>0</x:v>
      </x:c>
    </x:row>
    <x:row r="64" ht="30" customHeight="1">
      <x:c r="A64" s="12" t="str">
        <x:v>S010-FOD-01</x:v>
      </x:c>
      <x:c r="B64" s="12" t="str">
        <x:v>Q2-005</x:v>
      </x:c>
      <x:c r="C64" s="12" t="str">
        <x:v>S010</x:v>
      </x:c>
      <x:c r="D64" s="5" t="n">
        <x:v>3</x:v>
      </x:c>
      <x:c r="E64" s="21" t="n">
        <x:v>1055.239</x:v>
      </x:c>
      <x:c r="F64" s="21" t="n">
        <x:v>1085.239</x:v>
      </x:c>
      <x:c r="G64" s="21" t="n">
        <x:v>7200</x:v>
      </x:c>
      <x:c r="H64" s="21"/>
      <x:c r="I64" s="12" t="str">
        <x:v>否</x:v>
      </x:c>
      <x:c r="J64" s="5" t="n">
        <x:v>10</x:v>
      </x:c>
      <x:c r="K64" s="21" t="n">
        <x:v>0</x:v>
      </x:c>
    </x:row>
    <x:row r="65" ht="30" customHeight="1">
      <x:c r="A65" s="16" t="str">
        <x:v>S010-MED-01</x:v>
      </x:c>
      <x:c r="B65" s="16" t="str">
        <x:v>Q2-005</x:v>
      </x:c>
      <x:c r="C65" s="16" t="str">
        <x:v>S010</x:v>
      </x:c>
      <x:c r="D65" s="13" t="n">
        <x:v>1</x:v>
      </x:c>
      <x:c r="E65" s="22" t="n">
        <x:v>995.239</x:v>
      </x:c>
      <x:c r="F65" s="22" t="n">
        <x:v>1025.239</x:v>
      </x:c>
      <x:c r="G65" s="22" t="n">
        <x:v>3600</x:v>
      </x:c>
      <x:c r="H65" s="22" t="n">
        <x:v>3600</x:v>
      </x:c>
      <x:c r="I65" s="16" t="str">
        <x:v>是</x:v>
      </x:c>
      <x:c r="J65" s="13" t="n">
        <x:v>24</x:v>
      </x:c>
      <x:c r="K65" s="22" t="n">
        <x:v>0</x:v>
      </x:c>
    </x:row>
    <x:row r="66" ht="30" customHeight="1">
      <x:c r="A66" s="12" t="str">
        <x:v>S010-WAT-01</x:v>
      </x:c>
      <x:c r="B66" s="12" t="str">
        <x:v>Q2-005</x:v>
      </x:c>
      <x:c r="C66" s="12" t="str">
        <x:v>S010</x:v>
      </x:c>
      <x:c r="D66" s="5" t="n">
        <x:v>2</x:v>
      </x:c>
      <x:c r="E66" s="21" t="n">
        <x:v>1025.239</x:v>
      </x:c>
      <x:c r="F66" s="21" t="n">
        <x:v>1055.239</x:v>
      </x:c>
      <x:c r="G66" s="21" t="n">
        <x:v>3600</x:v>
      </x:c>
      <x:c r="H66" s="21" t="n">
        <x:v>3600</x:v>
      </x:c>
      <x:c r="I66" s="12" t="str">
        <x:v>是</x:v>
      </x:c>
      <x:c r="J66" s="5" t="n">
        <x:v>12</x:v>
      </x:c>
      <x:c r="K66" s="21" t="n">
        <x:v>0</x:v>
      </x:c>
    </x:row>
    <x:row r="67" ht="30" customHeight="1">
      <x:c r="A67" s="16" t="str">
        <x:v>S011-FOD-01</x:v>
      </x:c>
      <x:c r="B67" s="16" t="str">
        <x:v>Q2-024</x:v>
      </x:c>
      <x:c r="C67" s="16" t="str">
        <x:v>S011</x:v>
      </x:c>
      <x:c r="D67" s="13" t="n">
        <x:v>3</x:v>
      </x:c>
      <x:c r="E67" s="22" t="n">
        <x:v>6510.689</x:v>
      </x:c>
      <x:c r="F67" s="22" t="n">
        <x:v>6546.689</x:v>
      </x:c>
      <x:c r="G67" s="22" t="n">
        <x:v>14400</x:v>
      </x:c>
      <x:c r="H67" s="22"/>
      <x:c r="I67" s="16" t="str">
        <x:v>否</x:v>
      </x:c>
      <x:c r="J67" s="13" t="n">
        <x:v>6</x:v>
      </x:c>
      <x:c r="K67" s="22" t="n">
        <x:v>0</x:v>
      </x:c>
    </x:row>
    <x:row r="68" ht="30" customHeight="1">
      <x:c r="A68" s="12" t="str">
        <x:v>S011-MED-01</x:v>
      </x:c>
      <x:c r="B68" s="12" t="str">
        <x:v>Q2-024</x:v>
      </x:c>
      <x:c r="C68" s="12" t="str">
        <x:v>S011</x:v>
      </x:c>
      <x:c r="D68" s="5" t="n">
        <x:v>1</x:v>
      </x:c>
      <x:c r="E68" s="21" t="n">
        <x:v>6438.689</x:v>
      </x:c>
      <x:c r="F68" s="21" t="n">
        <x:v>6474.689</x:v>
      </x:c>
      <x:c r="G68" s="21" t="n">
        <x:v>10800</x:v>
      </x:c>
      <x:c r="H68" s="21" t="n">
        <x:v>10800</x:v>
      </x:c>
      <x:c r="I68" s="12" t="str">
        <x:v>是</x:v>
      </x:c>
      <x:c r="J68" s="5" t="n">
        <x:v>16</x:v>
      </x:c>
      <x:c r="K68" s="21" t="n">
        <x:v>0</x:v>
      </x:c>
    </x:row>
    <x:row r="69" ht="30" customHeight="1">
      <x:c r="A69" s="16" t="str">
        <x:v>S011-WAT-01</x:v>
      </x:c>
      <x:c r="B69" s="16" t="str">
        <x:v>Q2-024</x:v>
      </x:c>
      <x:c r="C69" s="16" t="str">
        <x:v>S011</x:v>
      </x:c>
      <x:c r="D69" s="13" t="n">
        <x:v>2</x:v>
      </x:c>
      <x:c r="E69" s="22" t="n">
        <x:v>6474.689</x:v>
      </x:c>
      <x:c r="F69" s="22" t="n">
        <x:v>6510.689</x:v>
      </x:c>
      <x:c r="G69" s="22" t="n">
        <x:v>10800</x:v>
      </x:c>
      <x:c r="H69" s="22" t="n">
        <x:v>10800</x:v>
      </x:c>
      <x:c r="I69" s="16" t="str">
        <x:v>是</x:v>
      </x:c>
      <x:c r="J69" s="13" t="n">
        <x:v>8</x:v>
      </x:c>
      <x:c r="K69" s="22" t="n">
        <x:v>0</x:v>
      </x:c>
    </x:row>
    <x:row r="70" ht="30" customHeight="1">
      <x:c r="A70" s="12" t="str">
        <x:v>S012-FOD-01</x:v>
      </x:c>
      <x:c r="B70" s="12" t="str">
        <x:v>Q2-001</x:v>
      </x:c>
      <x:c r="C70" s="12" t="str">
        <x:v>S012</x:v>
      </x:c>
      <x:c r="D70" s="5" t="n">
        <x:v>3</x:v>
      </x:c>
      <x:c r="E70" s="21" t="n">
        <x:v>1241.344</x:v>
      </x:c>
      <x:c r="F70" s="21" t="n">
        <x:v>1271.344</x:v>
      </x:c>
      <x:c r="G70" s="21" t="n">
        <x:v>7200</x:v>
      </x:c>
      <x:c r="H70" s="21"/>
      <x:c r="I70" s="12" t="str">
        <x:v>否</x:v>
      </x:c>
      <x:c r="J70" s="5" t="n">
        <x:v>10</x:v>
      </x:c>
      <x:c r="K70" s="21" t="n">
        <x:v>0</x:v>
      </x:c>
    </x:row>
    <x:row r="71" ht="30" customHeight="1">
      <x:c r="A71" s="16" t="str">
        <x:v>S012-MED-01</x:v>
      </x:c>
      <x:c r="B71" s="16" t="str">
        <x:v>Q2-001</x:v>
      </x:c>
      <x:c r="C71" s="16" t="str">
        <x:v>S012</x:v>
      </x:c>
      <x:c r="D71" s="13" t="n">
        <x:v>2</x:v>
      </x:c>
      <x:c r="E71" s="22" t="n">
        <x:v>1211.344</x:v>
      </x:c>
      <x:c r="F71" s="22" t="n">
        <x:v>1241.344</x:v>
      </x:c>
      <x:c r="G71" s="22" t="n">
        <x:v>7200</x:v>
      </x:c>
      <x:c r="H71" s="22" t="n">
        <x:v>3600</x:v>
      </x:c>
      <x:c r="I71" s="16" t="str">
        <x:v>是</x:v>
      </x:c>
      <x:c r="J71" s="13" t="n">
        <x:v>22</x:v>
      </x:c>
      <x:c r="K71" s="22" t="n">
        <x:v>0</x:v>
      </x:c>
    </x:row>
    <x:row r="72" ht="30" customHeight="1">
      <x:c r="A72" s="12" t="str">
        <x:v>S012-WAT-01</x:v>
      </x:c>
      <x:c r="B72" s="12" t="str">
        <x:v>Q2-001</x:v>
      </x:c>
      <x:c r="C72" s="12" t="str">
        <x:v>S012</x:v>
      </x:c>
      <x:c r="D72" s="5" t="n">
        <x:v>1</x:v>
      </x:c>
      <x:c r="E72" s="21" t="n">
        <x:v>1181.344</x:v>
      </x:c>
      <x:c r="F72" s="21" t="n">
        <x:v>1211.344</x:v>
      </x:c>
      <x:c r="G72" s="21" t="n">
        <x:v>3600</x:v>
      </x:c>
      <x:c r="H72" s="21" t="n">
        <x:v>3600</x:v>
      </x:c>
      <x:c r="I72" s="12" t="str">
        <x:v>是</x:v>
      </x:c>
      <x:c r="J72" s="5" t="n">
        <x:v>12</x:v>
      </x:c>
      <x:c r="K72" s="21" t="n">
        <x:v>0</x:v>
      </x:c>
    </x:row>
    <x:row r="73" ht="30" customHeight="1">
      <x:c r="A73" s="16" t="str">
        <x:v>S013-FOD-01</x:v>
      </x:c>
      <x:c r="B73" s="16" t="str">
        <x:v>Q2-009</x:v>
      </x:c>
      <x:c r="C73" s="16" t="str">
        <x:v>S013</x:v>
      </x:c>
      <x:c r="D73" s="13" t="n">
        <x:v>3</x:v>
      </x:c>
      <x:c r="E73" s="22" t="n">
        <x:v>2588.195</x:v>
      </x:c>
      <x:c r="F73" s="22" t="n">
        <x:v>2618.195</x:v>
      </x:c>
      <x:c r="G73" s="22" t="n">
        <x:v>7200</x:v>
      </x:c>
      <x:c r="H73" s="22"/>
      <x:c r="I73" s="16" t="str">
        <x:v>否</x:v>
      </x:c>
      <x:c r="J73" s="13" t="n">
        <x:v>10</x:v>
      </x:c>
      <x:c r="K73" s="22" t="n">
        <x:v>0</x:v>
      </x:c>
    </x:row>
    <x:row r="74" ht="30" customHeight="1">
      <x:c r="A74" s="12" t="str">
        <x:v>S013-MED-01</x:v>
      </x:c>
      <x:c r="B74" s="12" t="str">
        <x:v>Q2-009</x:v>
      </x:c>
      <x:c r="C74" s="12" t="str">
        <x:v>S013</x:v>
      </x:c>
      <x:c r="D74" s="5" t="n">
        <x:v>1</x:v>
      </x:c>
      <x:c r="E74" s="21" t="n">
        <x:v>2528.195</x:v>
      </x:c>
      <x:c r="F74" s="21" t="n">
        <x:v>2558.195</x:v>
      </x:c>
      <x:c r="G74" s="21" t="n">
        <x:v>3600</x:v>
      </x:c>
      <x:c r="H74" s="21" t="n">
        <x:v>3600</x:v>
      </x:c>
      <x:c r="I74" s="12" t="str">
        <x:v>是</x:v>
      </x:c>
      <x:c r="J74" s="5" t="n">
        <x:v>24</x:v>
      </x:c>
      <x:c r="K74" s="21" t="n">
        <x:v>0</x:v>
      </x:c>
    </x:row>
    <x:row r="75" ht="30" customHeight="1">
      <x:c r="A75" s="16" t="str">
        <x:v>S013-WAT-01</x:v>
      </x:c>
      <x:c r="B75" s="16" t="str">
        <x:v>Q2-009</x:v>
      </x:c>
      <x:c r="C75" s="16" t="str">
        <x:v>S013</x:v>
      </x:c>
      <x:c r="D75" s="13" t="n">
        <x:v>2</x:v>
      </x:c>
      <x:c r="E75" s="22" t="n">
        <x:v>2558.195</x:v>
      </x:c>
      <x:c r="F75" s="22" t="n">
        <x:v>2588.195</x:v>
      </x:c>
      <x:c r="G75" s="22" t="n">
        <x:v>3600</x:v>
      </x:c>
      <x:c r="H75" s="22" t="n">
        <x:v>3600</x:v>
      </x:c>
      <x:c r="I75" s="16" t="str">
        <x:v>是</x:v>
      </x:c>
      <x:c r="J75" s="13" t="n">
        <x:v>12</x:v>
      </x:c>
      <x:c r="K75" s="22" t="n">
        <x:v>0</x:v>
      </x:c>
    </x:row>
    <x:row r="76" ht="30" customHeight="1">
      <x:c r="A76" s="12" t="str">
        <x:v>S014-FOD-01</x:v>
      </x:c>
      <x:c r="B76" s="12" t="str">
        <x:v>Q2-006</x:v>
      </x:c>
      <x:c r="C76" s="12" t="str">
        <x:v>S014</x:v>
      </x:c>
      <x:c r="D76" s="5" t="n">
        <x:v>2</x:v>
      </x:c>
      <x:c r="E76" s="21" t="n">
        <x:v>1242.757</x:v>
      </x:c>
      <x:c r="F76" s="21" t="n">
        <x:v>1272.757</x:v>
      </x:c>
      <x:c r="G76" s="21" t="n">
        <x:v>7200</x:v>
      </x:c>
      <x:c r="H76" s="21"/>
      <x:c r="I76" s="12" t="str">
        <x:v>否</x:v>
      </x:c>
      <x:c r="J76" s="5" t="n">
        <x:v>10</x:v>
      </x:c>
      <x:c r="K76" s="21" t="n">
        <x:v>0</x:v>
      </x:c>
    </x:row>
    <x:row r="77" ht="30" customHeight="1">
      <x:c r="A77" s="16" t="str">
        <x:v>S014-MED-01</x:v>
      </x:c>
      <x:c r="B77" s="16" t="str">
        <x:v>Q2-006</x:v>
      </x:c>
      <x:c r="C77" s="16" t="str">
        <x:v>S014</x:v>
      </x:c>
      <x:c r="D77" s="13" t="n">
        <x:v>1</x:v>
      </x:c>
      <x:c r="E77" s="22" t="n">
        <x:v>1212.757</x:v>
      </x:c>
      <x:c r="F77" s="22" t="n">
        <x:v>1242.757</x:v>
      </x:c>
      <x:c r="G77" s="22" t="n">
        <x:v>7200</x:v>
      </x:c>
      <x:c r="H77" s="22" t="n">
        <x:v>3600</x:v>
      </x:c>
      <x:c r="I77" s="16" t="str">
        <x:v>是</x:v>
      </x:c>
      <x:c r="J77" s="13" t="n">
        <x:v>22</x:v>
      </x:c>
      <x:c r="K77" s="22" t="n">
        <x:v>0</x:v>
      </x:c>
    </x:row>
    <x:row r="78" ht="30" customHeight="1">
      <x:c r="A78" s="12" t="str">
        <x:v>S014-WAT-01</x:v>
      </x:c>
      <x:c r="B78" s="12" t="str">
        <x:v>Q2-003</x:v>
      </x:c>
      <x:c r="C78" s="12" t="str">
        <x:v>S014</x:v>
      </x:c>
      <x:c r="D78" s="5" t="n">
        <x:v>1</x:v>
      </x:c>
      <x:c r="E78" s="21" t="n">
        <x:v>1182.757</x:v>
      </x:c>
      <x:c r="F78" s="21" t="n">
        <x:v>1212.757</x:v>
      </x:c>
      <x:c r="G78" s="21" t="n">
        <x:v>3600</x:v>
      </x:c>
      <x:c r="H78" s="21" t="n">
        <x:v>3600</x:v>
      </x:c>
      <x:c r="I78" s="12" t="str">
        <x:v>是</x:v>
      </x:c>
      <x:c r="J78" s="5" t="n">
        <x:v>12</x:v>
      </x:c>
      <x:c r="K78" s="21" t="n">
        <x:v>0</x:v>
      </x:c>
    </x:row>
    <x:row r="79" ht="30" customHeight="1">
      <x:c r="A79" s="16" t="str">
        <x:v>S015-FOD-01</x:v>
      </x:c>
      <x:c r="B79" s="16" t="str">
        <x:v>Q2-021</x:v>
      </x:c>
      <x:c r="C79" s="16" t="str">
        <x:v>S015</x:v>
      </x:c>
      <x:c r="D79" s="13" t="n">
        <x:v>3</x:v>
      </x:c>
      <x:c r="E79" s="22" t="n">
        <x:v>5326.273</x:v>
      </x:c>
      <x:c r="F79" s="22" t="n">
        <x:v>5356.273</x:v>
      </x:c>
      <x:c r="G79" s="22" t="n">
        <x:v>14400</x:v>
      </x:c>
      <x:c r="H79" s="22"/>
      <x:c r="I79" s="16" t="str">
        <x:v>否</x:v>
      </x:c>
      <x:c r="J79" s="13" t="n">
        <x:v>6</x:v>
      </x:c>
      <x:c r="K79" s="22" t="n">
        <x:v>0</x:v>
      </x:c>
    </x:row>
    <x:row r="80" ht="30" customHeight="1">
      <x:c r="A80" s="12" t="str">
        <x:v>S015-MED-01</x:v>
      </x:c>
      <x:c r="B80" s="12" t="str">
        <x:v>Q2-021</x:v>
      </x:c>
      <x:c r="C80" s="12" t="str">
        <x:v>S015</x:v>
      </x:c>
      <x:c r="D80" s="5" t="n">
        <x:v>1</x:v>
      </x:c>
      <x:c r="E80" s="21" t="n">
        <x:v>5266.273</x:v>
      </x:c>
      <x:c r="F80" s="21" t="n">
        <x:v>5296.273</x:v>
      </x:c>
      <x:c r="G80" s="21" t="n">
        <x:v>7200</x:v>
      </x:c>
      <x:c r="H80" s="21" t="n">
        <x:v>7200</x:v>
      </x:c>
      <x:c r="I80" s="12" t="str">
        <x:v>是</x:v>
      </x:c>
      <x:c r="J80" s="5" t="n">
        <x:v>18</x:v>
      </x:c>
      <x:c r="K80" s="21" t="n">
        <x:v>0</x:v>
      </x:c>
    </x:row>
    <x:row r="81" ht="30" customHeight="1">
      <x:c r="A81" s="16" t="str">
        <x:v>S015-WAT-01</x:v>
      </x:c>
      <x:c r="B81" s="16" t="str">
        <x:v>Q2-021</x:v>
      </x:c>
      <x:c r="C81" s="16" t="str">
        <x:v>S015</x:v>
      </x:c>
      <x:c r="D81" s="13" t="n">
        <x:v>2</x:v>
      </x:c>
      <x:c r="E81" s="22" t="n">
        <x:v>5296.273</x:v>
      </x:c>
      <x:c r="F81" s="22" t="n">
        <x:v>5326.273</x:v>
      </x:c>
      <x:c r="G81" s="22" t="n">
        <x:v>10800</x:v>
      </x:c>
      <x:c r="H81" s="22" t="n">
        <x:v>10800</x:v>
      </x:c>
      <x:c r="I81" s="16" t="str">
        <x:v>是</x:v>
      </x:c>
      <x:c r="J81" s="13" t="n">
        <x:v>8</x:v>
      </x:c>
      <x:c r="K81" s="22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1" hidden="0" customWidth="1"/>
    <x:col min="5" max="5" width="24" hidden="0" customWidth="1"/>
    <x:col min="6" max="6" width="18" hidden="0" customWidth="1"/>
    <x:col min="7" max="7" width="24" hidden="0" customWidth="1"/>
    <x:col min="8" max="8" width="25" hidden="0" customWidth="1"/>
  </x:cols>
  <x:sheetData>
    <x:row r="1" ht="42" customHeight="1">
      <x:c r="A1" s="9" t="str">
        <x:v>电池</x:v>
      </x:c>
      <x:c r="B1" s="9" t="str">
        <x:v>机型</x:v>
      </x:c>
      <x:c r="C1" s="9" t="str">
        <x:v>架次</x:v>
      </x:c>
      <x:c r="D1" s="9" t="str">
        <x:v>占用开始s</x:v>
      </x:c>
      <x:c r="E1" s="9" t="str">
        <x:v>返航充电开始s</x:v>
      </x:c>
      <x:c r="F1" s="9" t="str">
        <x:v>返航SOC</x:v>
      </x:c>
      <x:c r="G1" s="9" t="str">
        <x:v>实际充电时间s</x:v>
      </x:c>
      <x:c r="H1" s="9" t="str">
        <x:v>充满可用时刻s</x:v>
      </x:c>
    </x:row>
    <x:row r="2" ht="30" customHeight="1">
      <x:c r="A2" s="12" t="str">
        <x:v>BAT-A-01</x:v>
      </x:c>
      <x:c r="B2" s="12" t="str">
        <x:v>A</x:v>
      </x:c>
      <x:c r="C2" s="12" t="str">
        <x:v>Q2-003</x:v>
      </x:c>
      <x:c r="D2" s="21" t="n">
        <x:v>0</x:v>
      </x:c>
      <x:c r="E2" s="21" t="n">
        <x:v>1930.4</x:v>
      </x:c>
      <x:c r="F2" s="23" t="n">
        <x:v>0.4996382664339062</x:v>
      </x:c>
      <x:c r="G2" s="21" t="n">
        <x:v>1150.4702536359218</x:v>
      </x:c>
      <x:c r="H2" s="21" t="n">
        <x:v>3080.871</x:v>
      </x:c>
    </x:row>
    <x:row r="3" ht="30" customHeight="1">
      <x:c r="A3" s="16" t="str">
        <x:v>BAT-A-01</x:v>
      </x:c>
      <x:c r="B3" s="16" t="str">
        <x:v>A</x:v>
      </x:c>
      <x:c r="C3" s="16" t="str">
        <x:v>Q2-019</x:v>
      </x:c>
      <x:c r="D3" s="22" t="n">
        <x:v>3394.936</x:v>
      </x:c>
      <x:c r="E3" s="22" t="n">
        <x:v>5597.674</x:v>
      </x:c>
      <x:c r="F3" s="25" t="n">
        <x:v>0.34851355831272657</x:v>
      </x:c>
      <x:c r="G3" s="22" t="n">
        <x:v>1346.9323741934554</x:v>
      </x:c>
      <x:c r="H3" s="22" t="n">
        <x:v>6944.607</x:v>
      </x:c>
    </x:row>
    <x:row r="4" ht="30" customHeight="1">
      <x:c r="A4" s="12" t="str">
        <x:v>BAT-A-02</x:v>
      </x:c>
      <x:c r="B4" s="12" t="str">
        <x:v>A</x:v>
      </x:c>
      <x:c r="C4" s="12" t="str">
        <x:v>Q2-004</x:v>
      </x:c>
      <x:c r="D4" s="21" t="n">
        <x:v>0</x:v>
      </x:c>
      <x:c r="E4" s="21" t="n">
        <x:v>1727.468</x:v>
      </x:c>
      <x:c r="F4" s="23" t="n">
        <x:v>0.562008109850636</x:v>
      </x:c>
      <x:c r="G4" s="21" t="n">
        <x:v>1069.389457194173</x:v>
      </x:c>
      <x:c r="H4" s="21" t="n">
        <x:v>2796.858</x:v>
      </x:c>
    </x:row>
    <x:row r="5" ht="30" customHeight="1">
      <x:c r="A5" s="16" t="str">
        <x:v>BAT-A-02</x:v>
      </x:c>
      <x:c r="B5" s="16" t="str">
        <x:v>A</x:v>
      </x:c>
      <x:c r="C5" s="16" t="str">
        <x:v>Q2-016</x:v>
      </x:c>
      <x:c r="D5" s="22" t="n">
        <x:v>2796.858</x:v>
      </x:c>
      <x:c r="E5" s="22" t="n">
        <x:v>4908.005</x:v>
      </x:c>
      <x:c r="F5" s="25" t="n">
        <x:v>0.3007866990319662</x:v>
      </x:c>
      <x:c r="G5" s="22" t="n">
        <x:v>1408.9772912584438</x:v>
      </x:c>
      <x:c r="H5" s="22" t="n">
        <x:v>6316.983</x:v>
      </x:c>
    </x:row>
    <x:row r="6" ht="30" customHeight="1">
      <x:c r="A6" s="12" t="str">
        <x:v>BAT-A-03</x:v>
      </x:c>
      <x:c r="B6" s="12" t="str">
        <x:v>A</x:v>
      </x:c>
      <x:c r="C6" s="12" t="str">
        <x:v>Q2-006</x:v>
      </x:c>
      <x:c r="D6" s="21" t="n">
        <x:v>0</x:v>
      </x:c>
      <x:c r="E6" s="21" t="n">
        <x:v>1990.4</x:v>
      </x:c>
      <x:c r="F6" s="23" t="n">
        <x:v>0.5072019428770365</x:v>
      </x:c>
      <x:c r="G6" s="21" t="n">
        <x:v>1140.6374742598525</x:v>
      </x:c>
      <x:c r="H6" s="21" t="n">
        <x:v>3131.038</x:v>
      </x:c>
    </x:row>
    <x:row r="7" ht="30" customHeight="1">
      <x:c r="A7" s="16" t="str">
        <x:v>BAT-A-03</x:v>
      </x:c>
      <x:c r="B7" s="16" t="str">
        <x:v>A</x:v>
      </x:c>
      <x:c r="C7" s="16" t="str">
        <x:v>Q2-020</x:v>
      </x:c>
      <x:c r="D7" s="22" t="n">
        <x:v>3671.244</x:v>
      </x:c>
      <x:c r="E7" s="22" t="n">
        <x:v>5782.391</x:v>
      </x:c>
      <x:c r="F7" s="25" t="n">
        <x:v>0.32421696098982566</x:v>
      </x:c>
      <x:c r="G7" s="22" t="n">
        <x:v>1378.5179507132268</x:v>
      </x:c>
      <x:c r="H7" s="22" t="n">
        <x:v>7160.909</x:v>
      </x:c>
    </x:row>
    <x:row r="8" ht="30" customHeight="1">
      <x:c r="A8" s="12" t="str">
        <x:v>BAT-A-04</x:v>
      </x:c>
      <x:c r="B8" s="12" t="str">
        <x:v>A</x:v>
      </x:c>
      <x:c r="C8" s="12" t="str">
        <x:v>Q2-007</x:v>
      </x:c>
      <x:c r="D8" s="21" t="n">
        <x:v>0</x:v>
      </x:c>
      <x:c r="E8" s="21" t="n">
        <x:v>1727.468</x:v>
      </x:c>
      <x:c r="F8" s="23" t="n">
        <x:v>0.5938883694225267</x:v>
      </x:c>
      <x:c r="G8" s="21" t="n">
        <x:v>1027.9451197507153</x:v>
      </x:c>
      <x:c r="H8" s="21" t="n">
        <x:v>2755.414</x:v>
      </x:c>
    </x:row>
    <x:row r="9" ht="30" customHeight="1">
      <x:c r="A9" s="16" t="str">
        <x:v>BAT-A-04</x:v>
      </x:c>
      <x:c r="B9" s="16" t="str">
        <x:v>A</x:v>
      </x:c>
      <x:c r="C9" s="16" t="str">
        <x:v>Q2-015</x:v>
      </x:c>
      <x:c r="D9" s="22" t="n">
        <x:v>2755.414</x:v>
      </x:c>
      <x:c r="E9" s="22" t="n">
        <x:v>3946.322</x:v>
      </x:c>
      <x:c r="F9" s="25" t="n">
        <x:v>0.7289958329602151</x:v>
      </x:c>
      <x:c r="G9" s="22" t="n">
        <x:v>852.3054171517202</x:v>
      </x:c>
      <x:c r="H9" s="22" t="n">
        <x:v>4798.628</x:v>
      </x:c>
    </x:row>
    <x:row r="10" ht="30" customHeight="1">
      <x:c r="A10" s="12" t="str">
        <x:v>BAT-A-05</x:v>
      </x:c>
      <x:c r="B10" s="12" t="str">
        <x:v>A</x:v>
      </x:c>
      <x:c r="C10" s="12" t="str">
        <x:v>Q2-011</x:v>
      </x:c>
      <x:c r="D10" s="21" t="n">
        <x:v>1727.468</x:v>
      </x:c>
      <x:c r="E10" s="21" t="n">
        <x:v>3394.936</x:v>
      </x:c>
      <x:c r="F10" s="23" t="n">
        <x:v>0.5838692411006335</x:v>
      </x:c>
      <x:c r="G10" s="21" t="n">
        <x:v>1040.9699865691762</x:v>
      </x:c>
      <x:c r="H10" s="21" t="n">
        <x:v>4435.906</x:v>
      </x:c>
    </x:row>
    <x:row r="11" ht="30" customHeight="1">
      <x:c r="A11" s="16" t="str">
        <x:v>BAT-A-06</x:v>
      </x:c>
      <x:c r="B11" s="16" t="str">
        <x:v>A</x:v>
      </x:c>
      <x:c r="C11" s="16" t="str">
        <x:v>Q2-012</x:v>
      </x:c>
      <x:c r="D11" s="22" t="n">
        <x:v>1727.468</x:v>
      </x:c>
      <x:c r="E11" s="22" t="n">
        <x:v>3671.244</x:v>
      </x:c>
      <x:c r="F11" s="25" t="n">
        <x:v>0.36189130975029027</x:v>
      </x:c>
      <x:c r="G11" s="22" t="n">
        <x:v>1329.5412973246225</x:v>
      </x:c>
      <x:c r="H11" s="22" t="n">
        <x:v>5000.786</x:v>
      </x:c>
    </x:row>
    <x:row r="12" ht="30" customHeight="1">
      <x:c r="A12" s="12" t="str">
        <x:v>BAT-B-01</x:v>
      </x:c>
      <x:c r="B12" s="12" t="str">
        <x:v>B</x:v>
      </x:c>
      <x:c r="C12" s="12" t="str">
        <x:v>Q2-001</x:v>
      </x:c>
      <x:c r="D12" s="21" t="n">
        <x:v>0</x:v>
      </x:c>
      <x:c r="E12" s="21" t="n">
        <x:v>1922.828</x:v>
      </x:c>
      <x:c r="F12" s="23" t="n">
        <x:v>0.3118500114275169</x:v>
      </x:c>
      <x:c r="G12" s="21" t="n">
        <x:v>1859.4599801923039</x:v>
      </x:c>
      <x:c r="H12" s="21" t="n">
        <x:v>3782.288</x:v>
      </x:c>
    </x:row>
    <x:row r="13" ht="30" customHeight="1">
      <x:c r="A13" s="16" t="str">
        <x:v>BAT-B-01</x:v>
      </x:c>
      <x:c r="B13" s="16" t="str">
        <x:v>B</x:v>
      </x:c>
      <x:c r="C13" s="16" t="str">
        <x:v>Q2-021</x:v>
      </x:c>
      <x:c r="D13" s="22" t="n">
        <x:v>4138.669</x:v>
      </x:c>
      <x:c r="E13" s="22" t="n">
        <x:v>5966.997</x:v>
      </x:c>
      <x:c r="F13" s="25" t="n">
        <x:v>0.42311787356187114</x:v>
      </x:c>
      <x:c r="G13" s="22" t="n">
        <x:v>1666.59568582609</x:v>
      </x:c>
      <x:c r="H13" s="22" t="n">
        <x:v>7633.593</x:v>
      </x:c>
    </x:row>
    <x:row r="14" ht="30" customHeight="1">
      <x:c r="A14" s="12" t="str">
        <x:v>BAT-B-02</x:v>
      </x:c>
      <x:c r="B14" s="12" t="str">
        <x:v>B</x:v>
      </x:c>
      <x:c r="C14" s="12" t="str">
        <x:v>Q2-005</x:v>
      </x:c>
      <x:c r="D14" s="21" t="n">
        <x:v>0</x:v>
      </x:c>
      <x:c r="E14" s="21" t="n">
        <x:v>1555.405</x:v>
      </x:c>
      <x:c r="F14" s="23" t="n">
        <x:v>0.5441958589421465</x:v>
      </x:c>
      <x:c r="G14" s="21" t="n">
        <x:v>1456.7271778336126</x:v>
      </x:c>
      <x:c r="H14" s="21" t="n">
        <x:v>3012.133</x:v>
      </x:c>
    </x:row>
    <x:row r="15" ht="30" customHeight="1">
      <x:c r="A15" s="16" t="str">
        <x:v>BAT-B-02</x:v>
      </x:c>
      <x:c r="B15" s="16" t="str">
        <x:v>B</x:v>
      </x:c>
      <x:c r="C15" s="16" t="str">
        <x:v>Q2-017</x:v>
      </x:c>
      <x:c r="D15" s="22" t="n">
        <x:v>3065.918</x:v>
      </x:c>
      <x:c r="E15" s="22" t="n">
        <x:v>5027.761</x:v>
      </x:c>
      <x:c r="F15" s="25" t="n">
        <x:v>0.25619828136444167</x:v>
      </x:c>
      <x:c r="G15" s="22" t="n">
        <x:v>1955.9229789683006</x:v>
      </x:c>
      <x:c r="H15" s="22" t="n">
        <x:v>6983.684</x:v>
      </x:c>
    </x:row>
    <x:row r="16" ht="30" customHeight="1">
      <x:c r="A16" s="12" t="str">
        <x:v>BAT-B-03</x:v>
      </x:c>
      <x:c r="B16" s="12" t="str">
        <x:v>B</x:v>
      </x:c>
      <x:c r="C16" s="12" t="str">
        <x:v>Q2-009</x:v>
      </x:c>
      <x:c r="D16" s="21" t="n">
        <x:v>1555.405</x:v>
      </x:c>
      <x:c r="E16" s="21" t="n">
        <x:v>3065.918</x:v>
      </x:c>
      <x:c r="F16" s="23" t="n">
        <x:v>0.5437929522298132</x:v>
      </x:c>
      <x:c r="G16" s="21" t="n">
        <x:v>1457.4255494683237</x:v>
      </x:c>
      <x:c r="H16" s="21" t="n">
        <x:v>4523.344</x:v>
      </x:c>
    </x:row>
    <x:row r="17" ht="30" customHeight="1">
      <x:c r="A17" s="16" t="str">
        <x:v>BAT-B-03</x:v>
      </x:c>
      <x:c r="B17" s="16" t="str">
        <x:v>B</x:v>
      </x:c>
      <x:c r="C17" s="16" t="str">
        <x:v>Q2-023</x:v>
      </x:c>
      <x:c r="D17" s="22" t="n">
        <x:v>5027.761</x:v>
      </x:c>
      <x:c r="E17" s="22" t="n">
        <x:v>6586.225</x:v>
      </x:c>
      <x:c r="F17" s="25" t="n">
        <x:v>0.4759336495656663</x:v>
      </x:c>
      <x:c r="G17" s="22" t="n">
        <x:v>1575.048340752845</x:v>
      </x:c>
      <x:c r="H17" s="22" t="n">
        <x:v>8161.274</x:v>
      </x:c>
    </x:row>
    <x:row r="18" ht="30" customHeight="1">
      <x:c r="A18" s="12" t="str">
        <x:v>BAT-B-04</x:v>
      </x:c>
      <x:c r="B18" s="12" t="str">
        <x:v>B</x:v>
      </x:c>
      <x:c r="C18" s="12" t="str">
        <x:v>Q2-013</x:v>
      </x:c>
      <x:c r="D18" s="21" t="n">
        <x:v>1922.828</x:v>
      </x:c>
      <x:c r="E18" s="21" t="n">
        <x:v>4138.669</x:v>
      </x:c>
      <x:c r="F18" s="23" t="n">
        <x:v>0.3020624804743094</x:v>
      </x:c>
      <x:c r="G18" s="21" t="n">
        <x:v>1876.4250338445302</x:v>
      </x:c>
      <x:c r="H18" s="21" t="n">
        <x:v>6015.095</x:v>
      </x:c>
    </x:row>
    <x:row r="19" ht="30" customHeight="1">
      <x:c r="A19" s="16" t="str">
        <x:v>BAT-C-01</x:v>
      </x:c>
      <x:c r="B19" s="16" t="str">
        <x:v>C</x:v>
      </x:c>
      <x:c r="C19" s="16" t="str">
        <x:v>Q2-002</x:v>
      </x:c>
      <x:c r="D19" s="22" t="n">
        <x:v>0</x:v>
      </x:c>
      <x:c r="E19" s="22" t="n">
        <x:v>2173.844</x:v>
      </x:c>
      <x:c r="F19" s="25" t="n">
        <x:v>0.21487871794821667</x:v>
      </x:c>
      <x:c r="G19" s="22" t="n">
        <x:v>2534.4294444455304</x:v>
      </x:c>
      <x:c r="H19" s="22" t="n">
        <x:v>4708.274</x:v>
      </x:c>
    </x:row>
    <x:row r="20" ht="30" customHeight="1">
      <x:c r="A20" s="12" t="str">
        <x:v>BAT-C-01</x:v>
      </x:c>
      <x:c r="B20" s="12" t="str">
        <x:v>C</x:v>
      </x:c>
      <x:c r="C20" s="12" t="str">
        <x:v>Q2-022</x:v>
      </x:c>
      <x:c r="D20" s="21" t="n">
        <x:v>4708.274</x:v>
      </x:c>
      <x:c r="E20" s="21" t="n">
        <x:v>7210.452</x:v>
      </x:c>
      <x:c r="F20" s="23" t="n">
        <x:v>0.20943757614070413</x:v>
      </x:c>
      <x:c r="G20" s="21" t="n">
        <x:v>2546.218585028474</x:v>
      </x:c>
      <x:c r="H20" s="21" t="n">
        <x:v>9756.671</x:v>
      </x:c>
    </x:row>
    <x:row r="21" ht="30" customHeight="1">
      <x:c r="A21" s="16" t="str">
        <x:v>BAT-C-02</x:v>
      </x:c>
      <x:c r="B21" s="16" t="str">
        <x:v>C</x:v>
      </x:c>
      <x:c r="C21" s="16" t="str">
        <x:v>Q2-008</x:v>
      </x:c>
      <x:c r="D21" s="22" t="n">
        <x:v>0</x:v>
      </x:c>
      <x:c r="E21" s="22" t="n">
        <x:v>1561.554</x:v>
      </x:c>
      <x:c r="F21" s="25" t="n">
        <x:v>0.6752579636951648</x:v>
      </x:c>
      <x:c r="G21" s="22" t="n">
        <x:v>1536.941078660476</x:v>
      </x:c>
      <x:c r="H21" s="22" t="n">
        <x:v>3098.496</x:v>
      </x:c>
    </x:row>
    <x:row r="22" ht="30" customHeight="1">
      <x:c r="A22" s="12" t="str">
        <x:v>BAT-C-02</x:v>
      </x:c>
      <x:c r="B22" s="12" t="str">
        <x:v>C</x:v>
      </x:c>
      <x:c r="C22" s="12" t="str">
        <x:v>Q2-018</x:v>
      </x:c>
      <x:c r="D22" s="21" t="n">
        <x:v>3253.73</x:v>
      </x:c>
      <x:c r="E22" s="21" t="n">
        <x:v>5422.786</x:v>
      </x:c>
      <x:c r="F22" s="23" t="n">
        <x:v>0.28681997816467397</x:v>
      </x:c>
      <x:c r="G22" s="21" t="n">
        <x:v>2378.5567139765394</x:v>
      </x:c>
      <x:c r="H22" s="21" t="n">
        <x:v>7801.343</x:v>
      </x:c>
    </x:row>
    <x:row r="23" ht="30" customHeight="1">
      <x:c r="A23" s="16" t="str">
        <x:v>BAT-C-03</x:v>
      </x:c>
      <x:c r="B23" s="16" t="str">
        <x:v>C</x:v>
      </x:c>
      <x:c r="C23" s="16" t="str">
        <x:v>Q2-010</x:v>
      </x:c>
      <x:c r="D23" s="22" t="n">
        <x:v>1561.554</x:v>
      </x:c>
      <x:c r="E23" s="22" t="n">
        <x:v>3253.73</x:v>
      </x:c>
      <x:c r="F23" s="25" t="n">
        <x:v>0.6353014880516467</x:v>
      </x:c>
      <x:c r="G23" s="22" t="n">
        <x:v>1623.5134425547653</x:v>
      </x:c>
      <x:c r="H23" s="22" t="n">
        <x:v>4877.244</x:v>
      </x:c>
    </x:row>
    <x:row r="24" ht="30" customHeight="1">
      <x:c r="A24" s="12" t="str">
        <x:v>BAT-C-03</x:v>
      </x:c>
      <x:c r="B24" s="12" t="str">
        <x:v>C</x:v>
      </x:c>
      <x:c r="C24" s="12" t="str">
        <x:v>Q2-024</x:v>
      </x:c>
      <x:c r="D24" s="21" t="n">
        <x:v>5422.786</x:v>
      </x:c>
      <x:c r="E24" s="21" t="n">
        <x:v>7727.954</x:v>
      </x:c>
      <x:c r="F24" s="23" t="n">
        <x:v>0.4415044330529181</x:v>
      </x:c>
      <x:c r="G24" s="21" t="n">
        <x:v>2043.4070617186771</x:v>
      </x:c>
      <x:c r="H24" s="21" t="n">
        <x:v>9771.362</x:v>
      </x:c>
    </x:row>
    <x:row r="25" ht="30" customHeight="1">
      <x:c r="A25" s="16" t="str">
        <x:v>BAT-C-04</x:v>
      </x:c>
      <x:c r="B25" s="16" t="str">
        <x:v>C</x:v>
      </x:c>
      <x:c r="C25" s="16" t="str">
        <x:v>Q2-014</x:v>
      </x:c>
      <x:c r="D25" s="22" t="n">
        <x:v>2173.844</x:v>
      </x:c>
      <x:c r="E25" s="22" t="n">
        <x:v>3602.02</x:v>
      </x:c>
      <x:c r="F25" s="25" t="n">
        <x:v>0.6793023293082172</x:v>
      </x:c>
      <x:c r="G25" s="22" t="n">
        <x:v>1528.1782864988625</x:v>
      </x:c>
      <x:c r="H25" s="22" t="n">
        <x:v>5130.199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42" customHeight="1">
      <x:c r="A1" s="9" t="str">
        <x:v>无人机</x:v>
      </x:c>
      <x:c r="B1" s="9" t="str">
        <x:v>机型</x:v>
      </x:c>
      <x:c r="C1" s="9" t="str">
        <x:v>架次</x:v>
      </x:c>
      <x:c r="D1" s="9" t="str">
        <x:v>准备开始s</x:v>
      </x:c>
      <x:c r="E1" s="9" t="str">
        <x:v>离地s</x:v>
      </x:c>
      <x:c r="F1" s="9" t="str">
        <x:v>返回释放s</x:v>
      </x:c>
      <x:c r="G1" s="9" t="str">
        <x:v>占用时长s</x:v>
      </x:c>
    </x:row>
    <x:row r="2" ht="30" customHeight="1">
      <x:c r="A2" s="12" t="str">
        <x:v>U01</x:v>
      </x:c>
      <x:c r="B2" s="12" t="str">
        <x:v>A</x:v>
      </x:c>
      <x:c r="C2" s="12" t="str">
        <x:v>Q2-003</x:v>
      </x:c>
      <x:c r="D2" s="21" t="n">
        <x:v>0</x:v>
      </x:c>
      <x:c r="E2" s="21" t="n">
        <x:v>330</x:v>
      </x:c>
      <x:c r="F2" s="21" t="n">
        <x:v>1930.4</x:v>
      </x:c>
      <x:c r="G2" s="21" t="n">
        <x:v>1930.4</x:v>
      </x:c>
    </x:row>
    <x:row r="3" ht="30" customHeight="1">
      <x:c r="A3" s="16" t="str">
        <x:v>U01</x:v>
      </x:c>
      <x:c r="B3" s="16" t="str">
        <x:v>A</x:v>
      </x:c>
      <x:c r="C3" s="16" t="str">
        <x:v>Q2-015</x:v>
      </x:c>
      <x:c r="D3" s="22" t="n">
        <x:v>2755.414</x:v>
      </x:c>
      <x:c r="E3" s="22" t="n">
        <x:v>3085.414</x:v>
      </x:c>
      <x:c r="F3" s="22" t="n">
        <x:v>3946.322</x:v>
      </x:c>
      <x:c r="G3" s="22" t="n">
        <x:v>1190.908</x:v>
      </x:c>
    </x:row>
    <x:row r="4" ht="30" customHeight="1">
      <x:c r="A4" s="12" t="str">
        <x:v>U02</x:v>
      </x:c>
      <x:c r="B4" s="12" t="str">
        <x:v>A</x:v>
      </x:c>
      <x:c r="C4" s="12" t="str">
        <x:v>Q2-004</x:v>
      </x:c>
      <x:c r="D4" s="21" t="n">
        <x:v>0</x:v>
      </x:c>
      <x:c r="E4" s="21" t="n">
        <x:v>360</x:v>
      </x:c>
      <x:c r="F4" s="21" t="n">
        <x:v>1727.468</x:v>
      </x:c>
      <x:c r="G4" s="21" t="n">
        <x:v>1727.468</x:v>
      </x:c>
    </x:row>
    <x:row r="5" ht="30" customHeight="1">
      <x:c r="A5" s="16" t="str">
        <x:v>U02</x:v>
      </x:c>
      <x:c r="B5" s="16" t="str">
        <x:v>A</x:v>
      </x:c>
      <x:c r="C5" s="16" t="str">
        <x:v>Q2-011</x:v>
      </x:c>
      <x:c r="D5" s="22" t="n">
        <x:v>1727.468</x:v>
      </x:c>
      <x:c r="E5" s="22" t="n">
        <x:v>2057.468</x:v>
      </x:c>
      <x:c r="F5" s="22" t="n">
        <x:v>3394.936</x:v>
      </x:c>
      <x:c r="G5" s="22" t="n">
        <x:v>1667.468</x:v>
      </x:c>
    </x:row>
    <x:row r="6" ht="30" customHeight="1">
      <x:c r="A6" s="12" t="str">
        <x:v>U02</x:v>
      </x:c>
      <x:c r="B6" s="12" t="str">
        <x:v>A</x:v>
      </x:c>
      <x:c r="C6" s="12" t="str">
        <x:v>Q2-019</x:v>
      </x:c>
      <x:c r="D6" s="21" t="n">
        <x:v>3394.936</x:v>
      </x:c>
      <x:c r="E6" s="21" t="n">
        <x:v>3724.936</x:v>
      </x:c>
      <x:c r="F6" s="21" t="n">
        <x:v>5597.674</x:v>
      </x:c>
      <x:c r="G6" s="21" t="n">
        <x:v>2202.738</x:v>
      </x:c>
    </x:row>
    <x:row r="7" ht="30" customHeight="1">
      <x:c r="A7" s="16" t="str">
        <x:v>U03</x:v>
      </x:c>
      <x:c r="B7" s="16" t="str">
        <x:v>A</x:v>
      </x:c>
      <x:c r="C7" s="16" t="str">
        <x:v>Q2-006</x:v>
      </x:c>
      <x:c r="D7" s="22" t="n">
        <x:v>0</x:v>
      </x:c>
      <x:c r="E7" s="22" t="n">
        <x:v>360</x:v>
      </x:c>
      <x:c r="F7" s="22" t="n">
        <x:v>1990.4</x:v>
      </x:c>
      <x:c r="G7" s="22" t="n">
        <x:v>1990.4</x:v>
      </x:c>
    </x:row>
    <x:row r="8" ht="30" customHeight="1">
      <x:c r="A8" s="12" t="str">
        <x:v>U03</x:v>
      </x:c>
      <x:c r="B8" s="12" t="str">
        <x:v>A</x:v>
      </x:c>
      <x:c r="C8" s="12" t="str">
        <x:v>Q2-016</x:v>
      </x:c>
      <x:c r="D8" s="21" t="n">
        <x:v>2796.858</x:v>
      </x:c>
      <x:c r="E8" s="21" t="n">
        <x:v>3126.858</x:v>
      </x:c>
      <x:c r="F8" s="21" t="n">
        <x:v>4908.005</x:v>
      </x:c>
      <x:c r="G8" s="21" t="n">
        <x:v>2111.147</x:v>
      </x:c>
    </x:row>
    <x:row r="9" ht="30" customHeight="1">
      <x:c r="A9" s="16" t="str">
        <x:v>U04</x:v>
      </x:c>
      <x:c r="B9" s="16" t="str">
        <x:v>A</x:v>
      </x:c>
      <x:c r="C9" s="16" t="str">
        <x:v>Q2-007</x:v>
      </x:c>
      <x:c r="D9" s="22" t="n">
        <x:v>0</x:v>
      </x:c>
      <x:c r="E9" s="22" t="n">
        <x:v>360</x:v>
      </x:c>
      <x:c r="F9" s="22" t="n">
        <x:v>1727.468</x:v>
      </x:c>
      <x:c r="G9" s="22" t="n">
        <x:v>1727.468</x:v>
      </x:c>
    </x:row>
    <x:row r="10" ht="30" customHeight="1">
      <x:c r="A10" s="12" t="str">
        <x:v>U04</x:v>
      </x:c>
      <x:c r="B10" s="12" t="str">
        <x:v>A</x:v>
      </x:c>
      <x:c r="C10" s="12" t="str">
        <x:v>Q2-012</x:v>
      </x:c>
      <x:c r="D10" s="21" t="n">
        <x:v>1727.468</x:v>
      </x:c>
      <x:c r="E10" s="21" t="n">
        <x:v>2057.468</x:v>
      </x:c>
      <x:c r="F10" s="21" t="n">
        <x:v>3671.244</x:v>
      </x:c>
      <x:c r="G10" s="21" t="n">
        <x:v>1943.776</x:v>
      </x:c>
    </x:row>
    <x:row r="11" ht="30" customHeight="1">
      <x:c r="A11" s="16" t="str">
        <x:v>U04</x:v>
      </x:c>
      <x:c r="B11" s="16" t="str">
        <x:v>A</x:v>
      </x:c>
      <x:c r="C11" s="16" t="str">
        <x:v>Q2-020</x:v>
      </x:c>
      <x:c r="D11" s="22" t="n">
        <x:v>3671.244</x:v>
      </x:c>
      <x:c r="E11" s="22" t="n">
        <x:v>4001.244</x:v>
      </x:c>
      <x:c r="F11" s="22" t="n">
        <x:v>5782.391</x:v>
      </x:c>
      <x:c r="G11" s="22" t="n">
        <x:v>2111.147</x:v>
      </x:c>
    </x:row>
    <x:row r="12" ht="30" customHeight="1">
      <x:c r="A12" s="12" t="str">
        <x:v>U05</x:v>
      </x:c>
      <x:c r="B12" s="12" t="str">
        <x:v>B</x:v>
      </x:c>
      <x:c r="C12" s="12" t="str">
        <x:v>Q2-001</x:v>
      </x:c>
      <x:c r="D12" s="21" t="n">
        <x:v>0</x:v>
      </x:c>
      <x:c r="E12" s="21" t="n">
        <x:v>390</x:v>
      </x:c>
      <x:c r="F12" s="21" t="n">
        <x:v>1922.828</x:v>
      </x:c>
      <x:c r="G12" s="21" t="n">
        <x:v>1922.828</x:v>
      </x:c>
    </x:row>
    <x:row r="13" ht="30" customHeight="1">
      <x:c r="A13" s="16" t="str">
        <x:v>U05</x:v>
      </x:c>
      <x:c r="B13" s="16" t="str">
        <x:v>B</x:v>
      </x:c>
      <x:c r="C13" s="16" t="str">
        <x:v>Q2-013</x:v>
      </x:c>
      <x:c r="D13" s="22" t="n">
        <x:v>1922.828</x:v>
      </x:c>
      <x:c r="E13" s="22" t="n">
        <x:v>2312.828</x:v>
      </x:c>
      <x:c r="F13" s="22" t="n">
        <x:v>4138.669</x:v>
      </x:c>
      <x:c r="G13" s="22" t="n">
        <x:v>2215.841</x:v>
      </x:c>
    </x:row>
    <x:row r="14" ht="30" customHeight="1">
      <x:c r="A14" s="12" t="str">
        <x:v>U05</x:v>
      </x:c>
      <x:c r="B14" s="12" t="str">
        <x:v>B</x:v>
      </x:c>
      <x:c r="C14" s="12" t="str">
        <x:v>Q2-021</x:v>
      </x:c>
      <x:c r="D14" s="21" t="n">
        <x:v>4138.669</x:v>
      </x:c>
      <x:c r="E14" s="21" t="n">
        <x:v>4528.669</x:v>
      </x:c>
      <x:c r="F14" s="21" t="n">
        <x:v>5966.997</x:v>
      </x:c>
      <x:c r="G14" s="21" t="n">
        <x:v>1828.328</x:v>
      </x:c>
    </x:row>
    <x:row r="15" ht="30" customHeight="1">
      <x:c r="A15" s="16" t="str">
        <x:v>U06</x:v>
      </x:c>
      <x:c r="B15" s="16" t="str">
        <x:v>B</x:v>
      </x:c>
      <x:c r="C15" s="16" t="str">
        <x:v>Q2-005</x:v>
      </x:c>
      <x:c r="D15" s="22" t="n">
        <x:v>0</x:v>
      </x:c>
      <x:c r="E15" s="22" t="n">
        <x:v>390</x:v>
      </x:c>
      <x:c r="F15" s="22" t="n">
        <x:v>1555.405</x:v>
      </x:c>
      <x:c r="G15" s="22" t="n">
        <x:v>1555.405</x:v>
      </x:c>
    </x:row>
    <x:row r="16" ht="30" customHeight="1">
      <x:c r="A16" s="12" t="str">
        <x:v>U06</x:v>
      </x:c>
      <x:c r="B16" s="12" t="str">
        <x:v>B</x:v>
      </x:c>
      <x:c r="C16" s="12" t="str">
        <x:v>Q2-009</x:v>
      </x:c>
      <x:c r="D16" s="21" t="n">
        <x:v>1555.405</x:v>
      </x:c>
      <x:c r="E16" s="21" t="n">
        <x:v>1945.405</x:v>
      </x:c>
      <x:c r="F16" s="21" t="n">
        <x:v>3065.918</x:v>
      </x:c>
      <x:c r="G16" s="21" t="n">
        <x:v>1510.513</x:v>
      </x:c>
    </x:row>
    <x:row r="17" ht="30" customHeight="1">
      <x:c r="A17" s="16" t="str">
        <x:v>U06</x:v>
      </x:c>
      <x:c r="B17" s="16" t="str">
        <x:v>B</x:v>
      </x:c>
      <x:c r="C17" s="16" t="str">
        <x:v>Q2-017</x:v>
      </x:c>
      <x:c r="D17" s="22" t="n">
        <x:v>3065.918</x:v>
      </x:c>
      <x:c r="E17" s="22" t="n">
        <x:v>3455.918</x:v>
      </x:c>
      <x:c r="F17" s="22" t="n">
        <x:v>5027.761</x:v>
      </x:c>
      <x:c r="G17" s="22" t="n">
        <x:v>1961.843</x:v>
      </x:c>
    </x:row>
    <x:row r="18" ht="30" customHeight="1">
      <x:c r="A18" s="12" t="str">
        <x:v>U06</x:v>
      </x:c>
      <x:c r="B18" s="12" t="str">
        <x:v>B</x:v>
      </x:c>
      <x:c r="C18" s="12" t="str">
        <x:v>Q2-023</x:v>
      </x:c>
      <x:c r="D18" s="21" t="n">
        <x:v>5027.761</x:v>
      </x:c>
      <x:c r="E18" s="21" t="n">
        <x:v>5417.761</x:v>
      </x:c>
      <x:c r="F18" s="21" t="n">
        <x:v>6586.225</x:v>
      </x:c>
      <x:c r="G18" s="21" t="n">
        <x:v>1558.464</x:v>
      </x:c>
    </x:row>
    <x:row r="19" ht="30" customHeight="1">
      <x:c r="A19" s="16" t="str">
        <x:v>U07</x:v>
      </x:c>
      <x:c r="B19" s="16" t="str">
        <x:v>C</x:v>
      </x:c>
      <x:c r="C19" s="16" t="str">
        <x:v>Q2-002</x:v>
      </x:c>
      <x:c r="D19" s="22" t="n">
        <x:v>0</x:v>
      </x:c>
      <x:c r="E19" s="22" t="n">
        <x:v>510</x:v>
      </x:c>
      <x:c r="F19" s="22" t="n">
        <x:v>2173.844</x:v>
      </x:c>
      <x:c r="G19" s="22" t="n">
        <x:v>2173.844</x:v>
      </x:c>
    </x:row>
    <x:row r="20" ht="30" customHeight="1">
      <x:c r="A20" s="12" t="str">
        <x:v>U07</x:v>
      </x:c>
      <x:c r="B20" s="12" t="str">
        <x:v>C</x:v>
      </x:c>
      <x:c r="C20" s="12" t="str">
        <x:v>Q2-014</x:v>
      </x:c>
      <x:c r="D20" s="21" t="n">
        <x:v>2173.844</x:v>
      </x:c>
      <x:c r="E20" s="21" t="n">
        <x:v>2623.844</x:v>
      </x:c>
      <x:c r="F20" s="21" t="n">
        <x:v>3602.02</x:v>
      </x:c>
      <x:c r="G20" s="21" t="n">
        <x:v>1428.176</x:v>
      </x:c>
    </x:row>
    <x:row r="21" ht="30" customHeight="1">
      <x:c r="A21" s="16" t="str">
        <x:v>U07</x:v>
      </x:c>
      <x:c r="B21" s="16" t="str">
        <x:v>C</x:v>
      </x:c>
      <x:c r="C21" s="16" t="str">
        <x:v>Q2-022</x:v>
      </x:c>
      <x:c r="D21" s="22" t="n">
        <x:v>4708.274</x:v>
      </x:c>
      <x:c r="E21" s="22" t="n">
        <x:v>5218.274</x:v>
      </x:c>
      <x:c r="F21" s="22" t="n">
        <x:v>7210.452</x:v>
      </x:c>
      <x:c r="G21" s="22" t="n">
        <x:v>2502.178</x:v>
      </x:c>
    </x:row>
    <x:row r="22" ht="30" customHeight="1">
      <x:c r="A22" s="12" t="str">
        <x:v>U08</x:v>
      </x:c>
      <x:c r="B22" s="12" t="str">
        <x:v>C</x:v>
      </x:c>
      <x:c r="C22" s="12" t="str">
        <x:v>Q2-008</x:v>
      </x:c>
      <x:c r="D22" s="21" t="n">
        <x:v>0</x:v>
      </x:c>
      <x:c r="E22" s="21" t="n">
        <x:v>480</x:v>
      </x:c>
      <x:c r="F22" s="21" t="n">
        <x:v>1561.554</x:v>
      </x:c>
      <x:c r="G22" s="21" t="n">
        <x:v>1561.554</x:v>
      </x:c>
    </x:row>
    <x:row r="23" ht="30" customHeight="1">
      <x:c r="A23" s="16" t="str">
        <x:v>U08</x:v>
      </x:c>
      <x:c r="B23" s="16" t="str">
        <x:v>C</x:v>
      </x:c>
      <x:c r="C23" s="16" t="str">
        <x:v>Q2-010</x:v>
      </x:c>
      <x:c r="D23" s="22" t="n">
        <x:v>1561.554</x:v>
      </x:c>
      <x:c r="E23" s="22" t="n">
        <x:v>2131.554</x:v>
      </x:c>
      <x:c r="F23" s="22" t="n">
        <x:v>3253.73</x:v>
      </x:c>
      <x:c r="G23" s="22" t="n">
        <x:v>1692.176</x:v>
      </x:c>
    </x:row>
    <x:row r="24" ht="30" customHeight="1">
      <x:c r="A24" s="12" t="str">
        <x:v>U08</x:v>
      </x:c>
      <x:c r="B24" s="12" t="str">
        <x:v>C</x:v>
      </x:c>
      <x:c r="C24" s="12" t="str">
        <x:v>Q2-018</x:v>
      </x:c>
      <x:c r="D24" s="21" t="n">
        <x:v>3253.73</x:v>
      </x:c>
      <x:c r="E24" s="21" t="n">
        <x:v>3673.73</x:v>
      </x:c>
      <x:c r="F24" s="21" t="n">
        <x:v>5422.786</x:v>
      </x:c>
      <x:c r="G24" s="21" t="n">
        <x:v>2169.056</x:v>
      </x:c>
    </x:row>
    <x:row r="25" ht="30" customHeight="1">
      <x:c r="A25" s="16" t="str">
        <x:v>U08</x:v>
      </x:c>
      <x:c r="B25" s="16" t="str">
        <x:v>C</x:v>
      </x:c>
      <x:c r="C25" s="16" t="str">
        <x:v>Q2-024</x:v>
      </x:c>
      <x:c r="D25" s="22" t="n">
        <x:v>5422.786</x:v>
      </x:c>
      <x:c r="E25" s="22" t="n">
        <x:v>5962.786</x:v>
      </x:c>
      <x:c r="F25" s="22" t="n">
        <x:v>7727.954</x:v>
      </x:c>
      <x:c r="G25" s="22" t="n">
        <x:v>2305.168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2" hidden="0" customWidth="1"/>
    <x:col min="14" max="14" width="22" hidden="0" customWidth="1"/>
  </x:cols>
  <x:sheetData>
    <x:row r="1" ht="42" customHeight="1">
      <x:c r="A1" s="9" t="str">
        <x:v>架次</x:v>
      </x:c>
      <x:c r="B1" s="9" t="str">
        <x:v>航段</x:v>
      </x:c>
      <x:c r="C1" s="9" t="str">
        <x:v>起点</x:v>
      </x:c>
      <x:c r="D1" s="9" t="str">
        <x:v>终点</x:v>
      </x:c>
      <x:c r="E1" s="9" t="str">
        <x:v>剩余载荷kg</x:v>
      </x:c>
      <x:c r="F1" s="9" t="str">
        <x:v>体积m³</x:v>
      </x:c>
      <x:c r="G1" s="9" t="str">
        <x:v>距离m</x:v>
      </x:c>
      <x:c r="H1" s="9" t="str">
        <x:v>巡航海拔m</x:v>
      </x:c>
      <x:c r="I1" s="9" t="str">
        <x:v>爬升m</x:v>
      </x:c>
      <x:c r="J1" s="9" t="str">
        <x:v>下降m</x:v>
      </x:c>
      <x:c r="K1" s="9" t="str">
        <x:v>开始s</x:v>
      </x:c>
      <x:c r="L1" s="9" t="str">
        <x:v>结束s</x:v>
      </x:c>
      <x:c r="M1" s="9" t="str">
        <x:v>飞行时间s</x:v>
      </x:c>
      <x:c r="N1" s="9" t="str">
        <x:v>能耗kWh</x:v>
      </x:c>
    </x:row>
    <x:row r="2" ht="30" customHeight="1">
      <x:c r="A2" s="12" t="str">
        <x:v>Q2-001</x:v>
      </x:c>
      <x:c r="B2" s="5" t="n">
        <x:v>1</x:v>
      </x:c>
      <x:c r="C2" s="12" t="str">
        <x:v>O01</x:v>
      </x:c>
      <x:c r="D2" s="12" t="str">
        <x:v>S012</x:v>
      </x:c>
      <x:c r="E2" s="21" t="n">
        <x:v>25</x:v>
      </x:c>
      <x:c r="F2" s="21" t="n">
        <x:v>0.067</x:v>
      </x:c>
      <x:c r="G2" s="21" t="n">
        <x:v>7391.140162515387</x:v>
      </x:c>
      <x:c r="H2" s="21" t="n">
        <x:v>413.3009948730469</x:v>
      </x:c>
      <x:c r="I2" s="21" t="n">
        <x:v>285.6009948730469</x:v>
      </x:c>
      <x:c r="J2" s="21" t="n">
        <x:v>133.50099487304686</x:v>
      </x:c>
      <x:c r="K2" s="21" t="n">
        <x:v>390</x:v>
      </x:c>
      <x:c r="L2" s="21" t="n">
        <x:v>1031.344</x:v>
      </x:c>
      <x:c r="M2" s="21" t="n">
        <x:v>641.3434070745934</x:v>
      </x:c>
      <x:c r="N2" s="10" t="n">
        <x:v>1.6638918316039737</x:v>
      </x:c>
    </x:row>
    <x:row r="3" ht="30" customHeight="1">
      <x:c r="A3" s="16" t="str">
        <x:v>Q2-001</x:v>
      </x:c>
      <x:c r="B3" s="13" t="n">
        <x:v>2</x:v>
      </x:c>
      <x:c r="C3" s="16" t="str">
        <x:v>S012</x:v>
      </x:c>
      <x:c r="D3" s="16" t="str">
        <x:v>O01</x:v>
      </x:c>
      <x:c r="E3" s="22" t="n">
        <x:v>0</x:v>
      </x:c>
      <x:c r="F3" s="22" t="n">
        <x:v>0</x:v>
      </x:c>
      <x:c r="G3" s="22" t="n">
        <x:v>7391.140162515387</x:v>
      </x:c>
      <x:c r="H3" s="22" t="n">
        <x:v>413.3009948730469</x:v>
      </x:c>
      <x:c r="I3" s="22" t="n">
        <x:v>133.50099487304686</x:v>
      </x:c>
      <x:c r="J3" s="22" t="n">
        <x:v>285.6009948730469</x:v>
      </x:c>
      <x:c r="K3" s="22" t="n">
        <x:v>1271.344</x:v>
      </x:c>
      <x:c r="L3" s="22" t="n">
        <x:v>1922.828</x:v>
      </x:c>
      <x:c r="M3" s="22" t="n">
        <x:v>651.4834070745934</x:v>
      </x:c>
      <x:c r="N3" s="14" t="n">
        <x:v>1.0887081226859587</x:v>
      </x:c>
    </x:row>
    <x:row r="4" ht="30" customHeight="1">
      <x:c r="A4" s="12" t="str">
        <x:v>Q2-002</x:v>
      </x:c>
      <x:c r="B4" s="5" t="n">
        <x:v>1</x:v>
      </x:c>
      <x:c r="C4" s="12" t="str">
        <x:v>O01</x:v>
      </x:c>
      <x:c r="D4" s="12" t="str">
        <x:v>S002</x:v>
      </x:c>
      <x:c r="E4" s="21" t="n">
        <x:v>67</x:v>
      </x:c>
      <x:c r="F4" s="21" t="n">
        <x:v>0.184</x:v>
      </x:c>
      <x:c r="G4" s="21" t="n">
        <x:v>7411.533814153884</x:v>
      </x:c>
      <x:c r="H4" s="21" t="n">
        <x:v>308.9542541503906</x:v>
      </x:c>
      <x:c r="I4" s="21" t="n">
        <x:v>181.25425415039064</x:v>
      </x:c>
      <x:c r="J4" s="21" t="n">
        <x:v>89.45425415039062</x:v>
      </x:c>
      <x:c r="K4" s="21" t="n">
        <x:v>510</x:v>
      </x:c>
      <x:c r="L4" s="21" t="n">
        <x:v>1121.332</x:v>
      </x:c>
      <x:c r="M4" s="21" t="n">
        <x:v>611.3310830122772</x:v>
      </x:c>
      <x:c r="N4" s="10" t="n">
        <x:v>3.976841085724875</x:v>
      </x:c>
    </x:row>
    <x:row r="5" ht="30" customHeight="1">
      <x:c r="A5" s="16" t="str">
        <x:v>Q2-002</x:v>
      </x:c>
      <x:c r="B5" s="13" t="n">
        <x:v>2</x:v>
      </x:c>
      <x:c r="C5" s="16" t="str">
        <x:v>S002</x:v>
      </x:c>
      <x:c r="D5" s="16" t="str">
        <x:v>O01</x:v>
      </x:c>
      <x:c r="E5" s="22" t="n">
        <x:v>0</x:v>
      </x:c>
      <x:c r="F5" s="22" t="n">
        <x:v>0</x:v>
      </x:c>
      <x:c r="G5" s="22" t="n">
        <x:v>7411.533814153884</x:v>
      </x:c>
      <x:c r="H5" s="22" t="n">
        <x:v>308.9542541503906</x:v>
      </x:c>
      <x:c r="I5" s="22" t="n">
        <x:v>89.45425415039062</x:v>
      </x:c>
      <x:c r="J5" s="22" t="n">
        <x:v>181.25425415039064</x:v>
      </x:c>
      <x:c r="K5" s="22" t="n">
        <x:v>1553.332</x:v>
      </x:c>
      <x:c r="L5" s="22" t="n">
        <x:v>2173.844</x:v>
      </x:c>
      <x:c r="M5" s="22" t="n">
        <x:v>620.5110830122771</x:v>
      </x:c>
      <x:c r="N5" s="14" t="n">
        <x:v>2.3041291706893916</x:v>
      </x:c>
    </x:row>
    <x:row r="6" ht="30" customHeight="1">
      <x:c r="A6" s="12" t="str">
        <x:v>Q2-003</x:v>
      </x:c>
      <x:c r="B6" s="5" t="n">
        <x:v>1</x:v>
      </x:c>
      <x:c r="C6" s="12" t="str">
        <x:v>O01</x:v>
      </x:c>
      <x:c r="D6" s="12" t="str">
        <x:v>S014</x:v>
      </x:c>
      <x:c r="E6" s="21" t="n">
        <x:v>14</x:v>
      </x:c>
      <x:c r="F6" s="21" t="n">
        <x:v>0.027</x:v>
      </x:c>
      <x:c r="G6" s="21" t="n">
        <x:v>5419.5362999417475</x:v>
      </x:c>
      <x:c r="H6" s="21" t="n">
        <x:v>591.9473876953125</x:v>
      </x:c>
      <x:c r="I6" s="21" t="n">
        <x:v>464.2473876953125</x:v>
      </x:c>
      <x:c r="J6" s="21" t="n">
        <x:v>240.9473876953125</x:v>
      </x:c>
      <x:c r="K6" s="21" t="n">
        <x:v>330</x:v>
      </x:c>
      <x:c r="L6" s="21" t="n">
        <x:v>1032.757</x:v>
      </x:c>
      <x:c r="M6" s="21" t="n">
        <x:v>702.7561093050415</x:v>
      </x:c>
      <x:c r="N6" s="10" t="n">
        <x:v>1.2122987404498995</x:v>
      </x:c>
    </x:row>
    <x:row r="7" ht="30" customHeight="1">
      <x:c r="A7" s="16" t="str">
        <x:v>Q2-003</x:v>
      </x:c>
      <x:c r="B7" s="13" t="n">
        <x:v>2</x:v>
      </x:c>
      <x:c r="C7" s="16" t="str">
        <x:v>S014</x:v>
      </x:c>
      <x:c r="D7" s="16" t="str">
        <x:v>O01</x:v>
      </x:c>
      <x:c r="E7" s="22" t="n">
        <x:v>0</x:v>
      </x:c>
      <x:c r="F7" s="22" t="n">
        <x:v>0</x:v>
      </x:c>
      <x:c r="G7" s="22" t="n">
        <x:v>5419.5362999417475</x:v>
      </x:c>
      <x:c r="H7" s="22" t="n">
        <x:v>591.9473876953125</x:v>
      </x:c>
      <x:c r="I7" s="22" t="n">
        <x:v>240.9473876953125</x:v>
      </x:c>
      <x:c r="J7" s="22" t="n">
        <x:v>464.2473876953125</x:v>
      </x:c>
      <x:c r="K7" s="22" t="n">
        <x:v>1212.757</x:v>
      </x:c>
      <x:c r="L7" s="22" t="n">
        <x:v>1930.4</x:v>
      </x:c>
      <x:c r="M7" s="22" t="n">
        <x:v>717.642775971708</x:v>
      </x:c>
      <x:c r="N7" s="14" t="n">
        <x:v>1.0393290605975225</x:v>
      </x:c>
    </x:row>
    <x:row r="8" ht="30" customHeight="1">
      <x:c r="A8" s="12" t="str">
        <x:v>Q2-004</x:v>
      </x:c>
      <x:c r="B8" s="5" t="n">
        <x:v>1</x:v>
      </x:c>
      <x:c r="C8" s="12" t="str">
        <x:v>O01</x:v>
      </x:c>
      <x:c r="D8" s="12" t="str">
        <x:v>S007</x:v>
      </x:c>
      <x:c r="E8" s="21" t="n">
        <x:v>22</x:v>
      </x:c>
      <x:c r="F8" s="21" t="n">
        <x:v>0.055</x:v>
      </x:c>
      <x:c r="G8" s="21" t="n">
        <x:v>4534.717374921003</x:v>
      </x:c>
      <x:c r="H8" s="21" t="n">
        <x:v>511.9731750488281</x:v>
      </x:c>
      <x:c r="I8" s="21" t="n">
        <x:v>384.27317504882814</x:v>
      </x:c>
      <x:c r="J8" s="21" t="n">
        <x:v>163.47317504882812</x:v>
      </x:c>
      <x:c r="K8" s="21" t="n">
        <x:v>360</x:v>
      </x:c>
      <x:c r="L8" s="21" t="n">
        <x:v>931.374</x:v>
      </x:c>
      <x:c r="M8" s="21" t="n">
        <x:v>571.3734429458909</x:v>
      </x:c>
      <x:c r="N8" s="10" t="n">
        <x:v>1.1114201286313874</x:v>
      </x:c>
    </x:row>
    <x:row r="9" ht="30" customHeight="1">
      <x:c r="A9" s="16" t="str">
        <x:v>Q2-004</x:v>
      </x:c>
      <x:c r="B9" s="13" t="n">
        <x:v>2</x:v>
      </x:c>
      <x:c r="C9" s="16" t="str">
        <x:v>S007</x:v>
      </x:c>
      <x:c r="D9" s="16" t="str">
        <x:v>O01</x:v>
      </x:c>
      <x:c r="E9" s="22" t="n">
        <x:v>0</x:v>
      </x:c>
      <x:c r="F9" s="22" t="n">
        <x:v>0</x:v>
      </x:c>
      <x:c r="G9" s="22" t="n">
        <x:v>4534.717374921003</x:v>
      </x:c>
      <x:c r="H9" s="22" t="n">
        <x:v>511.9731750488281</x:v>
      </x:c>
      <x:c r="I9" s="22" t="n">
        <x:v>163.47317504882812</x:v>
      </x:c>
      <x:c r="J9" s="22" t="n">
        <x:v>384.27317504882814</x:v>
      </x:c>
      <x:c r="K9" s="22" t="n">
        <x:v>1141.374</x:v>
      </x:c>
      <x:c r="L9" s="22" t="n">
        <x:v>1727.468</x:v>
      </x:c>
      <x:c r="M9" s="22" t="n">
        <x:v>586.093442945891</x:v>
      </x:c>
      <x:c r="N9" s="14" t="n">
        <x:v>0.8595433770407502</x:v>
      </x:c>
    </x:row>
    <x:row r="10" ht="30" customHeight="1">
      <x:c r="A10" s="12" t="str">
        <x:v>Q2-005</x:v>
      </x:c>
      <x:c r="B10" s="5" t="n">
        <x:v>1</x:v>
      </x:c>
      <x:c r="C10" s="12" t="str">
        <x:v>O01</x:v>
      </x:c>
      <x:c r="D10" s="12" t="str">
        <x:v>S010</x:v>
      </x:c>
      <x:c r="E10" s="21" t="n">
        <x:v>25</x:v>
      </x:c>
      <x:c r="F10" s="21" t="n">
        <x:v>0.067</x:v>
      </x:c>
      <x:c r="G10" s="21" t="n">
        <x:v>4784.6745062617865</x:v>
      </x:c>
      <x:c r="H10" s="21" t="n">
        <x:v>435.63653564453125</x:v>
      </x:c>
      <x:c r="I10" s="21" t="n">
        <x:v>307.93653564453126</x:v>
      </x:c>
      <x:c r="J10" s="21" t="n">
        <x:v>84.03653564453123</x:v>
      </x:c>
      <x:c r="K10" s="21" t="n">
        <x:v>390</x:v>
      </x:c>
      <x:c r="L10" s="21" t="n">
        <x:v>845.239</x:v>
      </x:c>
      <x:c r="M10" s="21" t="n">
        <x:v>455.2384265567753</x:v>
      </x:c>
      <x:c r="N10" s="10" t="n">
        <x:v>1.119025123192104</x:v>
      </x:c>
    </x:row>
    <x:row r="11" ht="30" customHeight="1">
      <x:c r="A11" s="16" t="str">
        <x:v>Q2-005</x:v>
      </x:c>
      <x:c r="B11" s="13" t="n">
        <x:v>2</x:v>
      </x:c>
      <x:c r="C11" s="16" t="str">
        <x:v>S010</x:v>
      </x:c>
      <x:c r="D11" s="16" t="str">
        <x:v>O01</x:v>
      </x:c>
      <x:c r="E11" s="22" t="n">
        <x:v>0</x:v>
      </x:c>
      <x:c r="F11" s="22" t="n">
        <x:v>0</x:v>
      </x:c>
      <x:c r="G11" s="22" t="n">
        <x:v>4784.6745062617865</x:v>
      </x:c>
      <x:c r="H11" s="22" t="n">
        <x:v>435.63653564453125</x:v>
      </x:c>
      <x:c r="I11" s="22" t="n">
        <x:v>84.03653564453123</x:v>
      </x:c>
      <x:c r="J11" s="22" t="n">
        <x:v>307.93653564453126</x:v>
      </x:c>
      <x:c r="K11" s="22" t="n">
        <x:v>1085.239</x:v>
      </x:c>
      <x:c r="L11" s="22" t="n">
        <x:v>1555.405</x:v>
      </x:c>
      <x:c r="M11" s="22" t="n">
        <x:v>470.165093223442</x:v>
      </x:c>
      <x:c r="N11" s="14" t="n">
        <x:v>0.7041914410393101</x:v>
      </x:c>
    </x:row>
    <x:row r="12" ht="30" customHeight="1">
      <x:c r="A12" s="12" t="str">
        <x:v>Q2-006</x:v>
      </x:c>
      <x:c r="B12" s="5" t="n">
        <x:v>1</x:v>
      </x:c>
      <x:c r="C12" s="12" t="str">
        <x:v>O01</x:v>
      </x:c>
      <x:c r="D12" s="12" t="str">
        <x:v>S014</x:v>
      </x:c>
      <x:c r="E12" s="21" t="n">
        <x:v>11</x:v>
      </x:c>
      <x:c r="F12" s="21" t="n">
        <x:v>0.04</x:v>
      </x:c>
      <x:c r="G12" s="21" t="n">
        <x:v>5419.5362999417475</x:v>
      </x:c>
      <x:c r="H12" s="21" t="n">
        <x:v>591.9473876953125</x:v>
      </x:c>
      <x:c r="I12" s="21" t="n">
        <x:v>464.2473876953125</x:v>
      </x:c>
      <x:c r="J12" s="21" t="n">
        <x:v>240.9473876953125</x:v>
      </x:c>
      <x:c r="K12" s="21" t="n">
        <x:v>360</x:v>
      </x:c>
      <x:c r="L12" s="21" t="n">
        <x:v>1062.757</x:v>
      </x:c>
      <x:c r="M12" s="21" t="n">
        <x:v>702.7561093050415</x:v>
      </x:c>
      <x:c r="N12" s="10" t="n">
        <x:v>1.1782621964558133</x:v>
      </x:c>
    </x:row>
    <x:row r="13" ht="30" customHeight="1">
      <x:c r="A13" s="16" t="str">
        <x:v>Q2-006</x:v>
      </x:c>
      <x:c r="B13" s="13" t="n">
        <x:v>2</x:v>
      </x:c>
      <x:c r="C13" s="16" t="str">
        <x:v>S014</x:v>
      </x:c>
      <x:c r="D13" s="16" t="str">
        <x:v>O01</x:v>
      </x:c>
      <x:c r="E13" s="22" t="n">
        <x:v>0</x:v>
      </x:c>
      <x:c r="F13" s="22" t="n">
        <x:v>0</x:v>
      </x:c>
      <x:c r="G13" s="22" t="n">
        <x:v>5419.5362999417475</x:v>
      </x:c>
      <x:c r="H13" s="22" t="n">
        <x:v>591.9473876953125</x:v>
      </x:c>
      <x:c r="I13" s="22" t="n">
        <x:v>240.9473876953125</x:v>
      </x:c>
      <x:c r="J13" s="22" t="n">
        <x:v>464.2473876953125</x:v>
      </x:c>
      <x:c r="K13" s="22" t="n">
        <x:v>1272.757</x:v>
      </x:c>
      <x:c r="L13" s="22" t="n">
        <x:v>1990.4</x:v>
      </x:c>
      <x:c r="M13" s="22" t="n">
        <x:v>717.642775971708</x:v>
      </x:c>
      <x:c r="N13" s="14" t="n">
        <x:v>1.0393290605975225</x:v>
      </x:c>
    </x:row>
    <x:row r="14" ht="30" customHeight="1">
      <x:c r="A14" s="12" t="str">
        <x:v>Q2-007</x:v>
      </x:c>
      <x:c r="B14" s="5" t="n">
        <x:v>1</x:v>
      </x:c>
      <x:c r="C14" s="12" t="str">
        <x:v>O01</x:v>
      </x:c>
      <x:c r="D14" s="12" t="str">
        <x:v>S007</x:v>
      </x:c>
      <x:c r="E14" s="21" t="n">
        <x:v>9</x:v>
      </x:c>
      <x:c r="F14" s="21" t="n">
        <x:v>0.047</x:v>
      </x:c>
      <x:c r="G14" s="21" t="n">
        <x:v>4534.717374921003</x:v>
      </x:c>
      <x:c r="H14" s="21" t="n">
        <x:v>511.9731750488281</x:v>
      </x:c>
      <x:c r="I14" s="21" t="n">
        <x:v>384.27317504882814</x:v>
      </x:c>
      <x:c r="J14" s="21" t="n">
        <x:v>163.47317504882812</x:v>
      </x:c>
      <x:c r="K14" s="21" t="n">
        <x:v>360</x:v>
      </x:c>
      <x:c r="L14" s="21" t="n">
        <x:v>931.374</x:v>
      </x:c>
      <x:c r="M14" s="21" t="n">
        <x:v>571.3734429458909</x:v>
      </x:c>
      <x:c r="N14" s="10" t="n">
        <x:v>0.9679589605578799</x:v>
      </x:c>
    </x:row>
    <x:row r="15" ht="30" customHeight="1">
      <x:c r="A15" s="16" t="str">
        <x:v>Q2-007</x:v>
      </x:c>
      <x:c r="B15" s="13" t="n">
        <x:v>2</x:v>
      </x:c>
      <x:c r="C15" s="16" t="str">
        <x:v>S007</x:v>
      </x:c>
      <x:c r="D15" s="16" t="str">
        <x:v>O01</x:v>
      </x:c>
      <x:c r="E15" s="22" t="n">
        <x:v>0</x:v>
      </x:c>
      <x:c r="F15" s="22" t="n">
        <x:v>0</x:v>
      </x:c>
      <x:c r="G15" s="22" t="n">
        <x:v>4534.717374921003</x:v>
      </x:c>
      <x:c r="H15" s="22" t="n">
        <x:v>511.9731750488281</x:v>
      </x:c>
      <x:c r="I15" s="22" t="n">
        <x:v>163.47317504882812</x:v>
      </x:c>
      <x:c r="J15" s="22" t="n">
        <x:v>384.27317504882814</x:v>
      </x:c>
      <x:c r="K15" s="22" t="n">
        <x:v>1141.374</x:v>
      </x:c>
      <x:c r="L15" s="22" t="n">
        <x:v>1727.468</x:v>
      </x:c>
      <x:c r="M15" s="22" t="n">
        <x:v>586.093442945891</x:v>
      </x:c>
      <x:c r="N15" s="14" t="n">
        <x:v>0.8595433770407502</x:v>
      </x:c>
    </x:row>
    <x:row r="16" ht="30" customHeight="1">
      <x:c r="A16" s="12" t="str">
        <x:v>Q2-008</x:v>
      </x:c>
      <x:c r="B16" s="5" t="n">
        <x:v>1</x:v>
      </x:c>
      <x:c r="C16" s="12" t="str">
        <x:v>O01</x:v>
      </x:c>
      <x:c r="D16" s="12" t="str">
        <x:v>S006</x:v>
      </x:c>
      <x:c r="E16" s="21" t="n">
        <x:v>59</x:v>
      </x:c>
      <x:c r="F16" s="21" t="n">
        <x:v>0.156</x:v>
      </x:c>
      <x:c r="G16" s="21" t="n">
        <x:v>3186.19885235084</x:v>
      </x:c>
      <x:c r="H16" s="21" t="n">
        <x:v>366.09783935546875</x:v>
      </x:c>
      <x:c r="I16" s="21" t="n">
        <x:v>238.39783935546876</x:v>
      </x:c>
      <x:c r="J16" s="21" t="n">
        <x:v>51.29783935546874</x:v>
      </x:c>
      <x:c r="K16" s="21" t="n">
        <x:v>480</x:v>
      </x:c>
      <x:c r="L16" s="21" t="n">
        <x:v>813.422</x:v>
      </x:c>
      <x:c r="M16" s="21" t="n">
        <x:v>333.42131224331126</x:v>
      </x:c>
      <x:c r="N16" s="10" t="n">
        <x:v>1.6040010968407112</x:v>
      </x:c>
    </x:row>
    <x:row r="17" ht="30" customHeight="1">
      <x:c r="A17" s="16" t="str">
        <x:v>Q2-008</x:v>
      </x:c>
      <x:c r="B17" s="13" t="n">
        <x:v>2</x:v>
      </x:c>
      <x:c r="C17" s="16" t="str">
        <x:v>S006</x:v>
      </x:c>
      <x:c r="D17" s="16" t="str">
        <x:v>O01</x:v>
      </x:c>
      <x:c r="E17" s="22" t="n">
        <x:v>0</x:v>
      </x:c>
      <x:c r="F17" s="22" t="n">
        <x:v>0</x:v>
      </x:c>
      <x:c r="G17" s="22" t="n">
        <x:v>3186.19885235084</x:v>
      </x:c>
      <x:c r="H17" s="22" t="n">
        <x:v>366.09783935546875</x:v>
      </x:c>
      <x:c r="I17" s="22" t="n">
        <x:v>51.29783935546874</x:v>
      </x:c>
      <x:c r="J17" s="22" t="n">
        <x:v>238.39783935546876</x:v>
      </x:c>
      <x:c r="K17" s="22" t="n">
        <x:v>1209.422</x:v>
      </x:c>
      <x:c r="L17" s="22" t="n">
        <x:v>1561.554</x:v>
      </x:c>
      <x:c r="M17" s="22" t="n">
        <x:v>352.1313122433112</x:v>
      </x:c>
      <x:c r="N17" s="14" t="n">
        <x:v>0.9939351935979709</x:v>
      </x:c>
    </x:row>
    <x:row r="18" ht="30" customHeight="1">
      <x:c r="A18" s="12" t="str">
        <x:v>Q2-009</x:v>
      </x:c>
      <x:c r="B18" s="5" t="n">
        <x:v>1</x:v>
      </x:c>
      <x:c r="C18" s="12" t="str">
        <x:v>O01</x:v>
      </x:c>
      <x:c r="D18" s="12" t="str">
        <x:v>S013</x:v>
      </x:c>
      <x:c r="E18" s="21" t="n">
        <x:v>25</x:v>
      </x:c>
      <x:c r="F18" s="21" t="n">
        <x:v>0.067</x:v>
      </x:c>
      <x:c r="G18" s="21" t="n">
        <x:v>4849.536854548781</x:v>
      </x:c>
      <x:c r="H18" s="21" t="n">
        <x:v>399.18182373046875</x:v>
      </x:c>
      <x:c r="I18" s="21" t="n">
        <x:v>271.48182373046876</x:v>
      </x:c>
      <x:c r="J18" s="21" t="n">
        <x:v>47.48182373046876</x:v>
      </x:c>
      <x:c r="K18" s="21" t="n">
        <x:v>1945.405</x:v>
      </x:c>
      <x:c r="L18" s="21" t="n">
        <x:v>2378.195</x:v>
      </x:c>
      <x:c r="M18" s="21" t="n">
        <x:v>432.78912770559583</x:v>
      </x:c>
      <x:c r="N18" s="10" t="n">
        <x:v>1.1203603423631132</x:v>
      </x:c>
    </x:row>
    <x:row r="19" ht="30" customHeight="1">
      <x:c r="A19" s="16" t="str">
        <x:v>Q2-009</x:v>
      </x:c>
      <x:c r="B19" s="13" t="n">
        <x:v>2</x:v>
      </x:c>
      <x:c r="C19" s="16" t="str">
        <x:v>S013</x:v>
      </x:c>
      <x:c r="D19" s="16" t="str">
        <x:v>O01</x:v>
      </x:c>
      <x:c r="E19" s="22" t="n">
        <x:v>0</x:v>
      </x:c>
      <x:c r="F19" s="22" t="n">
        <x:v>0</x:v>
      </x:c>
      <x:c r="G19" s="22" t="n">
        <x:v>4849.536854548781</x:v>
      </x:c>
      <x:c r="H19" s="22" t="n">
        <x:v>399.18182373046875</x:v>
      </x:c>
      <x:c r="I19" s="22" t="n">
        <x:v>47.48182373046876</x:v>
      </x:c>
      <x:c r="J19" s="22" t="n">
        <x:v>271.48182373046876</x:v>
      </x:c>
      <x:c r="K19" s="22" t="n">
        <x:v>2618.195</x:v>
      </x:c>
      <x:c r="L19" s="22" t="n">
        <x:v>3065.918</x:v>
      </x:c>
      <x:c r="M19" s="22" t="n">
        <x:v>447.72246103892917</x:v>
      </x:c>
      <x:c r="N19" s="14" t="n">
        <x:v>0.7044678487176341</x:v>
      </x:c>
    </x:row>
    <x:row r="20" ht="30" customHeight="1">
      <x:c r="A20" s="12" t="str">
        <x:v>Q2-010</x:v>
      </x:c>
      <x:c r="B20" s="5" t="n">
        <x:v>1</x:v>
      </x:c>
      <x:c r="C20" s="12" t="str">
        <x:v>O01</x:v>
      </x:c>
      <x:c r="D20" s="12" t="str">
        <x:v>S001</x:v>
      </x:c>
      <x:c r="E20" s="21" t="n">
        <x:v>76</x:v>
      </x:c>
      <x:c r="F20" s="21" t="n">
        <x:v>0.231</x:v>
      </x:c>
      <x:c r="G20" s="21" t="n">
        <x:v>3054.0236075149764</x:v>
      </x:c>
      <x:c r="H20" s="21" t="n">
        <x:v>273.0566101074219</x:v>
      </x:c>
      <x:c r="I20" s="21" t="n">
        <x:v>145.3566101074219</x:v>
      </x:c>
      <x:c r="J20" s="21" t="n">
        <x:v>89.05661010742188</x:v>
      </x:c>
      <x:c r="K20" s="21" t="n">
        <x:v>2131.554</x:v>
      </x:c>
      <x:c r="L20" s="21" t="n">
        <x:v>2437.827</x:v>
      </x:c>
      <x:c r="M20" s="21" t="n">
        <x:v>306.27252293101145</x:v>
      </x:c>
      <x:c r="N20" s="10" t="n">
        <x:v>1.954336457807204</x:v>
      </x:c>
    </x:row>
    <x:row r="21" ht="30" customHeight="1">
      <x:c r="A21" s="16" t="str">
        <x:v>Q2-010</x:v>
      </x:c>
      <x:c r="B21" s="13" t="n">
        <x:v>2</x:v>
      </x:c>
      <x:c r="C21" s="16" t="str">
        <x:v>S001</x:v>
      </x:c>
      <x:c r="D21" s="16" t="str">
        <x:v>O01</x:v>
      </x:c>
      <x:c r="E21" s="22" t="n">
        <x:v>0</x:v>
      </x:c>
      <x:c r="F21" s="22" t="n">
        <x:v>0</x:v>
      </x:c>
      <x:c r="G21" s="22" t="n">
        <x:v>3054.0236075149764</x:v>
      </x:c>
      <x:c r="H21" s="22" t="n">
        <x:v>273.0566101074219</x:v>
      </x:c>
      <x:c r="I21" s="22" t="n">
        <x:v>89.05661010742188</x:v>
      </x:c>
      <x:c r="J21" s="22" t="n">
        <x:v>145.3566101074219</x:v>
      </x:c>
      <x:c r="K21" s="22" t="n">
        <x:v>2941.827</x:v>
      </x:c>
      <x:c r="L21" s="22" t="n">
        <x:v>3253.73</x:v>
      </x:c>
      <x:c r="M21" s="22" t="n">
        <x:v>311.90252293101145</x:v>
      </x:c>
      <x:c r="N21" s="14" t="n">
        <x:v>0.9632516377796227</x:v>
      </x:c>
    </x:row>
    <x:row r="22" ht="30" customHeight="1">
      <x:c r="A22" s="12" t="str">
        <x:v>Q2-011</x:v>
      </x:c>
      <x:c r="B22" s="5" t="n">
        <x:v>1</x:v>
      </x:c>
      <x:c r="C22" s="12" t="str">
        <x:v>O01</x:v>
      </x:c>
      <x:c r="D22" s="12" t="str">
        <x:v>S007</x:v>
      </x:c>
      <x:c r="E22" s="21" t="n">
        <x:v>14</x:v>
      </x:c>
      <x:c r="F22" s="21" t="n">
        <x:v>0.027</x:v>
      </x:c>
      <x:c r="G22" s="21" t="n">
        <x:v>4534.717374921003</x:v>
      </x:c>
      <x:c r="H22" s="21" t="n">
        <x:v>511.9731750488281</x:v>
      </x:c>
      <x:c r="I22" s="21" t="n">
        <x:v>384.27317504882814</x:v>
      </x:c>
      <x:c r="J22" s="21" t="n">
        <x:v>163.47317504882812</x:v>
      </x:c>
      <x:c r="K22" s="21" t="n">
        <x:v>2057.468</x:v>
      </x:c>
      <x:c r="L22" s="21" t="n">
        <x:v>2628.842</x:v>
      </x:c>
      <x:c r="M22" s="21" t="n">
        <x:v>571.3734429458909</x:v>
      </x:c>
      <x:c r="N22" s="10" t="n">
        <x:v>1.013045038006399</x:v>
      </x:c>
    </x:row>
    <x:row r="23" ht="30" customHeight="1">
      <x:c r="A23" s="16" t="str">
        <x:v>Q2-011</x:v>
      </x:c>
      <x:c r="B23" s="13" t="n">
        <x:v>2</x:v>
      </x:c>
      <x:c r="C23" s="16" t="str">
        <x:v>S007</x:v>
      </x:c>
      <x:c r="D23" s="16" t="str">
        <x:v>O01</x:v>
      </x:c>
      <x:c r="E23" s="22" t="n">
        <x:v>0</x:v>
      </x:c>
      <x:c r="F23" s="22" t="n">
        <x:v>0</x:v>
      </x:c>
      <x:c r="G23" s="22" t="n">
        <x:v>4534.717374921003</x:v>
      </x:c>
      <x:c r="H23" s="22" t="n">
        <x:v>511.9731750488281</x:v>
      </x:c>
      <x:c r="I23" s="22" t="n">
        <x:v>163.47317504882812</x:v>
      </x:c>
      <x:c r="J23" s="22" t="n">
        <x:v>384.27317504882814</x:v>
      </x:c>
      <x:c r="K23" s="22" t="n">
        <x:v>2808.842</x:v>
      </x:c>
      <x:c r="L23" s="22" t="n">
        <x:v>3394.936</x:v>
      </x:c>
      <x:c r="M23" s="22" t="n">
        <x:v>586.093442945891</x:v>
      </x:c>
      <x:c r="N23" s="14" t="n">
        <x:v>0.8595433770407502</x:v>
      </x:c>
    </x:row>
    <x:row r="24" ht="30" customHeight="1">
      <x:c r="A24" s="12" t="str">
        <x:v>Q2-012</x:v>
      </x:c>
      <x:c r="B24" s="5" t="n">
        <x:v>1</x:v>
      </x:c>
      <x:c r="C24" s="12" t="str">
        <x:v>O01</x:v>
      </x:c>
      <x:c r="D24" s="12" t="str">
        <x:v>S002</x:v>
      </x:c>
      <x:c r="E24" s="21" t="n">
        <x:v>14</x:v>
      </x:c>
      <x:c r="F24" s="21" t="n">
        <x:v>0.027</x:v>
      </x:c>
      <x:c r="G24" s="21" t="n">
        <x:v>7411.533814153884</x:v>
      </x:c>
      <x:c r="H24" s="21" t="n">
        <x:v>308.9542541503906</x:v>
      </x:c>
      <x:c r="I24" s="21" t="n">
        <x:v>181.25425415039064</x:v>
      </x:c>
      <x:c r="J24" s="21" t="n">
        <x:v>89.45425415039062</x:v>
      </x:c>
      <x:c r="K24" s="21" t="n">
        <x:v>2057.468</x:v>
      </x:c>
      <x:c r="L24" s="21" t="n">
        <x:v>2771.296</x:v>
      </x:c>
      <x:c r="M24" s="21" t="n">
        <x:v>713.8276042231101</x:v>
      </x:c>
      <x:c r="N24" s="10" t="n">
        <x:v>1.5137219473142371</x:v>
      </x:c>
    </x:row>
    <x:row r="25" ht="30" customHeight="1">
      <x:c r="A25" s="16" t="str">
        <x:v>Q2-012</x:v>
      </x:c>
      <x:c r="B25" s="13" t="n">
        <x:v>2</x:v>
      </x:c>
      <x:c r="C25" s="16" t="str">
        <x:v>S002</x:v>
      </x:c>
      <x:c r="D25" s="16" t="str">
        <x:v>O01</x:v>
      </x:c>
      <x:c r="E25" s="22" t="n">
        <x:v>0</x:v>
      </x:c>
      <x:c r="F25" s="22" t="n">
        <x:v>0</x:v>
      </x:c>
      <x:c r="G25" s="22" t="n">
        <x:v>7411.533814153884</x:v>
      </x:c>
      <x:c r="H25" s="22" t="n">
        <x:v>308.9542541503906</x:v>
      </x:c>
      <x:c r="I25" s="22" t="n">
        <x:v>89.45425415039062</x:v>
      </x:c>
      <x:c r="J25" s="22" t="n">
        <x:v>181.25425415039064</x:v>
      </x:c>
      <x:c r="K25" s="22" t="n">
        <x:v>2951.296</x:v>
      </x:c>
      <x:c r="L25" s="22" t="n">
        <x:v>3671.244</x:v>
      </x:c>
      <x:c r="M25" s="22" t="n">
        <x:v>719.9476042231101</x:v>
      </x:c>
      <x:c r="N25" s="14" t="n">
        <x:v>1.3577671588094566</x:v>
      </x:c>
    </x:row>
    <x:row r="26" ht="30" customHeight="1">
      <x:c r="A26" s="12" t="str">
        <x:v>Q2-013</x:v>
      </x:c>
      <x:c r="B26" s="5" t="n">
        <x:v>1</x:v>
      </x:c>
      <x:c r="C26" s="12" t="str">
        <x:v>O01</x:v>
      </x:c>
      <x:c r="D26" s="12" t="str">
        <x:v>S005</x:v>
      </x:c>
      <x:c r="E26" s="21" t="n">
        <x:v>25</x:v>
      </x:c>
      <x:c r="F26" s="21" t="n">
        <x:v>0.067</x:v>
      </x:c>
      <x:c r="G26" s="21" t="n">
        <x:v>5280.5933691157215</x:v>
      </x:c>
      <x:c r="H26" s="21" t="n">
        <x:v>326.410888671875</x:v>
      </x:c>
      <x:c r="I26" s="21" t="n">
        <x:v>198.710888671875</x:v>
      </x:c>
      <x:c r="J26" s="21" t="n">
        <x:v>131.410888671875</x:v>
      </x:c>
      <x:c r="K26" s="21" t="n">
        <x:v>2312.828</x:v>
      </x:c>
      <x:c r="L26" s="21" t="n">
        <x:v>2783.669</x:v>
      </x:c>
      <x:c r="M26" s="21" t="n">
        <x:v>470.84087630042313</x:v>
      </x:c>
      <x:c r="N26" s="10" t="n">
        <x:v>1.1869488876888767</x:v>
      </x:c>
    </x:row>
    <x:row r="27" ht="30" customHeight="1">
      <x:c r="A27" s="16" t="str">
        <x:v>Q2-013</x:v>
      </x:c>
      <x:c r="B27" s="13" t="n">
        <x:v>2</x:v>
      </x:c>
      <x:c r="C27" s="16" t="str">
        <x:v>S005</x:v>
      </x:c>
      <x:c r="D27" s="16" t="str">
        <x:v>S004</x:v>
      </x:c>
      <x:c r="E27" s="22" t="n">
        <x:v>11</x:v>
      </x:c>
      <x:c r="F27" s="22" t="n">
        <x:v>0.04</x:v>
      </x:c>
      <x:c r="G27" s="22" t="n">
        <x:v>2608.294551451009</x:v>
      </x:c>
      <x:c r="H27" s="22" t="n">
        <x:v>365.80657958984375</x:v>
      </x:c>
      <x:c r="I27" s="22" t="n">
        <x:v>170.80657958984375</x:v>
      </x:c>
      <x:c r="J27" s="22" t="n">
        <x:v>137.50657958984374</x:v>
      </x:c>
      <x:c r="K27" s="22" t="n">
        <x:v>2963.669</x:v>
      </x:c>
      <x:c r="L27" s="22" t="n">
        <x:v>3249.494</x:v>
      </x:c>
      <x:c r="M27" s="22" t="n">
        <x:v>285.82446179595263</x:v>
      </x:c>
      <x:c r="N27" s="14" t="n">
        <x:v>0.46091187367230546</x:v>
      </x:c>
    </x:row>
    <x:row r="28" ht="30" customHeight="1">
      <x:c r="A28" s="12" t="str">
        <x:v>Q2-013</x:v>
      </x:c>
      <x:c r="B28" s="5" t="n">
        <x:v>3</x:v>
      </x:c>
      <x:c r="C28" s="12" t="str">
        <x:v>S004</x:v>
      </x:c>
      <x:c r="D28" s="12" t="str">
        <x:v>O01</x:v>
      </x:c>
      <x:c r="E28" s="21" t="n">
        <x:v>0</x:v>
      </x:c>
      <x:c r="F28" s="21" t="n">
        <x:v>0</x:v>
      </x:c>
      <x:c r="G28" s="21" t="n">
        <x:v>7714.681646286507</x:v>
      </x:c>
      <x:c r="H28" s="21" t="n">
        <x:v>398.2391662597656</x:v>
      </x:c>
      <x:c r="I28" s="21" t="n">
        <x:v>169.9391662597656</x:v>
      </x:c>
      <x:c r="J28" s="21" t="n">
        <x:v>270.53916625976564</x:v>
      </x:c>
      <x:c r="K28" s="21" t="n">
        <x:v>3459.494</x:v>
      </x:c>
      <x:c r="L28" s="21" t="n">
        <x:v>4138.669</x:v>
      </x:c>
      <x:c r="M28" s="21" t="n">
        <x:v>679.1741650095953</x:v>
      </x:c>
      <x:c r="N28" s="10" t="n">
        <x:v>1.1438893167415802</x:v>
      </x:c>
    </x:row>
    <x:row r="29" ht="30" customHeight="1">
      <x:c r="A29" s="16" t="str">
        <x:v>Q2-014</x:v>
      </x:c>
      <x:c r="B29" s="13" t="n">
        <x:v>1</x:v>
      </x:c>
      <x:c r="C29" s="16" t="str">
        <x:v>O01</x:v>
      </x:c>
      <x:c r="D29" s="16" t="str">
        <x:v>S001</x:v>
      </x:c>
      <x:c r="E29" s="22" t="n">
        <x:v>64</x:v>
      </x:c>
      <x:c r="F29" s="22" t="n">
        <x:v>0.136</x:v>
      </x:c>
      <x:c r="G29" s="22" t="n">
        <x:v>3054.0236075149764</x:v>
      </x:c>
      <x:c r="H29" s="22" t="n">
        <x:v>273.0566101074219</x:v>
      </x:c>
      <x:c r="I29" s="22" t="n">
        <x:v>145.3566101074219</x:v>
      </x:c>
      <x:c r="J29" s="22" t="n">
        <x:v>89.05661010742188</x:v>
      </x:c>
      <x:c r="K29" s="22" t="n">
        <x:v>2623.844</x:v>
      </x:c>
      <x:c r="L29" s="22" t="n">
        <x:v>2930.117</x:v>
      </x:c>
      <x:c r="M29" s="22" t="n">
        <x:v>306.27252293101145</x:v>
      </x:c>
      <x:c r="N29" s="14" t="n">
        <x:v>1.6023297277546398</x:v>
      </x:c>
    </x:row>
    <x:row r="30" ht="30" customHeight="1">
      <x:c r="A30" s="12" t="str">
        <x:v>Q2-014</x:v>
      </x:c>
      <x:c r="B30" s="5" t="n">
        <x:v>2</x:v>
      </x:c>
      <x:c r="C30" s="12" t="str">
        <x:v>S001</x:v>
      </x:c>
      <x:c r="D30" s="12" t="str">
        <x:v>O01</x:v>
      </x:c>
      <x:c r="E30" s="21" t="n">
        <x:v>0</x:v>
      </x:c>
      <x:c r="F30" s="21" t="n">
        <x:v>0</x:v>
      </x:c>
      <x:c r="G30" s="21" t="n">
        <x:v>3054.0236075149764</x:v>
      </x:c>
      <x:c r="H30" s="21" t="n">
        <x:v>273.0566101074219</x:v>
      </x:c>
      <x:c r="I30" s="21" t="n">
        <x:v>89.05661010742188</x:v>
      </x:c>
      <x:c r="J30" s="21" t="n">
        <x:v>145.3566101074219</x:v>
      </x:c>
      <x:c r="K30" s="21" t="n">
        <x:v>3290.117</x:v>
      </x:c>
      <x:c r="L30" s="21" t="n">
        <x:v>3602.02</x:v>
      </x:c>
      <x:c r="M30" s="21" t="n">
        <x:v>311.90252293101145</x:v>
      </x:c>
      <x:c r="N30" s="10" t="n">
        <x:v>0.9632516377796227</x:v>
      </x:c>
    </x:row>
    <x:row r="31" ht="30" customHeight="1">
      <x:c r="A31" s="16" t="str">
        <x:v>Q2-015</x:v>
      </x:c>
      <x:c r="B31" s="13" t="n">
        <x:v>1</x:v>
      </x:c>
      <x:c r="C31" s="16" t="str">
        <x:v>O01</x:v>
      </x:c>
      <x:c r="D31" s="16" t="str">
        <x:v>S001</x:v>
      </x:c>
      <x:c r="E31" s="22" t="n">
        <x:v>14</x:v>
      </x:c>
      <x:c r="F31" s="22" t="n">
        <x:v>0.027</x:v>
      </x:c>
      <x:c r="G31" s="22" t="n">
        <x:v>3054.0236075149764</x:v>
      </x:c>
      <x:c r="H31" s="22" t="n">
        <x:v>273.0566101074219</x:v>
      </x:c>
      <x:c r="I31" s="22" t="n">
        <x:v>145.3566101074219</x:v>
      </x:c>
      <x:c r="J31" s="22" t="n">
        <x:v>89.05661010742188</x:v>
      </x:c>
      <x:c r="K31" s="22" t="n">
        <x:v>3085.414</x:v>
      </x:c>
      <x:c r="L31" s="22" t="n">
        <x:v>3423.991</x:v>
      </x:c>
      <x:c r="M31" s="22" t="n">
        <x:v>338.5768147050241</x:v>
      </x:c>
      <x:c r="N31" s="14" t="n">
        <x:v>0.6462087421466693</x:v>
      </x:c>
    </x:row>
    <x:row r="32" ht="30" customHeight="1">
      <x:c r="A32" s="12" t="str">
        <x:v>Q2-015</x:v>
      </x:c>
      <x:c r="B32" s="5" t="n">
        <x:v>2</x:v>
      </x:c>
      <x:c r="C32" s="12" t="str">
        <x:v>S001</x:v>
      </x:c>
      <x:c r="D32" s="12" t="str">
        <x:v>O01</x:v>
      </x:c>
      <x:c r="E32" s="21" t="n">
        <x:v>0</x:v>
      </x:c>
      <x:c r="F32" s="21" t="n">
        <x:v>0</x:v>
      </x:c>
      <x:c r="G32" s="21" t="n">
        <x:v>3054.0236075149764</x:v>
      </x:c>
      <x:c r="H32" s="21" t="n">
        <x:v>273.0566101074219</x:v>
      </x:c>
      <x:c r="I32" s="21" t="n">
        <x:v>89.05661010742188</x:v>
      </x:c>
      <x:c r="J32" s="21" t="n">
        <x:v>145.3566101074219</x:v>
      </x:c>
      <x:c r="K32" s="21" t="n">
        <x:v>3603.991</x:v>
      </x:c>
      <x:c r="L32" s="21" t="n">
        <x:v>3946.322</x:v>
      </x:c>
      <x:c r="M32" s="21" t="n">
        <x:v>342.33014803835744</x:v>
      </x:c>
      <x:c r="N32" s="10" t="n">
        <x:v>0.5733100095323627</x:v>
      </x:c>
    </x:row>
    <x:row r="33" ht="30" customHeight="1">
      <x:c r="A33" s="16" t="str">
        <x:v>Q2-016</x:v>
      </x:c>
      <x:c r="B33" s="13" t="n">
        <x:v>1</x:v>
      </x:c>
      <x:c r="C33" s="16" t="str">
        <x:v>O01</x:v>
      </x:c>
      <x:c r="D33" s="16" t="str">
        <x:v>S008</x:v>
      </x:c>
      <x:c r="E33" s="22" t="n">
        <x:v>14</x:v>
      </x:c>
      <x:c r="F33" s="22" t="n">
        <x:v>0.027</x:v>
      </x:c>
      <x:c r="G33" s="22" t="n">
        <x:v>8079.110448788476</x:v>
      </x:c>
      <x:c r="H33" s="22" t="n">
        <x:v>372.9093322753906</x:v>
      </x:c>
      <x:c r="I33" s="22" t="n">
        <x:v>245.20933227539064</x:v>
      </x:c>
      <x:c r="J33" s="22" t="n">
        <x:v>102.00933227539065</x:v>
      </x:c>
      <x:c r="K33" s="22" t="n">
        <x:v>3126.858</x:v>
      </x:c>
      <x:c r="L33" s="22" t="n">
        <x:v>3922.658</x:v>
      </x:c>
      <x:c r="M33" s="22" t="n">
        <x:v>795.7993810676594</x:v>
      </x:c>
      <x:c r="N33" s="14" t="n">
        <x:v>1.6652038133562126</x:v>
      </x:c>
    </x:row>
    <x:row r="34" ht="30" customHeight="1">
      <x:c r="A34" s="12" t="str">
        <x:v>Q2-016</x:v>
      </x:c>
      <x:c r="B34" s="5" t="n">
        <x:v>2</x:v>
      </x:c>
      <x:c r="C34" s="12" t="str">
        <x:v>S008</x:v>
      </x:c>
      <x:c r="D34" s="12" t="str">
        <x:v>O01</x:v>
      </x:c>
      <x:c r="E34" s="21" t="n">
        <x:v>0</x:v>
      </x:c>
      <x:c r="F34" s="21" t="n">
        <x:v>0</x:v>
      </x:c>
      <x:c r="G34" s="21" t="n">
        <x:v>8079.110448788476</x:v>
      </x:c>
      <x:c r="H34" s="21" t="n">
        <x:v>372.9093322753906</x:v>
      </x:c>
      <x:c r="I34" s="21" t="n">
        <x:v>102.00933227539065</x:v>
      </x:c>
      <x:c r="J34" s="21" t="n">
        <x:v>245.20933227539064</x:v>
      </x:c>
      <x:c r="K34" s="21" t="n">
        <x:v>4102.658</x:v>
      </x:c>
      <x:c r="L34" s="21" t="n">
        <x:v>4908.005</x:v>
      </x:c>
      <x:c r="M34" s="21" t="n">
        <x:v>805.3460477343261</x:v>
      </x:c>
      <x:c r="N34" s="10" t="n">
        <x:v>1.4812560409999396</x:v>
      </x:c>
    </x:row>
    <x:row r="35" ht="30" customHeight="1">
      <x:c r="A35" s="16" t="str">
        <x:v>Q2-017</x:v>
      </x:c>
      <x:c r="B35" s="13" t="n">
        <x:v>1</x:v>
      </x:c>
      <x:c r="C35" s="16" t="str">
        <x:v>O01</x:v>
      </x:c>
      <x:c r="D35" s="16" t="str">
        <x:v>S008</x:v>
      </x:c>
      <x:c r="E35" s="22" t="n">
        <x:v>25</x:v>
      </x:c>
      <x:c r="F35" s="22" t="n">
        <x:v>0.067</x:v>
      </x:c>
      <x:c r="G35" s="22" t="n">
        <x:v>8079.110448788476</x:v>
      </x:c>
      <x:c r="H35" s="22" t="n">
        <x:v>372.9093322753906</x:v>
      </x:c>
      <x:c r="I35" s="22" t="n">
        <x:v>245.20933227539064</x:v>
      </x:c>
      <x:c r="J35" s="22" t="n">
        <x:v>102.00933227539065</x:v>
      </x:c>
      <x:c r="K35" s="22" t="n">
        <x:v>3455.918</x:v>
      </x:c>
      <x:c r="L35" s="22" t="n">
        <x:v>4117.066</x:v>
      </x:c>
      <x:c r="M35" s="22" t="n">
        <x:v>661.1475402545182</x:v>
      </x:c>
      <x:c r="N35" s="14" t="n">
        <x:v>1.7959618045128665</x:v>
      </x:c>
    </x:row>
    <x:row r="36" ht="30" customHeight="1">
      <x:c r="A36" s="12" t="str">
        <x:v>Q2-017</x:v>
      </x:c>
      <x:c r="B36" s="5" t="n">
        <x:v>2</x:v>
      </x:c>
      <x:c r="C36" s="12" t="str">
        <x:v>S008</x:v>
      </x:c>
      <x:c r="D36" s="12" t="str">
        <x:v>O01</x:v>
      </x:c>
      <x:c r="E36" s="21" t="n">
        <x:v>0</x:v>
      </x:c>
      <x:c r="F36" s="21" t="n">
        <x:v>0</x:v>
      </x:c>
      <x:c r="G36" s="21" t="n">
        <x:v>8079.110448788476</x:v>
      </x:c>
      <x:c r="H36" s="21" t="n">
        <x:v>372.9093322753906</x:v>
      </x:c>
      <x:c r="I36" s="21" t="n">
        <x:v>102.00933227539065</x:v>
      </x:c>
      <x:c r="J36" s="21" t="n">
        <x:v>245.20933227539064</x:v>
      </x:c>
      <x:c r="K36" s="21" t="n">
        <x:v>4357.066</x:v>
      </x:c>
      <x:c r="L36" s="21" t="n">
        <x:v>5027.761</x:v>
      </x:c>
      <x:c r="M36" s="21" t="n">
        <x:v>670.6942069211849</x:v>
      </x:c>
      <x:c r="N36" s="10" t="n">
        <x:v>1.1792450700293666</x:v>
      </x:c>
    </x:row>
    <x:row r="37" ht="30" customHeight="1">
      <x:c r="A37" s="16" t="str">
        <x:v>Q2-018</x:v>
      </x:c>
      <x:c r="B37" s="13" t="n">
        <x:v>1</x:v>
      </x:c>
      <x:c r="C37" s="16" t="str">
        <x:v>O01</x:v>
      </x:c>
      <x:c r="D37" s="16" t="str">
        <x:v>S004</x:v>
      </x:c>
      <x:c r="E37" s="22" t="n">
        <x:v>48</x:v>
      </x:c>
      <x:c r="F37" s="22" t="n">
        <x:v>0.116</x:v>
      </x:c>
      <x:c r="G37" s="22" t="n">
        <x:v>7714.681646286507</x:v>
      </x:c>
      <x:c r="H37" s="22" t="n">
        <x:v>398.2391662597656</x:v>
      </x:c>
      <x:c r="I37" s="22" t="n">
        <x:v>270.53916625976564</x:v>
      </x:c>
      <x:c r="J37" s="22" t="n">
        <x:v>169.9391662597656</x:v>
      </x:c>
      <x:c r="K37" s="22" t="n">
        <x:v>3673.73</x:v>
      </x:c>
      <x:c r="L37" s="22" t="n">
        <x:v>4381.228</x:v>
      </x:c>
      <x:c r="M37" s="22" t="n">
        <x:v>707.4973593862229</x:v>
      </x:c>
      <x:c r="N37" s="14" t="n">
        <x:v>3.2867495678994447</x:v>
      </x:c>
    </x:row>
    <x:row r="38" ht="30" customHeight="1">
      <x:c r="A38" s="12" t="str">
        <x:v>Q2-018</x:v>
      </x:c>
      <x:c r="B38" s="5" t="n">
        <x:v>2</x:v>
      </x:c>
      <x:c r="C38" s="12" t="str">
        <x:v>S004</x:v>
      </x:c>
      <x:c r="D38" s="12" t="str">
        <x:v>O01</x:v>
      </x:c>
      <x:c r="E38" s="21" t="n">
        <x:v>0</x:v>
      </x:c>
      <x:c r="F38" s="21" t="n">
        <x:v>0</x:v>
      </x:c>
      <x:c r="G38" s="21" t="n">
        <x:v>7714.681646286507</x:v>
      </x:c>
      <x:c r="H38" s="21" t="n">
        <x:v>398.2391662597656</x:v>
      </x:c>
      <x:c r="I38" s="21" t="n">
        <x:v>169.9391662597656</x:v>
      </x:c>
      <x:c r="J38" s="21" t="n">
        <x:v>270.53916625976564</x:v>
      </x:c>
      <x:c r="K38" s="21" t="n">
        <x:v>4705.228</x:v>
      </x:c>
      <x:c r="L38" s="21" t="n">
        <x:v>5422.786</x:v>
      </x:c>
      <x:c r="M38" s="21" t="n">
        <x:v>717.5573593862229</x:v>
      </x:c>
      <x:c r="N38" s="10" t="n">
        <x:v>2.4186906067831635</x:v>
      </x:c>
    </x:row>
    <x:row r="39" ht="30" customHeight="1">
      <x:c r="A39" s="16" t="str">
        <x:v>Q2-019</x:v>
      </x:c>
      <x:c r="B39" s="13" t="n">
        <x:v>1</x:v>
      </x:c>
      <x:c r="C39" s="16" t="str">
        <x:v>O01</x:v>
      </x:c>
      <x:c r="D39" s="16" t="str">
        <x:v>S003</x:v>
      </x:c>
      <x:c r="E39" s="22" t="n">
        <x:v>14</x:v>
      </x:c>
      <x:c r="F39" s="22" t="n">
        <x:v>0.027</x:v>
      </x:c>
      <x:c r="G39" s="22" t="n">
        <x:v>7263.826967765937</x:v>
      </x:c>
      <x:c r="H39" s="22" t="n">
        <x:v>561.8041381835938</x:v>
      </x:c>
      <x:c r="I39" s="22" t="n">
        <x:v>434.10413818359376</x:v>
      </x:c>
      <x:c r="J39" s="22" t="n">
        <x:v>223.30413818359375</x:v>
      </x:c>
      <x:c r="K39" s="22" t="n">
        <x:v>3724.936</x:v>
      </x:c>
      <x:c r="L39" s="22" t="n">
        <x:v>4564.278</x:v>
      </x:c>
      <x:c r="M39" s="22" t="n">
        <x:v>839.3419486484636</x:v>
      </x:c>
      <x:c r="N39" s="14" t="n">
        <x:v>1.5650602464850354</x:v>
      </x:c>
    </x:row>
    <x:row r="40" ht="30" customHeight="1">
      <x:c r="A40" s="12" t="str">
        <x:v>Q2-019</x:v>
      </x:c>
      <x:c r="B40" s="5" t="n">
        <x:v>2</x:v>
      </x:c>
      <x:c r="C40" s="12" t="str">
        <x:v>S003</x:v>
      </x:c>
      <x:c r="D40" s="12" t="str">
        <x:v>O01</x:v>
      </x:c>
      <x:c r="E40" s="21" t="n">
        <x:v>0</x:v>
      </x:c>
      <x:c r="F40" s="21" t="n">
        <x:v>0</x:v>
      </x:c>
      <x:c r="G40" s="21" t="n">
        <x:v>7263.826967765937</x:v>
      </x:c>
      <x:c r="H40" s="21" t="n">
        <x:v>561.8041381835938</x:v>
      </x:c>
      <x:c r="I40" s="21" t="n">
        <x:v>223.30413818359375</x:v>
      </x:c>
      <x:c r="J40" s="21" t="n">
        <x:v>434.10413818359376</x:v>
      </x:c>
      <x:c r="K40" s="21" t="n">
        <x:v>4744.278</x:v>
      </x:c>
      <x:c r="L40" s="21" t="n">
        <x:v>5597.674</x:v>
      </x:c>
      <x:c r="M40" s="21" t="n">
        <x:v>853.3952819817969</x:v>
      </x:c>
      <x:c r="N40" s="10" t="n">
        <x:v>1.3666287411076952</x:v>
      </x:c>
    </x:row>
    <x:row r="41" ht="30" customHeight="1">
      <x:c r="A41" s="16" t="str">
        <x:v>Q2-020</x:v>
      </x:c>
      <x:c r="B41" s="13" t="n">
        <x:v>1</x:v>
      </x:c>
      <x:c r="C41" s="16" t="str">
        <x:v>O01</x:v>
      </x:c>
      <x:c r="D41" s="16" t="str">
        <x:v>S008</x:v>
      </x:c>
      <x:c r="E41" s="22" t="n">
        <x:v>6</x:v>
      </x:c>
      <x:c r="F41" s="22" t="n">
        <x:v>0.035</x:v>
      </x:c>
      <x:c r="G41" s="22" t="n">
        <x:v>8079.110448788476</x:v>
      </x:c>
      <x:c r="H41" s="22" t="n">
        <x:v>372.9093322753906</x:v>
      </x:c>
      <x:c r="I41" s="22" t="n">
        <x:v>245.20933227539064</x:v>
      </x:c>
      <x:c r="J41" s="22" t="n">
        <x:v>102.00933227539065</x:v>
      </x:c>
      <x:c r="K41" s="22" t="n">
        <x:v>4001.244</x:v>
      </x:c>
      <x:c r="L41" s="22" t="n">
        <x:v>4797.044</x:v>
      </x:c>
      <x:c r="M41" s="22" t="n">
        <x:v>795.7993810676594</x:v>
      </x:c>
      <x:c r="N41" s="14" t="n">
        <x:v>1.5597676345458449</x:v>
      </x:c>
    </x:row>
    <x:row r="42" ht="30" customHeight="1">
      <x:c r="A42" s="12" t="str">
        <x:v>Q2-020</x:v>
      </x:c>
      <x:c r="B42" s="5" t="n">
        <x:v>2</x:v>
      </x:c>
      <x:c r="C42" s="12" t="str">
        <x:v>S008</x:v>
      </x:c>
      <x:c r="D42" s="12" t="str">
        <x:v>O01</x:v>
      </x:c>
      <x:c r="E42" s="21" t="n">
        <x:v>0</x:v>
      </x:c>
      <x:c r="F42" s="21" t="n">
        <x:v>0</x:v>
      </x:c>
      <x:c r="G42" s="21" t="n">
        <x:v>8079.110448788476</x:v>
      </x:c>
      <x:c r="H42" s="21" t="n">
        <x:v>372.9093322753906</x:v>
      </x:c>
      <x:c r="I42" s="21" t="n">
        <x:v>102.00933227539065</x:v>
      </x:c>
      <x:c r="J42" s="21" t="n">
        <x:v>245.20933227539064</x:v>
      </x:c>
      <x:c r="K42" s="21" t="n">
        <x:v>4977.044</x:v>
      </x:c>
      <x:c r="L42" s="21" t="n">
        <x:v>5782.391</x:v>
      </x:c>
      <x:c r="M42" s="21" t="n">
        <x:v>805.3460477343261</x:v>
      </x:c>
      <x:c r="N42" s="10" t="n">
        <x:v>1.4812560409999396</x:v>
      </x:c>
    </x:row>
    <x:row r="43" ht="30" customHeight="1">
      <x:c r="A43" s="16" t="str">
        <x:v>Q2-021</x:v>
      </x:c>
      <x:c r="B43" s="13" t="n">
        <x:v>1</x:v>
      </x:c>
      <x:c r="C43" s="16" t="str">
        <x:v>O01</x:v>
      </x:c>
      <x:c r="D43" s="16" t="str">
        <x:v>S015</x:v>
      </x:c>
      <x:c r="E43" s="22" t="n">
        <x:v>25</x:v>
      </x:c>
      <x:c r="F43" s="22" t="n">
        <x:v>0.067</x:v>
      </x:c>
      <x:c r="G43" s="22" t="n">
        <x:v>6009.764892220415</x:v>
      </x:c>
      <x:c r="H43" s="22" t="n">
        <x:v>571.7992553710938</x:v>
      </x:c>
      <x:c r="I43" s="22" t="n">
        <x:v>444.09925537109376</x:v>
      </x:c>
      <x:c r="J43" s="22" t="n">
        <x:v>97.29925537109375</x:v>
      </x:c>
      <x:c r="K43" s="22" t="n">
        <x:v>4528.669</x:v>
      </x:c>
      <x:c r="L43" s="22" t="n">
        <x:v>5116.273</x:v>
      </x:c>
      <x:c r="M43" s="22" t="n">
        <x:v>587.6037800868298</x:v>
      </x:c>
      <x:c r="N43" s="14" t="n">
        <x:v>1.425062545459473</x:v>
      </x:c>
    </x:row>
    <x:row r="44" ht="30" customHeight="1">
      <x:c r="A44" s="12" t="str">
        <x:v>Q2-021</x:v>
      </x:c>
      <x:c r="B44" s="5" t="n">
        <x:v>2</x:v>
      </x:c>
      <x:c r="C44" s="12" t="str">
        <x:v>S015</x:v>
      </x:c>
      <x:c r="D44" s="12" t="str">
        <x:v>O01</x:v>
      </x:c>
      <x:c r="E44" s="21" t="n">
        <x:v>0</x:v>
      </x:c>
      <x:c r="F44" s="21" t="n">
        <x:v>0</x:v>
      </x:c>
      <x:c r="G44" s="21" t="n">
        <x:v>6009.764892220415</x:v>
      </x:c>
      <x:c r="H44" s="21" t="n">
        <x:v>571.7992553710938</x:v>
      </x:c>
      <x:c r="I44" s="21" t="n">
        <x:v>97.29925537109375</x:v>
      </x:c>
      <x:c r="J44" s="21" t="n">
        <x:v>444.09925537109376</x:v>
      </x:c>
      <x:c r="K44" s="21" t="n">
        <x:v>5356.273</x:v>
      </x:c>
      <x:c r="L44" s="21" t="n">
        <x:v>5966.997</x:v>
      </x:c>
      <x:c r="M44" s="21" t="n">
        <x:v>610.7237800868297</x:v>
      </x:c>
      <x:c r="N44" s="10" t="n">
        <x:v>0.8824659602930425</x:v>
      </x:c>
    </x:row>
    <x:row r="45" ht="30" customHeight="1">
      <x:c r="A45" s="16" t="str">
        <x:v>Q2-022</x:v>
      </x:c>
      <x:c r="B45" s="13" t="n">
        <x:v>1</x:v>
      </x:c>
      <x:c r="C45" s="16" t="str">
        <x:v>O01</x:v>
      </x:c>
      <x:c r="D45" s="16" t="str">
        <x:v>S003</x:v>
      </x:c>
      <x:c r="E45" s="22" t="n">
        <x:v>67</x:v>
      </x:c>
      <x:c r="F45" s="22" t="n">
        <x:v>0.184</x:v>
      </x:c>
      <x:c r="G45" s="22" t="n">
        <x:v>7263.826967765937</x:v>
      </x:c>
      <x:c r="H45" s="22" t="n">
        <x:v>561.8041381835938</x:v>
      </x:c>
      <x:c r="I45" s="22" t="n">
        <x:v>434.10413818359376</x:v>
      </x:c>
      <x:c r="J45" s="22" t="n">
        <x:v>223.30413818359375</x:v>
      </x:c>
      <x:c r="K45" s="22" t="n">
        <x:v>5218.274</x:v>
      </x:c>
      <x:c r="L45" s="22" t="n">
        <x:v>5987.823</x:v>
      </x:c>
      <x:c r="M45" s="22" t="n">
        <x:v>769.5488555496302</x:v>
      </x:c>
      <x:c r="N45" s="14" t="n">
        <x:v>4.030420307127749</x:v>
      </x:c>
    </x:row>
    <x:row r="46" ht="30" customHeight="1">
      <x:c r="A46" s="12" t="str">
        <x:v>Q2-022</x:v>
      </x:c>
      <x:c r="B46" s="5" t="n">
        <x:v>2</x:v>
      </x:c>
      <x:c r="C46" s="12" t="str">
        <x:v>S003</x:v>
      </x:c>
      <x:c r="D46" s="12" t="str">
        <x:v>O01</x:v>
      </x:c>
      <x:c r="E46" s="21" t="n">
        <x:v>0</x:v>
      </x:c>
      <x:c r="F46" s="21" t="n">
        <x:v>0</x:v>
      </x:c>
      <x:c r="G46" s="21" t="n">
        <x:v>7263.826967765937</x:v>
      </x:c>
      <x:c r="H46" s="21" t="n">
        <x:v>561.8041381835938</x:v>
      </x:c>
      <x:c r="I46" s="21" t="n">
        <x:v>223.30413818359375</x:v>
      </x:c>
      <x:c r="J46" s="21" t="n">
        <x:v>434.10413818359376</x:v>
      </x:c>
      <x:c r="K46" s="21" t="n">
        <x:v>6419.823</x:v>
      </x:c>
      <x:c r="L46" s="21" t="n">
        <x:v>7210.452</x:v>
      </x:c>
      <x:c r="M46" s="21" t="n">
        <x:v>790.6288555496302</x:v>
      </x:c>
      <x:c r="N46" s="10" t="n">
        <x:v>2.294079083746617</x:v>
      </x:c>
    </x:row>
    <x:row r="47" ht="30" customHeight="1">
      <x:c r="A47" s="16" t="str">
        <x:v>Q2-023</x:v>
      </x:c>
      <x:c r="B47" s="13" t="n">
        <x:v>1</x:v>
      </x:c>
      <x:c r="C47" s="16" t="str">
        <x:v>O01</x:v>
      </x:c>
      <x:c r="D47" s="16" t="str">
        <x:v>S009</x:v>
      </x:c>
      <x:c r="E47" s="22" t="n">
        <x:v>25</x:v>
      </x:c>
      <x:c r="F47" s="22" t="n">
        <x:v>0.067</x:v>
      </x:c>
      <x:c r="G47" s="22" t="n">
        <x:v>5705.303446619009</x:v>
      </x:c>
      <x:c r="H47" s="22" t="n">
        <x:v>293.2289123535156</x:v>
      </x:c>
      <x:c r="I47" s="22" t="n">
        <x:v>165.52891235351564</x:v>
      </x:c>
      <x:c r="J47" s="22" t="n">
        <x:v>63.228912353515625</x:v>
      </x:c>
      <x:c r="K47" s="22" t="n">
        <x:v>5417.761</x:v>
      </x:c>
      <x:c r="L47" s="22" t="n">
        <x:v>5878.583</x:v>
      </x:c>
      <x:c r="M47" s="22" t="n">
        <x:v>460.8214321671787</x:v>
      </x:c>
      <x:c r="N47" s="14" t="n">
        <x:v>1.2656726124570024</x:v>
      </x:c>
    </x:row>
    <x:row r="48" ht="30" customHeight="1">
      <x:c r="A48" s="12" t="str">
        <x:v>Q2-023</x:v>
      </x:c>
      <x:c r="B48" s="5" t="n">
        <x:v>2</x:v>
      </x:c>
      <x:c r="C48" s="12" t="str">
        <x:v>S009</x:v>
      </x:c>
      <x:c r="D48" s="12" t="str">
        <x:v>O01</x:v>
      </x:c>
      <x:c r="E48" s="21" t="n">
        <x:v>0</x:v>
      </x:c>
      <x:c r="F48" s="21" t="n">
        <x:v>0</x:v>
      </x:c>
      <x:c r="G48" s="21" t="n">
        <x:v>5705.303446619009</x:v>
      </x:c>
      <x:c r="H48" s="21" t="n">
        <x:v>293.2289123535156</x:v>
      </x:c>
      <x:c r="I48" s="21" t="n">
        <x:v>63.228912353515625</x:v>
      </x:c>
      <x:c r="J48" s="21" t="n">
        <x:v>165.52891235351564</x:v>
      </x:c>
      <x:c r="K48" s="21" t="n">
        <x:v>6118.583</x:v>
      </x:c>
      <x:c r="L48" s="21" t="n">
        <x:v>6586.225</x:v>
      </x:c>
      <x:c r="M48" s="21" t="n">
        <x:v>467.6414321671788</x:v>
      </x:c>
      <x:c r="N48" s="10" t="n">
        <x:v>0.8305927892803324</x:v>
      </x:c>
    </x:row>
    <x:row r="49" ht="30" customHeight="1">
      <x:c r="A49" s="16" t="str">
        <x:v>Q2-024</x:v>
      </x:c>
      <x:c r="B49" s="13" t="n">
        <x:v>1</x:v>
      </x:c>
      <x:c r="C49" s="16" t="str">
        <x:v>O01</x:v>
      </x:c>
      <x:c r="D49" s="16" t="str">
        <x:v>S011</x:v>
      </x:c>
      <x:c r="E49" s="22" t="n">
        <x:v>70</x:v>
      </x:c>
      <x:c r="F49" s="22" t="n">
        <x:v>0.196</x:v>
      </x:c>
      <x:c r="G49" s="22" t="n">
        <x:v>2808.106412371872</x:v>
      </x:c>
      <x:c r="H49" s="22" t="n">
        <x:v>295.36175537109375</x:v>
      </x:c>
      <x:c r="I49" s="22" t="n">
        <x:v>167.66175537109376</x:v>
      </x:c>
      <x:c r="J49" s="22" t="n">
        <x:v>83.26175537109376</x:v>
      </x:c>
      <x:c r="K49" s="22" t="n">
        <x:v>5962.786</x:v>
      </x:c>
      <x:c r="L49" s="22" t="n">
        <x:v>6258.689</x:v>
      </x:c>
      <x:c r="M49" s="22" t="n">
        <x:v>295.90267399210916</x:v>
      </x:c>
      <x:c r="N49" s="14" t="n">
        <x:v>1.6336568219585645</x:v>
      </x:c>
    </x:row>
    <x:row r="50" ht="30" customHeight="1">
      <x:c r="A50" s="12" t="str">
        <x:v>Q2-024</x:v>
      </x:c>
      <x:c r="B50" s="5" t="n">
        <x:v>2</x:v>
      </x:c>
      <x:c r="C50" s="12" t="str">
        <x:v>S011</x:v>
      </x:c>
      <x:c r="D50" s="12" t="str">
        <x:v>S005</x:v>
      </x:c>
      <x:c r="E50" s="21" t="n">
        <x:v>45</x:v>
      </x:c>
      <x:c r="F50" s="21" t="n">
        <x:v>0.129</x:v>
      </x:c>
      <x:c r="G50" s="21" t="n">
        <x:v>2802.7636017267305</x:v>
      </x:c>
      <x:c r="H50" s="21" t="n">
        <x:v>347.5489196777344</x:v>
      </x:c>
      <x:c r="I50" s="21" t="n">
        <x:v>135.44891967773438</x:v>
      </x:c>
      <x:c r="J50" s="21" t="n">
        <x:v>152.54891967773438</x:v>
      </x:c>
      <x:c r="K50" s="21" t="n">
        <x:v>6546.689</x:v>
      </x:c>
      <x:c r="L50" s="21" t="n">
        <x:v>6863.994</x:v>
      </x:c>
      <x:c r="M50" s="21" t="n">
        <x:v>317.304934491743</x:v>
      </x:c>
      <x:c r="N50" s="10" t="n">
        <x:v>1.1747566013676287</x:v>
      </x:c>
    </x:row>
    <x:row r="51" ht="30" customHeight="1">
      <x:c r="A51" s="16" t="str">
        <x:v>Q2-024</x:v>
      </x:c>
      <x:c r="B51" s="13" t="n">
        <x:v>3</x:v>
      </x:c>
      <x:c r="C51" s="16" t="str">
        <x:v>S005</x:v>
      </x:c>
      <x:c r="D51" s="16" t="str">
        <x:v>O01</x:v>
      </x:c>
      <x:c r="E51" s="22" t="n">
        <x:v>0</x:v>
      </x:c>
      <x:c r="F51" s="22" t="n">
        <x:v>0</x:v>
      </x:c>
      <x:c r="G51" s="22" t="n">
        <x:v>5280.5933691157215</x:v>
      </x:c>
      <x:c r="H51" s="22" t="n">
        <x:v>326.410888671875</x:v>
      </x:c>
      <x:c r="I51" s="22" t="n">
        <x:v>131.410888671875</x:v>
      </x:c>
      <x:c r="J51" s="22" t="n">
        <x:v>198.710888671875</x:v>
      </x:c>
      <x:c r="K51" s="22" t="n">
        <x:v>7223.994</x:v>
      </x:c>
      <x:c r="L51" s="22" t="n">
        <x:v>7727.954</x:v>
      </x:c>
      <x:c r="M51" s="22" t="n">
        <x:v>503.9593577457356</x:v>
      </x:c>
      <x:c r="N51" s="14" t="n">
        <x:v>1.659551112250462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2" hidden="0" customWidth="1"/>
    <x:col min="5" max="5" width="20" hidden="0" customWidth="1"/>
    <x:col min="6" max="6" width="20" hidden="0" customWidth="1"/>
    <x:col min="7" max="7" width="46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88" hidden="0" customWidth="1"/>
  </x:cols>
  <x:sheetData>
    <x:row r="1" ht="42" customHeight="1">
      <x:c r="A1" s="9" t="str">
        <x:v>方案</x:v>
      </x:c>
      <x:c r="B1" s="9" t="str">
        <x:v>架次</x:v>
      </x:c>
      <x:c r="C1" s="9" t="str">
        <x:v>无人机</x:v>
      </x:c>
      <x:c r="D1" s="9" t="str">
        <x:v>机型</x:v>
      </x:c>
      <x:c r="E1" s="9" t="str">
        <x:v>电池</x:v>
      </x:c>
      <x:c r="F1" s="9" t="str">
        <x:v>准备开始s</x:v>
      </x:c>
      <x:c r="G1" s="9" t="str">
        <x:v>访问路线</x:v>
      </x:c>
      <x:c r="H1" s="9" t="str">
        <x:v>返航s</x:v>
      </x:c>
      <x:c r="I1" s="9" t="str">
        <x:v>能耗kWh</x:v>
      </x:c>
      <x:c r="J1" s="9" t="str">
        <x:v>质量kg</x:v>
      </x:c>
      <x:c r="K1" s="9" t="str">
        <x:v>体积m³</x:v>
      </x:c>
      <x:c r="L1" s="9" t="str">
        <x:v>SOC</x:v>
      </x:c>
      <x:c r="M1" s="9" t="str">
        <x:v>充满时刻s</x:v>
      </x:c>
      <x:c r="N1" s="9" t="str">
        <x:v>货箱列表</x:v>
      </x:c>
    </x:row>
    <x:row r="2" ht="30" customHeight="1">
      <x:c r="A2" s="12" t="str">
        <x:v>及时性权重放大</x:v>
      </x:c>
      <x:c r="B2" s="12" t="str">
        <x:v>Q2-001</x:v>
      </x:c>
      <x:c r="C2" s="12" t="str">
        <x:v>U05</x:v>
      </x:c>
      <x:c r="D2" s="12" t="str">
        <x:v>B</x:v>
      </x:c>
      <x:c r="E2" s="12" t="str">
        <x:v>BAT-B-01</x:v>
      </x:c>
      <x:c r="F2" s="21" t="n">
        <x:v>0</x:v>
      </x:c>
      <x:c r="G2" s="12" t="str">
        <x:v>O01 → S012 → O01</x:v>
      </x:c>
      <x:c r="H2" s="21" t="n">
        <x:v>1922.828</x:v>
      </x:c>
      <x:c r="I2" s="10" t="n">
        <x:v>2.7525999542899324</x:v>
      </x:c>
      <x:c r="J2" s="5" t="n">
        <x:v>25</x:v>
      </x:c>
      <x:c r="K2" s="21" t="n">
        <x:v>0.067</x:v>
      </x:c>
      <x:c r="L2" s="23" t="n">
        <x:v>0.3118500114275169</x:v>
      </x:c>
      <x:c r="M2" s="21" t="n">
        <x:v>3782.288</x:v>
      </x:c>
      <x:c r="N2" s="24" t="str">
        <x:v>S012-FOD-01; S012-MED-01; S012-WAT-01</x:v>
      </x:c>
    </x:row>
    <x:row r="3" ht="48" customHeight="1">
      <x:c r="A3" s="16" t="str">
        <x:v>及时性权重放大</x:v>
      </x:c>
      <x:c r="B3" s="16" t="str">
        <x:v>Q2-002</x:v>
      </x:c>
      <x:c r="C3" s="16" t="str">
        <x:v>U07</x:v>
      </x:c>
      <x:c r="D3" s="16" t="str">
        <x:v>C</x:v>
      </x:c>
      <x:c r="E3" s="16" t="str">
        <x:v>BAT-C-01</x:v>
      </x:c>
      <x:c r="F3" s="22" t="n">
        <x:v>0</x:v>
      </x:c>
      <x:c r="G3" s="16" t="str">
        <x:v>O01 → S002 → O01</x:v>
      </x:c>
      <x:c r="H3" s="22" t="n">
        <x:v>2173.844</x:v>
      </x:c>
      <x:c r="I3" s="14" t="n">
        <x:v>6.280970256414267</x:v>
      </x:c>
      <x:c r="J3" s="13" t="n">
        <x:v>67</x:v>
      </x:c>
      <x:c r="K3" s="22" t="n">
        <x:v>0.184</x:v>
      </x:c>
      <x:c r="L3" s="25" t="n">
        <x:v>0.21487871794821667</x:v>
      </x:c>
      <x:c r="M3" s="22" t="n">
        <x:v>4708.274</x:v>
      </x:c>
      <x:c r="N3" s="26" t="str">
        <x:v>S002-FOD-01; S002-FOD-02; S002-HYG-01; S002-MED-01; S002-WAT-01; S002-WAT-03; S002-WAT-04</x:v>
      </x:c>
    </x:row>
    <x:row r="4" ht="30" customHeight="1">
      <x:c r="A4" s="12" t="str">
        <x:v>及时性权重放大</x:v>
      </x:c>
      <x:c r="B4" s="12" t="str">
        <x:v>Q2-003</x:v>
      </x:c>
      <x:c r="C4" s="12" t="str">
        <x:v>U01</x:v>
      </x:c>
      <x:c r="D4" s="12" t="str">
        <x:v>A</x:v>
      </x:c>
      <x:c r="E4" s="12" t="str">
        <x:v>BAT-A-01</x:v>
      </x:c>
      <x:c r="F4" s="21" t="n">
        <x:v>0</x:v>
      </x:c>
      <x:c r="G4" s="12" t="str">
        <x:v>O01 → S014 → O01</x:v>
      </x:c>
      <x:c r="H4" s="21" t="n">
        <x:v>1930.4</x:v>
      </x:c>
      <x:c r="I4" s="10" t="n">
        <x:v>2.251627801047422</x:v>
      </x:c>
      <x:c r="J4" s="5" t="n">
        <x:v>14</x:v>
      </x:c>
      <x:c r="K4" s="21" t="n">
        <x:v>0.027</x:v>
      </x:c>
      <x:c r="L4" s="23" t="n">
        <x:v>0.4996382664339062</x:v>
      </x:c>
      <x:c r="M4" s="21" t="n">
        <x:v>3080.871</x:v>
      </x:c>
      <x:c r="N4" s="12" t="str">
        <x:v>S014-WAT-01</x:v>
      </x:c>
    </x:row>
    <x:row r="5" ht="30" customHeight="1">
      <x:c r="A5" s="16" t="str">
        <x:v>及时性权重放大</x:v>
      </x:c>
      <x:c r="B5" s="16" t="str">
        <x:v>Q2-004</x:v>
      </x:c>
      <x:c r="C5" s="16" t="str">
        <x:v>U02</x:v>
      </x:c>
      <x:c r="D5" s="16" t="str">
        <x:v>A</x:v>
      </x:c>
      <x:c r="E5" s="16" t="str">
        <x:v>BAT-A-02</x:v>
      </x:c>
      <x:c r="F5" s="22" t="n">
        <x:v>0</x:v>
      </x:c>
      <x:c r="G5" s="16" t="str">
        <x:v>O01 → S007 → O01</x:v>
      </x:c>
      <x:c r="H5" s="22" t="n">
        <x:v>1727.468</x:v>
      </x:c>
      <x:c r="I5" s="14" t="n">
        <x:v>1.9709635056721377</x:v>
      </x:c>
      <x:c r="J5" s="13" t="n">
        <x:v>22</x:v>
      </x:c>
      <x:c r="K5" s="22" t="n">
        <x:v>0.055</x:v>
      </x:c>
      <x:c r="L5" s="25" t="n">
        <x:v>0.562008109850636</x:v>
      </x:c>
      <x:c r="M5" s="22" t="n">
        <x:v>2796.858</x:v>
      </x:c>
      <x:c r="N5" s="16" t="str">
        <x:v>S007-FOD-01; S007-WAT-01</x:v>
      </x:c>
    </x:row>
    <x:row r="6" ht="30" customHeight="1">
      <x:c r="A6" s="12" t="str">
        <x:v>及时性权重放大</x:v>
      </x:c>
      <x:c r="B6" s="12" t="str">
        <x:v>Q2-005</x:v>
      </x:c>
      <x:c r="C6" s="12" t="str">
        <x:v>U06</x:v>
      </x:c>
      <x:c r="D6" s="12" t="str">
        <x:v>B</x:v>
      </x:c>
      <x:c r="E6" s="12" t="str">
        <x:v>BAT-B-02</x:v>
      </x:c>
      <x:c r="F6" s="21" t="n">
        <x:v>0</x:v>
      </x:c>
      <x:c r="G6" s="12" t="str">
        <x:v>O01 → S010 → O01</x:v>
      </x:c>
      <x:c r="H6" s="21" t="n">
        <x:v>1555.405</x:v>
      </x:c>
      <x:c r="I6" s="10" t="n">
        <x:v>1.823216564231414</x:v>
      </x:c>
      <x:c r="J6" s="5" t="n">
        <x:v>25</x:v>
      </x:c>
      <x:c r="K6" s="21" t="n">
        <x:v>0.067</x:v>
      </x:c>
      <x:c r="L6" s="23" t="n">
        <x:v>0.5441958589421465</x:v>
      </x:c>
      <x:c r="M6" s="21" t="n">
        <x:v>3012.133</x:v>
      </x:c>
      <x:c r="N6" s="24" t="str">
        <x:v>S010-FOD-01; S010-MED-01; S010-WAT-01</x:v>
      </x:c>
    </x:row>
    <x:row r="7" ht="30" customHeight="1">
      <x:c r="A7" s="16" t="str">
        <x:v>及时性权重放大</x:v>
      </x:c>
      <x:c r="B7" s="16" t="str">
        <x:v>Q2-006</x:v>
      </x:c>
      <x:c r="C7" s="16" t="str">
        <x:v>U03</x:v>
      </x:c>
      <x:c r="D7" s="16" t="str">
        <x:v>A</x:v>
      </x:c>
      <x:c r="E7" s="16" t="str">
        <x:v>BAT-A-03</x:v>
      </x:c>
      <x:c r="F7" s="22" t="n">
        <x:v>0</x:v>
      </x:c>
      <x:c r="G7" s="16" t="str">
        <x:v>O01 → S014 → O01</x:v>
      </x:c>
      <x:c r="H7" s="22" t="n">
        <x:v>1990.4</x:v>
      </x:c>
      <x:c r="I7" s="14" t="n">
        <x:v>2.2175912570533356</x:v>
      </x:c>
      <x:c r="J7" s="13" t="n">
        <x:v>11</x:v>
      </x:c>
      <x:c r="K7" s="22" t="n">
        <x:v>0.04</x:v>
      </x:c>
      <x:c r="L7" s="25" t="n">
        <x:v>0.5072019428770365</x:v>
      </x:c>
      <x:c r="M7" s="22" t="n">
        <x:v>3131.038</x:v>
      </x:c>
      <x:c r="N7" s="16" t="str">
        <x:v>S014-FOD-01; S014-MED-01</x:v>
      </x:c>
    </x:row>
    <x:row r="8" ht="30" customHeight="1">
      <x:c r="A8" s="12" t="str">
        <x:v>及时性权重放大</x:v>
      </x:c>
      <x:c r="B8" s="12" t="str">
        <x:v>Q2-007</x:v>
      </x:c>
      <x:c r="C8" s="12" t="str">
        <x:v>U04</x:v>
      </x:c>
      <x:c r="D8" s="12" t="str">
        <x:v>A</x:v>
      </x:c>
      <x:c r="E8" s="12" t="str">
        <x:v>BAT-A-04</x:v>
      </x:c>
      <x:c r="F8" s="21" t="n">
        <x:v>0</x:v>
      </x:c>
      <x:c r="G8" s="12" t="str">
        <x:v>O01 → S007 → O01</x:v>
      </x:c>
      <x:c r="H8" s="21" t="n">
        <x:v>1727.468</x:v>
      </x:c>
      <x:c r="I8" s="10" t="n">
        <x:v>1.8275023375986301</x:v>
      </x:c>
      <x:c r="J8" s="5" t="n">
        <x:v>9</x:v>
      </x:c>
      <x:c r="K8" s="21" t="n">
        <x:v>0.047</x:v>
      </x:c>
      <x:c r="L8" s="23" t="n">
        <x:v>0.5938883694225267</x:v>
      </x:c>
      <x:c r="M8" s="21" t="n">
        <x:v>2755.414</x:v>
      </x:c>
      <x:c r="N8" s="12" t="str">
        <x:v>S007-HYG-01; S007-MED-01</x:v>
      </x:c>
    </x:row>
    <x:row r="9" ht="30" customHeight="1">
      <x:c r="A9" s="16" t="str">
        <x:v>及时性权重放大</x:v>
      </x:c>
      <x:c r="B9" s="16" t="str">
        <x:v>Q2-008</x:v>
      </x:c>
      <x:c r="C9" s="16" t="str">
        <x:v>U08</x:v>
      </x:c>
      <x:c r="D9" s="16" t="str">
        <x:v>C</x:v>
      </x:c>
      <x:c r="E9" s="16" t="str">
        <x:v>BAT-C-02</x:v>
      </x:c>
      <x:c r="F9" s="22" t="n">
        <x:v>0</x:v>
      </x:c>
      <x:c r="G9" s="16" t="str">
        <x:v>O01 → S006 → O01</x:v>
      </x:c>
      <x:c r="H9" s="22" t="n">
        <x:v>1561.554</x:v>
      </x:c>
      <x:c r="I9" s="14" t="n">
        <x:v>2.5979362904386822</x:v>
      </x:c>
      <x:c r="J9" s="13" t="n">
        <x:v>59</x:v>
      </x:c>
      <x:c r="K9" s="22" t="n">
        <x:v>0.156</x:v>
      </x:c>
      <x:c r="L9" s="25" t="n">
        <x:v>0.6752579636951648</x:v>
      </x:c>
      <x:c r="M9" s="22" t="n">
        <x:v>3098.496</x:v>
      </x:c>
      <x:c r="N9" s="26" t="str">
        <x:v>S006-FOD-01; S006-HYG-01; S006-MED-01; S006-WAT-01; S006-WAT-02; S006-WAT-03</x:v>
      </x:c>
    </x:row>
    <x:row r="10" ht="30" customHeight="1">
      <x:c r="A10" s="12" t="str">
        <x:v>及时性权重放大</x:v>
      </x:c>
      <x:c r="B10" s="12" t="str">
        <x:v>Q2-009</x:v>
      </x:c>
      <x:c r="C10" s="12" t="str">
        <x:v>U06</x:v>
      </x:c>
      <x:c r="D10" s="12" t="str">
        <x:v>B</x:v>
      </x:c>
      <x:c r="E10" s="12" t="str">
        <x:v>BAT-B-03</x:v>
      </x:c>
      <x:c r="F10" s="21" t="n">
        <x:v>1555.405</x:v>
      </x:c>
      <x:c r="G10" s="12" t="str">
        <x:v>O01 → S013 → O01</x:v>
      </x:c>
      <x:c r="H10" s="21" t="n">
        <x:v>3065.918</x:v>
      </x:c>
      <x:c r="I10" s="10" t="n">
        <x:v>1.8248281910807473</x:v>
      </x:c>
      <x:c r="J10" s="5" t="n">
        <x:v>25</x:v>
      </x:c>
      <x:c r="K10" s="21" t="n">
        <x:v>0.067</x:v>
      </x:c>
      <x:c r="L10" s="23" t="n">
        <x:v>0.5437929522298132</x:v>
      </x:c>
      <x:c r="M10" s="21" t="n">
        <x:v>4523.344</x:v>
      </x:c>
      <x:c r="N10" s="24" t="str">
        <x:v>S013-FOD-01; S013-MED-01; S013-WAT-01</x:v>
      </x:c>
    </x:row>
    <x:row r="11" ht="48" customHeight="1">
      <x:c r="A11" s="16" t="str">
        <x:v>及时性权重放大</x:v>
      </x:c>
      <x:c r="B11" s="16" t="str">
        <x:v>Q2-010</x:v>
      </x:c>
      <x:c r="C11" s="16" t="str">
        <x:v>U08</x:v>
      </x:c>
      <x:c r="D11" s="16" t="str">
        <x:v>C</x:v>
      </x:c>
      <x:c r="E11" s="16" t="str">
        <x:v>BAT-C-03</x:v>
      </x:c>
      <x:c r="F11" s="22" t="n">
        <x:v>1561.554</x:v>
      </x:c>
      <x:c r="G11" s="16" t="str">
        <x:v>O01 → S001 → O01</x:v>
      </x:c>
      <x:c r="H11" s="22" t="n">
        <x:v>3253.73</x:v>
      </x:c>
      <x:c r="I11" s="14" t="n">
        <x:v>2.9175880955868267</x:v>
      </x:c>
      <x:c r="J11" s="13" t="n">
        <x:v>76</x:v>
      </x:c>
      <x:c r="K11" s="22" t="n">
        <x:v>0.231</x:v>
      </x:c>
      <x:c r="L11" s="25" t="n">
        <x:v>0.6353014880516467</x:v>
      </x:c>
      <x:c r="M11" s="22" t="n">
        <x:v>4877.244</x:v>
      </x:c>
      <x:c r="N11" s="26" t="str">
        <x:v>S001-FOD-01; S001-FOD-02; S001-HYG-01; S001-HYG-02; S001-MED-01; S001-MED-02; S001-WAT-04; S001-WAT-05; S001-WAT-06</x:v>
      </x:c>
    </x:row>
    <x:row r="12" ht="30" customHeight="1">
      <x:c r="A12" s="12" t="str">
        <x:v>及时性权重放大</x:v>
      </x:c>
      <x:c r="B12" s="12" t="str">
        <x:v>Q2-011</x:v>
      </x:c>
      <x:c r="C12" s="12" t="str">
        <x:v>U02</x:v>
      </x:c>
      <x:c r="D12" s="12" t="str">
        <x:v>A</x:v>
      </x:c>
      <x:c r="E12" s="12" t="str">
        <x:v>BAT-A-05</x:v>
      </x:c>
      <x:c r="F12" s="21" t="n">
        <x:v>1727.468</x:v>
      </x:c>
      <x:c r="G12" s="12" t="str">
        <x:v>O01 → S007 → O01</x:v>
      </x:c>
      <x:c r="H12" s="21" t="n">
        <x:v>3394.936</x:v>
      </x:c>
      <x:c r="I12" s="10" t="n">
        <x:v>1.872588415047149</x:v>
      </x:c>
      <x:c r="J12" s="5" t="n">
        <x:v>14</x:v>
      </x:c>
      <x:c r="K12" s="21" t="n">
        <x:v>0.027</x:v>
      </x:c>
      <x:c r="L12" s="23" t="n">
        <x:v>0.5838692411006335</x:v>
      </x:c>
      <x:c r="M12" s="21" t="n">
        <x:v>4435.906</x:v>
      </x:c>
      <x:c r="N12" s="12" t="str">
        <x:v>S007-WAT-02</x:v>
      </x:c>
    </x:row>
    <x:row r="13" ht="30" customHeight="1">
      <x:c r="A13" s="16" t="str">
        <x:v>及时性权重放大</x:v>
      </x:c>
      <x:c r="B13" s="16" t="str">
        <x:v>Q2-012</x:v>
      </x:c>
      <x:c r="C13" s="16" t="str">
        <x:v>U04</x:v>
      </x:c>
      <x:c r="D13" s="16" t="str">
        <x:v>A</x:v>
      </x:c>
      <x:c r="E13" s="16" t="str">
        <x:v>BAT-A-06</x:v>
      </x:c>
      <x:c r="F13" s="22" t="n">
        <x:v>1727.468</x:v>
      </x:c>
      <x:c r="G13" s="16" t="str">
        <x:v>O01 → S002 → O01</x:v>
      </x:c>
      <x:c r="H13" s="22" t="n">
        <x:v>3671.244</x:v>
      </x:c>
      <x:c r="I13" s="14" t="n">
        <x:v>2.871489106123694</x:v>
      </x:c>
      <x:c r="J13" s="13" t="n">
        <x:v>14</x:v>
      </x:c>
      <x:c r="K13" s="22" t="n">
        <x:v>0.027</x:v>
      </x:c>
      <x:c r="L13" s="25" t="n">
        <x:v>0.36189130975029027</x:v>
      </x:c>
      <x:c r="M13" s="22" t="n">
        <x:v>5000.786</x:v>
      </x:c>
      <x:c r="N13" s="16" t="str">
        <x:v>S002-WAT-02</x:v>
      </x:c>
    </x:row>
    <x:row r="14" ht="30" customHeight="1">
      <x:c r="A14" s="12" t="str">
        <x:v>及时性权重放大</x:v>
      </x:c>
      <x:c r="B14" s="12" t="str">
        <x:v>Q2-013</x:v>
      </x:c>
      <x:c r="C14" s="12" t="str">
        <x:v>U05</x:v>
      </x:c>
      <x:c r="D14" s="12" t="str">
        <x:v>B</x:v>
      </x:c>
      <x:c r="E14" s="12" t="str">
        <x:v>BAT-B-04</x:v>
      </x:c>
      <x:c r="F14" s="21" t="n">
        <x:v>1922.828</x:v>
      </x:c>
      <x:c r="G14" s="12" t="str">
        <x:v>O01 → S005 → S004 → O01</x:v>
      </x:c>
      <x:c r="H14" s="21" t="n">
        <x:v>4138.669</x:v>
      </x:c>
      <x:c r="I14" s="10" t="n">
        <x:v>2.7917500781027624</x:v>
      </x:c>
      <x:c r="J14" s="5" t="n">
        <x:v>25</x:v>
      </x:c>
      <x:c r="K14" s="21" t="n">
        <x:v>0.067</x:v>
      </x:c>
      <x:c r="L14" s="23" t="n">
        <x:v>0.3020624804743094</x:v>
      </x:c>
      <x:c r="M14" s="21" t="n">
        <x:v>6015.095</x:v>
      </x:c>
      <x:c r="N14" s="24" t="str">
        <x:v>S004-FOD-01; S004-MED-01; S005-WAT-03</x:v>
      </x:c>
    </x:row>
    <x:row r="15" ht="30" customHeight="1">
      <x:c r="A15" s="16" t="str">
        <x:v>及时性权重放大</x:v>
      </x:c>
      <x:c r="B15" s="16" t="str">
        <x:v>Q2-014</x:v>
      </x:c>
      <x:c r="C15" s="16" t="str">
        <x:v>U07</x:v>
      </x:c>
      <x:c r="D15" s="16" t="str">
        <x:v>C</x:v>
      </x:c>
      <x:c r="E15" s="16" t="str">
        <x:v>BAT-C-04</x:v>
      </x:c>
      <x:c r="F15" s="22" t="n">
        <x:v>2173.844</x:v>
      </x:c>
      <x:c r="G15" s="16" t="str">
        <x:v>O01 → S001 → O01</x:v>
      </x:c>
      <x:c r="H15" s="22" t="n">
        <x:v>3602.02</x:v>
      </x:c>
      <x:c r="I15" s="14" t="n">
        <x:v>2.5655813655342623</x:v>
      </x:c>
      <x:c r="J15" s="13" t="n">
        <x:v>64</x:v>
      </x:c>
      <x:c r="K15" s="22" t="n">
        <x:v>0.136</x:v>
      </x:c>
      <x:c r="L15" s="25" t="n">
        <x:v>0.6793023293082172</x:v>
      </x:c>
      <x:c r="M15" s="22" t="n">
        <x:v>5130.199</x:v>
      </x:c>
      <x:c r="N15" s="26" t="str">
        <x:v>S001-FOD-03; S001-WAT-01; S001-WAT-02; S001-WAT-03; S001-WAT-08</x:v>
      </x:c>
    </x:row>
    <x:row r="16" ht="30" customHeight="1">
      <x:c r="A16" s="12" t="str">
        <x:v>及时性权重放大</x:v>
      </x:c>
      <x:c r="B16" s="12" t="str">
        <x:v>Q2-015</x:v>
      </x:c>
      <x:c r="C16" s="12" t="str">
        <x:v>U01</x:v>
      </x:c>
      <x:c r="D16" s="12" t="str">
        <x:v>A</x:v>
      </x:c>
      <x:c r="E16" s="12" t="str">
        <x:v>BAT-A-04</x:v>
      </x:c>
      <x:c r="F16" s="21" t="n">
        <x:v>2755.414</x:v>
      </x:c>
      <x:c r="G16" s="12" t="str">
        <x:v>O01 → S001 → O01</x:v>
      </x:c>
      <x:c r="H16" s="21" t="n">
        <x:v>3946.322</x:v>
      </x:c>
      <x:c r="I16" s="10" t="n">
        <x:v>1.219518751679032</x:v>
      </x:c>
      <x:c r="J16" s="5" t="n">
        <x:v>14</x:v>
      </x:c>
      <x:c r="K16" s="21" t="n">
        <x:v>0.027</x:v>
      </x:c>
      <x:c r="L16" s="23" t="n">
        <x:v>0.7289958329602151</x:v>
      </x:c>
      <x:c r="M16" s="21" t="n">
        <x:v>4798.628</x:v>
      </x:c>
      <x:c r="N16" s="12" t="str">
        <x:v>S001-WAT-07</x:v>
      </x:c>
    </x:row>
    <x:row r="17" ht="30" customHeight="1">
      <x:c r="A17" s="16" t="str">
        <x:v>及时性权重放大</x:v>
      </x:c>
      <x:c r="B17" s="16" t="str">
        <x:v>Q2-016</x:v>
      </x:c>
      <x:c r="C17" s="16" t="str">
        <x:v>U03</x:v>
      </x:c>
      <x:c r="D17" s="16" t="str">
        <x:v>A</x:v>
      </x:c>
      <x:c r="E17" s="16" t="str">
        <x:v>BAT-A-02</x:v>
      </x:c>
      <x:c r="F17" s="22" t="n">
        <x:v>2796.858</x:v>
      </x:c>
      <x:c r="G17" s="16" t="str">
        <x:v>O01 → S008 → O01</x:v>
      </x:c>
      <x:c r="H17" s="22" t="n">
        <x:v>4908.005</x:v>
      </x:c>
      <x:c r="I17" s="14" t="n">
        <x:v>3.146459854356152</x:v>
      </x:c>
      <x:c r="J17" s="13" t="n">
        <x:v>14</x:v>
      </x:c>
      <x:c r="K17" s="22" t="n">
        <x:v>0.027</x:v>
      </x:c>
      <x:c r="L17" s="25" t="n">
        <x:v>0.3007866990319662</x:v>
      </x:c>
      <x:c r="M17" s="22" t="n">
        <x:v>6316.983</x:v>
      </x:c>
      <x:c r="N17" s="16" t="str">
        <x:v>S008-WAT-02</x:v>
      </x:c>
    </x:row>
    <x:row r="18" ht="30" customHeight="1">
      <x:c r="A18" s="12" t="str">
        <x:v>及时性权重放大</x:v>
      </x:c>
      <x:c r="B18" s="12" t="str">
        <x:v>Q2-017</x:v>
      </x:c>
      <x:c r="C18" s="12" t="str">
        <x:v>U06</x:v>
      </x:c>
      <x:c r="D18" s="12" t="str">
        <x:v>B</x:v>
      </x:c>
      <x:c r="E18" s="12" t="str">
        <x:v>BAT-B-02</x:v>
      </x:c>
      <x:c r="F18" s="21" t="n">
        <x:v>3065.918</x:v>
      </x:c>
      <x:c r="G18" s="12" t="str">
        <x:v>O01 → S008 → O01</x:v>
      </x:c>
      <x:c r="H18" s="21" t="n">
        <x:v>5027.761</x:v>
      </x:c>
      <x:c r="I18" s="10" t="n">
        <x:v>2.9752068745422333</x:v>
      </x:c>
      <x:c r="J18" s="5" t="n">
        <x:v>25</x:v>
      </x:c>
      <x:c r="K18" s="21" t="n">
        <x:v>0.067</x:v>
      </x:c>
      <x:c r="L18" s="23" t="n">
        <x:v>0.25619828136444167</x:v>
      </x:c>
      <x:c r="M18" s="21" t="n">
        <x:v>6983.684</x:v>
      </x:c>
      <x:c r="N18" s="24" t="str">
        <x:v>S008-FOD-01; S008-MED-01; S008-WAT-01</x:v>
      </x:c>
    </x:row>
    <x:row r="19" ht="30" customHeight="1">
      <x:c r="A19" s="16" t="str">
        <x:v>及时性权重放大</x:v>
      </x:c>
      <x:c r="B19" s="16" t="str">
        <x:v>Q2-018</x:v>
      </x:c>
      <x:c r="C19" s="16" t="str">
        <x:v>U08</x:v>
      </x:c>
      <x:c r="D19" s="16" t="str">
        <x:v>C</x:v>
      </x:c>
      <x:c r="E19" s="16" t="str">
        <x:v>BAT-C-02</x:v>
      </x:c>
      <x:c r="F19" s="22" t="n">
        <x:v>3253.73</x:v>
      </x:c>
      <x:c r="G19" s="16" t="str">
        <x:v>O01 → S004 → O01</x:v>
      </x:c>
      <x:c r="H19" s="22" t="n">
        <x:v>5422.786</x:v>
      </x:c>
      <x:c r="I19" s="14" t="n">
        <x:v>5.705440174682608</x:v>
      </x:c>
      <x:c r="J19" s="13" t="n">
        <x:v>48</x:v>
      </x:c>
      <x:c r="K19" s="22" t="n">
        <x:v>0.116</x:v>
      </x:c>
      <x:c r="L19" s="25" t="n">
        <x:v>0.28681997816467397</x:v>
      </x:c>
      <x:c r="M19" s="22" t="n">
        <x:v>7801.343</x:v>
      </x:c>
      <x:c r="N19" s="26" t="str">
        <x:v>S004-HYG-01; S004-WAT-01; S004-WAT-02; S004-WAT-03</x:v>
      </x:c>
    </x:row>
    <x:row r="20" ht="30" customHeight="1">
      <x:c r="A20" s="12" t="str">
        <x:v>及时性权重放大</x:v>
      </x:c>
      <x:c r="B20" s="12" t="str">
        <x:v>Q2-019</x:v>
      </x:c>
      <x:c r="C20" s="12" t="str">
        <x:v>U02</x:v>
      </x:c>
      <x:c r="D20" s="12" t="str">
        <x:v>A</x:v>
      </x:c>
      <x:c r="E20" s="12" t="str">
        <x:v>BAT-A-01</x:v>
      </x:c>
      <x:c r="F20" s="21" t="n">
        <x:v>3394.936</x:v>
      </x:c>
      <x:c r="G20" s="12" t="str">
        <x:v>O01 → S003 → O01</x:v>
      </x:c>
      <x:c r="H20" s="21" t="n">
        <x:v>5597.674</x:v>
      </x:c>
      <x:c r="I20" s="10" t="n">
        <x:v>2.9316889875927306</x:v>
      </x:c>
      <x:c r="J20" s="5" t="n">
        <x:v>14</x:v>
      </x:c>
      <x:c r="K20" s="21" t="n">
        <x:v>0.027</x:v>
      </x:c>
      <x:c r="L20" s="23" t="n">
        <x:v>0.34851355831272657</x:v>
      </x:c>
      <x:c r="M20" s="21" t="n">
        <x:v>6944.607</x:v>
      </x:c>
      <x:c r="N20" s="12" t="str">
        <x:v>S003-WAT-03</x:v>
      </x:c>
    </x:row>
    <x:row r="21" ht="30" customHeight="1">
      <x:c r="A21" s="16" t="str">
        <x:v>及时性权重放大</x:v>
      </x:c>
      <x:c r="B21" s="16" t="str">
        <x:v>Q2-020</x:v>
      </x:c>
      <x:c r="C21" s="16" t="str">
        <x:v>U04</x:v>
      </x:c>
      <x:c r="D21" s="16" t="str">
        <x:v>A</x:v>
      </x:c>
      <x:c r="E21" s="16" t="str">
        <x:v>BAT-A-03</x:v>
      </x:c>
      <x:c r="F21" s="22" t="n">
        <x:v>3671.244</x:v>
      </x:c>
      <x:c r="G21" s="16" t="str">
        <x:v>O01 → S008 → O01</x:v>
      </x:c>
      <x:c r="H21" s="22" t="n">
        <x:v>5782.391</x:v>
      </x:c>
      <x:c r="I21" s="14" t="n">
        <x:v>3.0410236755457847</x:v>
      </x:c>
      <x:c r="J21" s="13" t="n">
        <x:v>6</x:v>
      </x:c>
      <x:c r="K21" s="22" t="n">
        <x:v>0.035</x:v>
      </x:c>
      <x:c r="L21" s="25" t="n">
        <x:v>0.32421696098982566</x:v>
      </x:c>
      <x:c r="M21" s="22" t="n">
        <x:v>7160.909</x:v>
      </x:c>
      <x:c r="N21" s="16" t="str">
        <x:v>S008-HYG-01</x:v>
      </x:c>
    </x:row>
    <x:row r="22" ht="30" customHeight="1">
      <x:c r="A22" s="12" t="str">
        <x:v>及时性权重放大</x:v>
      </x:c>
      <x:c r="B22" s="12" t="str">
        <x:v>Q2-021</x:v>
      </x:c>
      <x:c r="C22" s="12" t="str">
        <x:v>U05</x:v>
      </x:c>
      <x:c r="D22" s="12" t="str">
        <x:v>B</x:v>
      </x:c>
      <x:c r="E22" s="12" t="str">
        <x:v>BAT-B-01</x:v>
      </x:c>
      <x:c r="F22" s="21" t="n">
        <x:v>4138.669</x:v>
      </x:c>
      <x:c r="G22" s="12" t="str">
        <x:v>O01 → S015 → O01</x:v>
      </x:c>
      <x:c r="H22" s="21" t="n">
        <x:v>5966.997</x:v>
      </x:c>
      <x:c r="I22" s="10" t="n">
        <x:v>2.3075285057525154</x:v>
      </x:c>
      <x:c r="J22" s="5" t="n">
        <x:v>25</x:v>
      </x:c>
      <x:c r="K22" s="21" t="n">
        <x:v>0.067</x:v>
      </x:c>
      <x:c r="L22" s="23" t="n">
        <x:v>0.42311787356187114</x:v>
      </x:c>
      <x:c r="M22" s="21" t="n">
        <x:v>7633.593</x:v>
      </x:c>
      <x:c r="N22" s="24" t="str">
        <x:v>S015-FOD-01; S015-MED-01; S015-WAT-01</x:v>
      </x:c>
    </x:row>
    <x:row r="23" ht="48" customHeight="1">
      <x:c r="A23" s="16" t="str">
        <x:v>及时性权重放大</x:v>
      </x:c>
      <x:c r="B23" s="16" t="str">
        <x:v>Q2-022</x:v>
      </x:c>
      <x:c r="C23" s="16" t="str">
        <x:v>U07</x:v>
      </x:c>
      <x:c r="D23" s="16" t="str">
        <x:v>C</x:v>
      </x:c>
      <x:c r="E23" s="16" t="str">
        <x:v>BAT-C-01</x:v>
      </x:c>
      <x:c r="F23" s="22" t="n">
        <x:v>4708.274</x:v>
      </x:c>
      <x:c r="G23" s="16" t="str">
        <x:v>O01 → S003 → O01</x:v>
      </x:c>
      <x:c r="H23" s="22" t="n">
        <x:v>7210.452</x:v>
      </x:c>
      <x:c r="I23" s="14" t="n">
        <x:v>6.324499390874367</x:v>
      </x:c>
      <x:c r="J23" s="13" t="n">
        <x:v>67</x:v>
      </x:c>
      <x:c r="K23" s="22" t="n">
        <x:v>0.184</x:v>
      </x:c>
      <x:c r="L23" s="25" t="n">
        <x:v>0.20943757614070413</x:v>
      </x:c>
      <x:c r="M23" s="22" t="n">
        <x:v>9756.671</x:v>
      </x:c>
      <x:c r="N23" s="26" t="str">
        <x:v>S003-FOD-01; S003-FOD-02; S003-HYG-01; S003-MED-01; S003-WAT-01; S003-WAT-02; S003-WAT-04</x:v>
      </x:c>
    </x:row>
    <x:row r="24" ht="30" customHeight="1">
      <x:c r="A24" s="12" t="str">
        <x:v>及时性权重放大</x:v>
      </x:c>
      <x:c r="B24" s="12" t="str">
        <x:v>Q2-023</x:v>
      </x:c>
      <x:c r="C24" s="12" t="str">
        <x:v>U06</x:v>
      </x:c>
      <x:c r="D24" s="12" t="str">
        <x:v>B</x:v>
      </x:c>
      <x:c r="E24" s="12" t="str">
        <x:v>BAT-B-03</x:v>
      </x:c>
      <x:c r="F24" s="21" t="n">
        <x:v>5027.761</x:v>
      </x:c>
      <x:c r="G24" s="12" t="str">
        <x:v>O01 → S009 → O01</x:v>
      </x:c>
      <x:c r="H24" s="21" t="n">
        <x:v>6586.225</x:v>
      </x:c>
      <x:c r="I24" s="10" t="n">
        <x:v>2.0962654017373348</x:v>
      </x:c>
      <x:c r="J24" s="5" t="n">
        <x:v>25</x:v>
      </x:c>
      <x:c r="K24" s="21" t="n">
        <x:v>0.067</x:v>
      </x:c>
      <x:c r="L24" s="23" t="n">
        <x:v>0.4759336495656663</x:v>
      </x:c>
      <x:c r="M24" s="21" t="n">
        <x:v>8161.274</x:v>
      </x:c>
      <x:c r="N24" s="24" t="str">
        <x:v>S009-FOD-01; S009-MED-01; S009-WAT-01</x:v>
      </x:c>
    </x:row>
    <x:row r="25" ht="48" customHeight="1">
      <x:c r="A25" s="16" t="str">
        <x:v>及时性权重放大</x:v>
      </x:c>
      <x:c r="B25" s="16" t="str">
        <x:v>Q2-024</x:v>
      </x:c>
      <x:c r="C25" s="16" t="str">
        <x:v>U08</x:v>
      </x:c>
      <x:c r="D25" s="16" t="str">
        <x:v>C</x:v>
      </x:c>
      <x:c r="E25" s="16" t="str">
        <x:v>BAT-C-03</x:v>
      </x:c>
      <x:c r="F25" s="22" t="n">
        <x:v>5422.786</x:v>
      </x:c>
      <x:c r="G25" s="16" t="str">
        <x:v>O01 → S011 → S005 → O01</x:v>
      </x:c>
      <x:c r="H25" s="22" t="n">
        <x:v>7727.954</x:v>
      </x:c>
      <x:c r="I25" s="14" t="n">
        <x:v>4.467964535576655</x:v>
      </x:c>
      <x:c r="J25" s="13" t="n">
        <x:v>70</x:v>
      </x:c>
      <x:c r="K25" s="22" t="n">
        <x:v>0.196</x:v>
      </x:c>
      <x:c r="L25" s="25" t="n">
        <x:v>0.4415044330529181</x:v>
      </x:c>
      <x:c r="M25" s="22" t="n">
        <x:v>9771.362</x:v>
      </x:c>
      <x:c r="N25" s="26" t="str">
        <x:v>S005-FOD-01; S005-HYG-01; S005-MED-01; S005-WAT-01; S005-WAT-02; S011-FOD-01; S011-MED-01; S011-WAT-01</x:v>
      </x:c>
    </x:row>
    <x:row r="26" ht="48" customHeight="1">
      <x:c r="A26" s="12" t="str">
        <x:v>完工时间权重放大</x:v>
      </x:c>
      <x:c r="B26" s="12" t="str">
        <x:v>Q2-001</x:v>
      </x:c>
      <x:c r="C26" s="12" t="str">
        <x:v>U07</x:v>
      </x:c>
      <x:c r="D26" s="12" t="str">
        <x:v>C</x:v>
      </x:c>
      <x:c r="E26" s="12" t="str">
        <x:v>BAT-C-01</x:v>
      </x:c>
      <x:c r="F26" s="21" t="n">
        <x:v>0</x:v>
      </x:c>
      <x:c r="G26" s="12" t="str">
        <x:v>O01 → S002 → O01</x:v>
      </x:c>
      <x:c r="H26" s="21" t="n">
        <x:v>2173.844</x:v>
      </x:c>
      <x:c r="I26" s="10" t="n">
        <x:v>6.280970256414267</x:v>
      </x:c>
      <x:c r="J26" s="5" t="n">
        <x:v>67</x:v>
      </x:c>
      <x:c r="K26" s="21" t="n">
        <x:v>0.184</x:v>
      </x:c>
      <x:c r="L26" s="23" t="n">
        <x:v>0.21487871794821667</x:v>
      </x:c>
      <x:c r="M26" s="21" t="n">
        <x:v>4708.274</x:v>
      </x:c>
      <x:c r="N26" s="24" t="str">
        <x:v>S002-FOD-01; S002-FOD-02; S002-HYG-01; S002-MED-01; S002-WAT-01; S002-WAT-03; S002-WAT-04</x:v>
      </x:c>
    </x:row>
    <x:row r="27" ht="30" customHeight="1">
      <x:c r="A27" s="16" t="str">
        <x:v>完工时间权重放大</x:v>
      </x:c>
      <x:c r="B27" s="16" t="str">
        <x:v>Q2-002</x:v>
      </x:c>
      <x:c r="C27" s="16" t="str">
        <x:v>U05</x:v>
      </x:c>
      <x:c r="D27" s="16" t="str">
        <x:v>B</x:v>
      </x:c>
      <x:c r="E27" s="16" t="str">
        <x:v>BAT-B-01</x:v>
      </x:c>
      <x:c r="F27" s="22" t="n">
        <x:v>0</x:v>
      </x:c>
      <x:c r="G27" s="16" t="str">
        <x:v>O01 → S013 → O01</x:v>
      </x:c>
      <x:c r="H27" s="22" t="n">
        <x:v>1510.513</x:v>
      </x:c>
      <x:c r="I27" s="14" t="n">
        <x:v>1.8248281910807473</x:v>
      </x:c>
      <x:c r="J27" s="13" t="n">
        <x:v>25</x:v>
      </x:c>
      <x:c r="K27" s="22" t="n">
        <x:v>0.067</x:v>
      </x:c>
      <x:c r="L27" s="25" t="n">
        <x:v>0.5437929522298132</x:v>
      </x:c>
      <x:c r="M27" s="22" t="n">
        <x:v>2967.939</x:v>
      </x:c>
      <x:c r="N27" s="26" t="str">
        <x:v>S013-FOD-01; S013-MED-01; S013-WAT-01</x:v>
      </x:c>
    </x:row>
    <x:row r="28" ht="30" customHeight="1">
      <x:c r="A28" s="12" t="str">
        <x:v>完工时间权重放大</x:v>
      </x:c>
      <x:c r="B28" s="12" t="str">
        <x:v>Q2-003</x:v>
      </x:c>
      <x:c r="C28" s="12" t="str">
        <x:v>U01</x:v>
      </x:c>
      <x:c r="D28" s="12" t="str">
        <x:v>A</x:v>
      </x:c>
      <x:c r="E28" s="12" t="str">
        <x:v>BAT-A-01</x:v>
      </x:c>
      <x:c r="F28" s="21" t="n">
        <x:v>0</x:v>
      </x:c>
      <x:c r="G28" s="12" t="str">
        <x:v>O01 → S014 → O01</x:v>
      </x:c>
      <x:c r="H28" s="21" t="n">
        <x:v>1930.4</x:v>
      </x:c>
      <x:c r="I28" s="10" t="n">
        <x:v>2.251627801047422</x:v>
      </x:c>
      <x:c r="J28" s="5" t="n">
        <x:v>14</x:v>
      </x:c>
      <x:c r="K28" s="21" t="n">
        <x:v>0.027</x:v>
      </x:c>
      <x:c r="L28" s="23" t="n">
        <x:v>0.4996382664339062</x:v>
      </x:c>
      <x:c r="M28" s="21" t="n">
        <x:v>3080.871</x:v>
      </x:c>
      <x:c r="N28" s="12" t="str">
        <x:v>S014-WAT-01</x:v>
      </x:c>
    </x:row>
    <x:row r="29" ht="30" customHeight="1">
      <x:c r="A29" s="16" t="str">
        <x:v>完工时间权重放大</x:v>
      </x:c>
      <x:c r="B29" s="16" t="str">
        <x:v>Q2-004</x:v>
      </x:c>
      <x:c r="C29" s="16" t="str">
        <x:v>U02</x:v>
      </x:c>
      <x:c r="D29" s="16" t="str">
        <x:v>A</x:v>
      </x:c>
      <x:c r="E29" s="16" t="str">
        <x:v>BAT-A-02</x:v>
      </x:c>
      <x:c r="F29" s="22" t="n">
        <x:v>0</x:v>
      </x:c>
      <x:c r="G29" s="16" t="str">
        <x:v>O01 → S007 → O01</x:v>
      </x:c>
      <x:c r="H29" s="22" t="n">
        <x:v>1727.468</x:v>
      </x:c>
      <x:c r="I29" s="14" t="n">
        <x:v>1.9709635056721377</x:v>
      </x:c>
      <x:c r="J29" s="13" t="n">
        <x:v>22</x:v>
      </x:c>
      <x:c r="K29" s="22" t="n">
        <x:v>0.055</x:v>
      </x:c>
      <x:c r="L29" s="25" t="n">
        <x:v>0.562008109850636</x:v>
      </x:c>
      <x:c r="M29" s="22" t="n">
        <x:v>2796.858</x:v>
      </x:c>
      <x:c r="N29" s="16" t="str">
        <x:v>S007-FOD-01; S007-WAT-01</x:v>
      </x:c>
    </x:row>
    <x:row r="30" ht="30" customHeight="1">
      <x:c r="A30" s="12" t="str">
        <x:v>完工时间权重放大</x:v>
      </x:c>
      <x:c r="B30" s="12" t="str">
        <x:v>Q2-005</x:v>
      </x:c>
      <x:c r="C30" s="12" t="str">
        <x:v>U06</x:v>
      </x:c>
      <x:c r="D30" s="12" t="str">
        <x:v>B</x:v>
      </x:c>
      <x:c r="E30" s="12" t="str">
        <x:v>BAT-B-02</x:v>
      </x:c>
      <x:c r="F30" s="21" t="n">
        <x:v>0</x:v>
      </x:c>
      <x:c r="G30" s="12" t="str">
        <x:v>O01 → S010 → O01</x:v>
      </x:c>
      <x:c r="H30" s="21" t="n">
        <x:v>1555.405</x:v>
      </x:c>
      <x:c r="I30" s="10" t="n">
        <x:v>1.823216564231414</x:v>
      </x:c>
      <x:c r="J30" s="5" t="n">
        <x:v>25</x:v>
      </x:c>
      <x:c r="K30" s="21" t="n">
        <x:v>0.067</x:v>
      </x:c>
      <x:c r="L30" s="23" t="n">
        <x:v>0.5441958589421465</x:v>
      </x:c>
      <x:c r="M30" s="21" t="n">
        <x:v>3012.133</x:v>
      </x:c>
      <x:c r="N30" s="24" t="str">
        <x:v>S010-FOD-01; S010-MED-01; S010-WAT-01</x:v>
      </x:c>
    </x:row>
    <x:row r="31" ht="30" customHeight="1">
      <x:c r="A31" s="16" t="str">
        <x:v>完工时间权重放大</x:v>
      </x:c>
      <x:c r="B31" s="16" t="str">
        <x:v>Q2-006</x:v>
      </x:c>
      <x:c r="C31" s="16" t="str">
        <x:v>U03</x:v>
      </x:c>
      <x:c r="D31" s="16" t="str">
        <x:v>A</x:v>
      </x:c>
      <x:c r="E31" s="16" t="str">
        <x:v>BAT-A-03</x:v>
      </x:c>
      <x:c r="F31" s="22" t="n">
        <x:v>0</x:v>
      </x:c>
      <x:c r="G31" s="16" t="str">
        <x:v>O01 → S014 → O01</x:v>
      </x:c>
      <x:c r="H31" s="22" t="n">
        <x:v>1990.4</x:v>
      </x:c>
      <x:c r="I31" s="14" t="n">
        <x:v>2.2175912570533356</x:v>
      </x:c>
      <x:c r="J31" s="13" t="n">
        <x:v>11</x:v>
      </x:c>
      <x:c r="K31" s="22" t="n">
        <x:v>0.04</x:v>
      </x:c>
      <x:c r="L31" s="25" t="n">
        <x:v>0.5072019428770365</x:v>
      </x:c>
      <x:c r="M31" s="22" t="n">
        <x:v>3131.038</x:v>
      </x:c>
      <x:c r="N31" s="16" t="str">
        <x:v>S014-FOD-01; S014-MED-01</x:v>
      </x:c>
    </x:row>
    <x:row r="32" ht="30" customHeight="1">
      <x:c r="A32" s="12" t="str">
        <x:v>完工时间权重放大</x:v>
      </x:c>
      <x:c r="B32" s="12" t="str">
        <x:v>Q2-007</x:v>
      </x:c>
      <x:c r="C32" s="12" t="str">
        <x:v>U04</x:v>
      </x:c>
      <x:c r="D32" s="12" t="str">
        <x:v>A</x:v>
      </x:c>
      <x:c r="E32" s="12" t="str">
        <x:v>BAT-A-04</x:v>
      </x:c>
      <x:c r="F32" s="21" t="n">
        <x:v>0</x:v>
      </x:c>
      <x:c r="G32" s="12" t="str">
        <x:v>O01 → S007 → O01</x:v>
      </x:c>
      <x:c r="H32" s="21" t="n">
        <x:v>1727.468</x:v>
      </x:c>
      <x:c r="I32" s="10" t="n">
        <x:v>1.8275023375986301</x:v>
      </x:c>
      <x:c r="J32" s="5" t="n">
        <x:v>9</x:v>
      </x:c>
      <x:c r="K32" s="21" t="n">
        <x:v>0.047</x:v>
      </x:c>
      <x:c r="L32" s="23" t="n">
        <x:v>0.5938883694225267</x:v>
      </x:c>
      <x:c r="M32" s="21" t="n">
        <x:v>2755.414</x:v>
      </x:c>
      <x:c r="N32" s="12" t="str">
        <x:v>S007-HYG-01; S007-MED-01</x:v>
      </x:c>
    </x:row>
    <x:row r="33" ht="30" customHeight="1">
      <x:c r="A33" s="16" t="str">
        <x:v>完工时间权重放大</x:v>
      </x:c>
      <x:c r="B33" s="16" t="str">
        <x:v>Q2-008</x:v>
      </x:c>
      <x:c r="C33" s="16" t="str">
        <x:v>U08</x:v>
      </x:c>
      <x:c r="D33" s="16" t="str">
        <x:v>C</x:v>
      </x:c>
      <x:c r="E33" s="16" t="str">
        <x:v>BAT-C-02</x:v>
      </x:c>
      <x:c r="F33" s="22" t="n">
        <x:v>0</x:v>
      </x:c>
      <x:c r="G33" s="16" t="str">
        <x:v>O01 → S006 → O01</x:v>
      </x:c>
      <x:c r="H33" s="22" t="n">
        <x:v>1561.554</x:v>
      </x:c>
      <x:c r="I33" s="14" t="n">
        <x:v>2.5979362904386822</x:v>
      </x:c>
      <x:c r="J33" s="13" t="n">
        <x:v>59</x:v>
      </x:c>
      <x:c r="K33" s="22" t="n">
        <x:v>0.156</x:v>
      </x:c>
      <x:c r="L33" s="25" t="n">
        <x:v>0.6752579636951648</x:v>
      </x:c>
      <x:c r="M33" s="22" t="n">
        <x:v>3098.496</x:v>
      </x:c>
      <x:c r="N33" s="26" t="str">
        <x:v>S006-FOD-01; S006-HYG-01; S006-MED-01; S006-WAT-01; S006-WAT-02; S006-WAT-03</x:v>
      </x:c>
    </x:row>
    <x:row r="34" ht="30" customHeight="1">
      <x:c r="A34" s="12" t="str">
        <x:v>完工时间权重放大</x:v>
      </x:c>
      <x:c r="B34" s="12" t="str">
        <x:v>Q2-009</x:v>
      </x:c>
      <x:c r="C34" s="12" t="str">
        <x:v>U05</x:v>
      </x:c>
      <x:c r="D34" s="12" t="str">
        <x:v>B</x:v>
      </x:c>
      <x:c r="E34" s="12" t="str">
        <x:v>BAT-B-03</x:v>
      </x:c>
      <x:c r="F34" s="21" t="n">
        <x:v>1510.513</x:v>
      </x:c>
      <x:c r="G34" s="12" t="str">
        <x:v>O01 → S012 → O01</x:v>
      </x:c>
      <x:c r="H34" s="21" t="n">
        <x:v>3433.341</x:v>
      </x:c>
      <x:c r="I34" s="10" t="n">
        <x:v>2.7525999542899324</x:v>
      </x:c>
      <x:c r="J34" s="5" t="n">
        <x:v>25</x:v>
      </x:c>
      <x:c r="K34" s="21" t="n">
        <x:v>0.067</x:v>
      </x:c>
      <x:c r="L34" s="23" t="n">
        <x:v>0.3118500114275169</x:v>
      </x:c>
      <x:c r="M34" s="21" t="n">
        <x:v>5292.801</x:v>
      </x:c>
      <x:c r="N34" s="24" t="str">
        <x:v>S012-FOD-01; S012-MED-01; S012-WAT-01</x:v>
      </x:c>
    </x:row>
    <x:row r="35" ht="30" customHeight="1">
      <x:c r="A35" s="16" t="str">
        <x:v>完工时间权重放大</x:v>
      </x:c>
      <x:c r="B35" s="16" t="str">
        <x:v>Q2-010</x:v>
      </x:c>
      <x:c r="C35" s="16" t="str">
        <x:v>U06</x:v>
      </x:c>
      <x:c r="D35" s="16" t="str">
        <x:v>B</x:v>
      </x:c>
      <x:c r="E35" s="16" t="str">
        <x:v>BAT-B-04</x:v>
      </x:c>
      <x:c r="F35" s="22" t="n">
        <x:v>1555.405</x:v>
      </x:c>
      <x:c r="G35" s="16" t="str">
        <x:v>O01 → S005 → S004 → O01</x:v>
      </x:c>
      <x:c r="H35" s="22" t="n">
        <x:v>3771.246</x:v>
      </x:c>
      <x:c r="I35" s="14" t="n">
        <x:v>2.7917500781027624</x:v>
      </x:c>
      <x:c r="J35" s="13" t="n">
        <x:v>25</x:v>
      </x:c>
      <x:c r="K35" s="22" t="n">
        <x:v>0.067</x:v>
      </x:c>
      <x:c r="L35" s="25" t="n">
        <x:v>0.3020624804743094</x:v>
      </x:c>
      <x:c r="M35" s="22" t="n">
        <x:v>5647.672</x:v>
      </x:c>
      <x:c r="N35" s="26" t="str">
        <x:v>S004-FOD-01; S004-MED-01; S005-WAT-03</x:v>
      </x:c>
    </x:row>
    <x:row r="36" ht="48" customHeight="1">
      <x:c r="A36" s="12" t="str">
        <x:v>完工时间权重放大</x:v>
      </x:c>
      <x:c r="B36" s="12" t="str">
        <x:v>Q2-011</x:v>
      </x:c>
      <x:c r="C36" s="12" t="str">
        <x:v>U08</x:v>
      </x:c>
      <x:c r="D36" s="12" t="str">
        <x:v>C</x:v>
      </x:c>
      <x:c r="E36" s="12" t="str">
        <x:v>BAT-C-03</x:v>
      </x:c>
      <x:c r="F36" s="21" t="n">
        <x:v>1561.554</x:v>
      </x:c>
      <x:c r="G36" s="12" t="str">
        <x:v>O01 → S001 → O01</x:v>
      </x:c>
      <x:c r="H36" s="21" t="n">
        <x:v>3253.73</x:v>
      </x:c>
      <x:c r="I36" s="10" t="n">
        <x:v>2.7203965759916358</x:v>
      </x:c>
      <x:c r="J36" s="5" t="n">
        <x:v>70</x:v>
      </x:c>
      <x:c r="K36" s="21" t="n">
        <x:v>0.232</x:v>
      </x:c>
      <x:c r="L36" s="23" t="n">
        <x:v>0.6599504280010455</x:v>
      </x:c>
      <x:c r="M36" s="21" t="n">
        <x:v>4823.838</x:v>
      </x:c>
      <x:c r="N36" s="24" t="str">
        <x:v>S001-FOD-01; S001-FOD-02; S001-FOD-03; S001-HYG-01; S001-HYG-02; S001-MED-01; S001-MED-02; S001-WAT-01; S001-WAT-02</x:v>
      </x:c>
    </x:row>
    <x:row r="37" ht="30" customHeight="1">
      <x:c r="A37" s="16" t="str">
        <x:v>完工时间权重放大</x:v>
      </x:c>
      <x:c r="B37" s="16" t="str">
        <x:v>Q2-012</x:v>
      </x:c>
      <x:c r="C37" s="16" t="str">
        <x:v>U02</x:v>
      </x:c>
      <x:c r="D37" s="16" t="str">
        <x:v>A</x:v>
      </x:c>
      <x:c r="E37" s="16" t="str">
        <x:v>BAT-A-05</x:v>
      </x:c>
      <x:c r="F37" s="22" t="n">
        <x:v>1727.468</x:v>
      </x:c>
      <x:c r="G37" s="16" t="str">
        <x:v>O01 → S001 → O01</x:v>
      </x:c>
      <x:c r="H37" s="22" t="n">
        <x:v>2918.376</x:v>
      </x:c>
      <x:c r="I37" s="14" t="n">
        <x:v>1.219518751679032</x:v>
      </x:c>
      <x:c r="J37" s="13" t="n">
        <x:v>14</x:v>
      </x:c>
      <x:c r="K37" s="22" t="n">
        <x:v>0.027</x:v>
      </x:c>
      <x:c r="L37" s="25" t="n">
        <x:v>0.7289958329602151</x:v>
      </x:c>
      <x:c r="M37" s="22" t="n">
        <x:v>3770.682</x:v>
      </x:c>
      <x:c r="N37" s="16" t="str">
        <x:v>S001-WAT-07</x:v>
      </x:c>
    </x:row>
    <x:row r="38" ht="30" customHeight="1">
      <x:c r="A38" s="12" t="str">
        <x:v>完工时间权重放大</x:v>
      </x:c>
      <x:c r="B38" s="12" t="str">
        <x:v>Q2-013</x:v>
      </x:c>
      <x:c r="C38" s="12" t="str">
        <x:v>U04</x:v>
      </x:c>
      <x:c r="D38" s="12" t="str">
        <x:v>A</x:v>
      </x:c>
      <x:c r="E38" s="12" t="str">
        <x:v>BAT-A-06</x:v>
      </x:c>
      <x:c r="F38" s="21" t="n">
        <x:v>1727.468</x:v>
      </x:c>
      <x:c r="G38" s="12" t="str">
        <x:v>O01 → S002 → O01</x:v>
      </x:c>
      <x:c r="H38" s="21" t="n">
        <x:v>3671.244</x:v>
      </x:c>
      <x:c r="I38" s="10" t="n">
        <x:v>2.871489106123694</x:v>
      </x:c>
      <x:c r="J38" s="5" t="n">
        <x:v>14</x:v>
      </x:c>
      <x:c r="K38" s="21" t="n">
        <x:v>0.027</x:v>
      </x:c>
      <x:c r="L38" s="23" t="n">
        <x:v>0.36189130975029027</x:v>
      </x:c>
      <x:c r="M38" s="21" t="n">
        <x:v>5000.786</x:v>
      </x:c>
      <x:c r="N38" s="12" t="str">
        <x:v>S002-WAT-02</x:v>
      </x:c>
    </x:row>
    <x:row r="39" ht="48" customHeight="1">
      <x:c r="A39" s="16" t="str">
        <x:v>完工时间权重放大</x:v>
      </x:c>
      <x:c r="B39" s="16" t="str">
        <x:v>Q2-014</x:v>
      </x:c>
      <x:c r="C39" s="16" t="str">
        <x:v>U07</x:v>
      </x:c>
      <x:c r="D39" s="16" t="str">
        <x:v>C</x:v>
      </x:c>
      <x:c r="E39" s="16" t="str">
        <x:v>BAT-C-04</x:v>
      </x:c>
      <x:c r="F39" s="22" t="n">
        <x:v>2173.844</x:v>
      </x:c>
      <x:c r="G39" s="16" t="str">
        <x:v>O01 → S003 → O01</x:v>
      </x:c>
      <x:c r="H39" s="22" t="n">
        <x:v>4676.022</x:v>
      </x:c>
      <x:c r="I39" s="14" t="n">
        <x:v>6.324499390874367</x:v>
      </x:c>
      <x:c r="J39" s="13" t="n">
        <x:v>67</x:v>
      </x:c>
      <x:c r="K39" s="22" t="n">
        <x:v>0.184</x:v>
      </x:c>
      <x:c r="L39" s="25" t="n">
        <x:v>0.20943757614070413</x:v>
      </x:c>
      <x:c r="M39" s="22" t="n">
        <x:v>7222.241</x:v>
      </x:c>
      <x:c r="N39" s="26" t="str">
        <x:v>S003-FOD-01; S003-FOD-02; S003-HYG-01; S003-MED-01; S003-WAT-01; S003-WAT-02; S003-WAT-04</x:v>
      </x:c>
    </x:row>
    <x:row r="40" ht="30" customHeight="1">
      <x:c r="A40" s="12" t="str">
        <x:v>完工时间权重放大</x:v>
      </x:c>
      <x:c r="B40" s="12" t="str">
        <x:v>Q2-015</x:v>
      </x:c>
      <x:c r="C40" s="12" t="str">
        <x:v>U01</x:v>
      </x:c>
      <x:c r="D40" s="12" t="str">
        <x:v>A</x:v>
      </x:c>
      <x:c r="E40" s="12" t="str">
        <x:v>BAT-A-04</x:v>
      </x:c>
      <x:c r="F40" s="21" t="n">
        <x:v>2755.414</x:v>
      </x:c>
      <x:c r="G40" s="12" t="str">
        <x:v>O01 → S007 → O01</x:v>
      </x:c>
      <x:c r="H40" s="21" t="n">
        <x:v>4422.882</x:v>
      </x:c>
      <x:c r="I40" s="10" t="n">
        <x:v>1.872588415047149</x:v>
      </x:c>
      <x:c r="J40" s="5" t="n">
        <x:v>14</x:v>
      </x:c>
      <x:c r="K40" s="21" t="n">
        <x:v>0.027</x:v>
      </x:c>
      <x:c r="L40" s="23" t="n">
        <x:v>0.5838692411006335</x:v>
      </x:c>
      <x:c r="M40" s="21" t="n">
        <x:v>5463.852</x:v>
      </x:c>
      <x:c r="N40" s="12" t="str">
        <x:v>S007-WAT-02</x:v>
      </x:c>
    </x:row>
    <x:row r="41" ht="30" customHeight="1">
      <x:c r="A41" s="16" t="str">
        <x:v>完工时间权重放大</x:v>
      </x:c>
      <x:c r="B41" s="16" t="str">
        <x:v>Q2-016</x:v>
      </x:c>
      <x:c r="C41" s="16" t="str">
        <x:v>U03</x:v>
      </x:c>
      <x:c r="D41" s="16" t="str">
        <x:v>A</x:v>
      </x:c>
      <x:c r="E41" s="16" t="str">
        <x:v>BAT-A-02</x:v>
      </x:c>
      <x:c r="F41" s="22" t="n">
        <x:v>2796.858</x:v>
      </x:c>
      <x:c r="G41" s="16" t="str">
        <x:v>O01 → S003 → O01</x:v>
      </x:c>
      <x:c r="H41" s="22" t="n">
        <x:v>4999.596</x:v>
      </x:c>
      <x:c r="I41" s="14" t="n">
        <x:v>2.9316889875927306</x:v>
      </x:c>
      <x:c r="J41" s="13" t="n">
        <x:v>14</x:v>
      </x:c>
      <x:c r="K41" s="22" t="n">
        <x:v>0.027</x:v>
      </x:c>
      <x:c r="L41" s="25" t="n">
        <x:v>0.34851355831272657</x:v>
      </x:c>
      <x:c r="M41" s="22" t="n">
        <x:v>6346.529</x:v>
      </x:c>
      <x:c r="N41" s="16" t="str">
        <x:v>S003-WAT-03</x:v>
      </x:c>
    </x:row>
    <x:row r="42" ht="30" customHeight="1">
      <x:c r="A42" s="12" t="str">
        <x:v>完工时间权重放大</x:v>
      </x:c>
      <x:c r="B42" s="12" t="str">
        <x:v>Q2-017</x:v>
      </x:c>
      <x:c r="C42" s="12" t="str">
        <x:v>U02</x:v>
      </x:c>
      <x:c r="D42" s="12" t="str">
        <x:v>A</x:v>
      </x:c>
      <x:c r="E42" s="12" t="str">
        <x:v>BAT-A-01</x:v>
      </x:c>
      <x:c r="F42" s="21" t="n">
        <x:v>3080.871</x:v>
      </x:c>
      <x:c r="G42" s="12" t="str">
        <x:v>O01 → S008 → O01</x:v>
      </x:c>
      <x:c r="H42" s="21" t="n">
        <x:v>5192.018</x:v>
      </x:c>
      <x:c r="I42" s="10" t="n">
        <x:v>3.146459854356152</x:v>
      </x:c>
      <x:c r="J42" s="5" t="n">
        <x:v>14</x:v>
      </x:c>
      <x:c r="K42" s="21" t="n">
        <x:v>0.027</x:v>
      </x:c>
      <x:c r="L42" s="23" t="n">
        <x:v>0.3007866990319662</x:v>
      </x:c>
      <x:c r="M42" s="21" t="n">
        <x:v>6600.996</x:v>
      </x:c>
      <x:c r="N42" s="12" t="str">
        <x:v>S008-WAT-02</x:v>
      </x:c>
    </x:row>
    <x:row r="43" ht="48" customHeight="1">
      <x:c r="A43" s="16" t="str">
        <x:v>完工时间权重放大</x:v>
      </x:c>
      <x:c r="B43" s="16" t="str">
        <x:v>Q2-018</x:v>
      </x:c>
      <x:c r="C43" s="16" t="str">
        <x:v>U08</x:v>
      </x:c>
      <x:c r="D43" s="16" t="str">
        <x:v>C</x:v>
      </x:c>
      <x:c r="E43" s="16" t="str">
        <x:v>BAT-C-02</x:v>
      </x:c>
      <x:c r="F43" s="22" t="n">
        <x:v>3253.73</x:v>
      </x:c>
      <x:c r="G43" s="16" t="str">
        <x:v>O01 → S011 → S005 → O01</x:v>
      </x:c>
      <x:c r="H43" s="22" t="n">
        <x:v>5492.898</x:v>
      </x:c>
      <x:c r="I43" s="14" t="n">
        <x:v>4.3923371510359015</x:v>
      </x:c>
      <x:c r="J43" s="13" t="n">
        <x:v>67</x:v>
      </x:c>
      <x:c r="K43" s="22" t="n">
        <x:v>0.184</x:v>
      </x:c>
      <x:c r="L43" s="25" t="n">
        <x:v>0.4509578561205123</x:v>
      </x:c>
      <x:c r="M43" s="22" t="n">
        <x:v>7515.823</x:v>
      </x:c>
      <x:c r="N43" s="26" t="str">
        <x:v>S005-FOD-01; S005-HYG-01; S005-MED-01; S005-WAT-01; S005-WAT-02; S011-FOD-01; S011-WAT-01</x:v>
      </x:c>
    </x:row>
    <x:row r="44" ht="30" customHeight="1">
      <x:c r="A44" s="12" t="str">
        <x:v>完工时间权重放大</x:v>
      </x:c>
      <x:c r="B44" s="12" t="str">
        <x:v>Q2-019</x:v>
      </x:c>
      <x:c r="C44" s="12" t="str">
        <x:v>U05</x:v>
      </x:c>
      <x:c r="D44" s="12" t="str">
        <x:v>B</x:v>
      </x:c>
      <x:c r="E44" s="12" t="str">
        <x:v>BAT-B-01</x:v>
      </x:c>
      <x:c r="F44" s="21" t="n">
        <x:v>3433.341</x:v>
      </x:c>
      <x:c r="G44" s="12" t="str">
        <x:v>O01 → S015 → O01</x:v>
      </x:c>
      <x:c r="H44" s="21" t="n">
        <x:v>5261.669</x:v>
      </x:c>
      <x:c r="I44" s="10" t="n">
        <x:v>2.3075285057525154</x:v>
      </x:c>
      <x:c r="J44" s="5" t="n">
        <x:v>25</x:v>
      </x:c>
      <x:c r="K44" s="21" t="n">
        <x:v>0.067</x:v>
      </x:c>
      <x:c r="L44" s="23" t="n">
        <x:v>0.42311787356187114</x:v>
      </x:c>
      <x:c r="M44" s="21" t="n">
        <x:v>6928.265</x:v>
      </x:c>
      <x:c r="N44" s="24" t="str">
        <x:v>S015-FOD-01; S015-MED-01; S015-WAT-01</x:v>
      </x:c>
    </x:row>
    <x:row r="45" ht="30" customHeight="1">
      <x:c r="A45" s="16" t="str">
        <x:v>完工时间权重放大</x:v>
      </x:c>
      <x:c r="B45" s="16" t="str">
        <x:v>Q2-020</x:v>
      </x:c>
      <x:c r="C45" s="16" t="str">
        <x:v>U04</x:v>
      </x:c>
      <x:c r="D45" s="16" t="str">
        <x:v>A</x:v>
      </x:c>
      <x:c r="E45" s="16" t="str">
        <x:v>BAT-A-03</x:v>
      </x:c>
      <x:c r="F45" s="22" t="n">
        <x:v>3671.244</x:v>
      </x:c>
      <x:c r="G45" s="16" t="str">
        <x:v>O01 → S008 → O01</x:v>
      </x:c>
      <x:c r="H45" s="22" t="n">
        <x:v>5782.391</x:v>
      </x:c>
      <x:c r="I45" s="14" t="n">
        <x:v>3.0410236755457847</x:v>
      </x:c>
      <x:c r="J45" s="13" t="n">
        <x:v>6</x:v>
      </x:c>
      <x:c r="K45" s="22" t="n">
        <x:v>0.035</x:v>
      </x:c>
      <x:c r="L45" s="25" t="n">
        <x:v>0.32421696098982566</x:v>
      </x:c>
      <x:c r="M45" s="22" t="n">
        <x:v>7160.909</x:v>
      </x:c>
      <x:c r="N45" s="16" t="str">
        <x:v>S008-HYG-01</x:v>
      </x:c>
    </x:row>
    <x:row r="46" ht="30" customHeight="1">
      <x:c r="A46" s="12" t="str">
        <x:v>完工时间权重放大</x:v>
      </x:c>
      <x:c r="B46" s="12" t="str">
        <x:v>Q2-021</x:v>
      </x:c>
      <x:c r="C46" s="12" t="str">
        <x:v>U06</x:v>
      </x:c>
      <x:c r="D46" s="12" t="str">
        <x:v>B</x:v>
      </x:c>
      <x:c r="E46" s="12" t="str">
        <x:v>BAT-B-02</x:v>
      </x:c>
      <x:c r="F46" s="21" t="n">
        <x:v>3771.246</x:v>
      </x:c>
      <x:c r="G46" s="12" t="str">
        <x:v>O01 → S008 → O01</x:v>
      </x:c>
      <x:c r="H46" s="21" t="n">
        <x:v>5733.089</x:v>
      </x:c>
      <x:c r="I46" s="10" t="n">
        <x:v>2.9752068745422333</x:v>
      </x:c>
      <x:c r="J46" s="5" t="n">
        <x:v>25</x:v>
      </x:c>
      <x:c r="K46" s="21" t="n">
        <x:v>0.067</x:v>
      </x:c>
      <x:c r="L46" s="23" t="n">
        <x:v>0.25619828136444167</x:v>
      </x:c>
      <x:c r="M46" s="21" t="n">
        <x:v>7689.012</x:v>
      </x:c>
      <x:c r="N46" s="24" t="str">
        <x:v>S008-FOD-01; S008-MED-01; S008-WAT-01</x:v>
      </x:c>
    </x:row>
    <x:row r="47" ht="30" customHeight="1">
      <x:c r="A47" s="16" t="str">
        <x:v>完工时间权重放大</x:v>
      </x:c>
      <x:c r="B47" s="16" t="str">
        <x:v>Q2-022</x:v>
      </x:c>
      <x:c r="C47" s="16" t="str">
        <x:v>U07</x:v>
      </x:c>
      <x:c r="D47" s="16" t="str">
        <x:v>C</x:v>
      </x:c>
      <x:c r="E47" s="16" t="str">
        <x:v>BAT-C-01</x:v>
      </x:c>
      <x:c r="F47" s="22" t="n">
        <x:v>4708.274</x:v>
      </x:c>
      <x:c r="G47" s="16" t="str">
        <x:v>O01 → S004 → O01</x:v>
      </x:c>
      <x:c r="H47" s="22" t="n">
        <x:v>6877.33</x:v>
      </x:c>
      <x:c r="I47" s="14" t="n">
        <x:v>5.705440174682608</x:v>
      </x:c>
      <x:c r="J47" s="13" t="n">
        <x:v>48</x:v>
      </x:c>
      <x:c r="K47" s="22" t="n">
        <x:v>0.116</x:v>
      </x:c>
      <x:c r="L47" s="25" t="n">
        <x:v>0.28681997816467397</x:v>
      </x:c>
      <x:c r="M47" s="22" t="n">
        <x:v>9255.887</x:v>
      </x:c>
      <x:c r="N47" s="26" t="str">
        <x:v>S004-HYG-01; S004-WAT-01; S004-WAT-02; S004-WAT-03</x:v>
      </x:c>
    </x:row>
    <x:row r="48" ht="30" customHeight="1">
      <x:c r="A48" s="12" t="str">
        <x:v>完工时间权重放大</x:v>
      </x:c>
      <x:c r="B48" s="12" t="str">
        <x:v>Q2-023</x:v>
      </x:c>
      <x:c r="C48" s="12" t="str">
        <x:v>U05</x:v>
      </x:c>
      <x:c r="D48" s="12" t="str">
        <x:v>B</x:v>
      </x:c>
      <x:c r="E48" s="12" t="str">
        <x:v>BAT-B-03</x:v>
      </x:c>
      <x:c r="F48" s="21" t="n">
        <x:v>5292.801</x:v>
      </x:c>
      <x:c r="G48" s="12" t="str">
        <x:v>O01 → S009 → O01</x:v>
      </x:c>
      <x:c r="H48" s="21" t="n">
        <x:v>6851.265</x:v>
      </x:c>
      <x:c r="I48" s="10" t="n">
        <x:v>2.0962654017373348</x:v>
      </x:c>
      <x:c r="J48" s="5" t="n">
        <x:v>25</x:v>
      </x:c>
      <x:c r="K48" s="21" t="n">
        <x:v>0.067</x:v>
      </x:c>
      <x:c r="L48" s="23" t="n">
        <x:v>0.4759336495656663</x:v>
      </x:c>
      <x:c r="M48" s="21" t="n">
        <x:v>8426.314</x:v>
      </x:c>
      <x:c r="N48" s="24" t="str">
        <x:v>S009-FOD-01; S009-MED-01; S009-WAT-01</x:v>
      </x:c>
    </x:row>
    <x:row r="49" ht="30" customHeight="1">
      <x:c r="A49" s="16" t="str">
        <x:v>完工时间权重放大</x:v>
      </x:c>
      <x:c r="B49" s="16" t="str">
        <x:v>Q2-024</x:v>
      </x:c>
      <x:c r="C49" s="16" t="str">
        <x:v>U08</x:v>
      </x:c>
      <x:c r="D49" s="16" t="str">
        <x:v>C</x:v>
      </x:c>
      <x:c r="E49" s="16" t="str">
        <x:v>BAT-C-03</x:v>
      </x:c>
      <x:c r="F49" s="22" t="n">
        <x:v>5492.898</x:v>
      </x:c>
      <x:c r="G49" s="16" t="str">
        <x:v>O01 → S001 → O01</x:v>
      </x:c>
      <x:c r="H49" s="22" t="n">
        <x:v>6921.074</x:v>
      </x:c>
      <x:c r="I49" s="14" t="n">
        <x:v>2.7203965759916358</x:v>
      </x:c>
      <x:c r="J49" s="13" t="n">
        <x:v>70</x:v>
      </x:c>
      <x:c r="K49" s="22" t="n">
        <x:v>0.135</x:v>
      </x:c>
      <x:c r="L49" s="25" t="n">
        <x:v>0.6599504280010455</x:v>
      </x:c>
      <x:c r="M49" s="22" t="n">
        <x:v>8491.182</x:v>
      </x:c>
      <x:c r="N49" s="26" t="str">
        <x:v>S001-WAT-03; S001-WAT-04; S001-WAT-05; S001-WAT-06; S001-WAT-08</x:v>
      </x:c>
    </x:row>
    <x:row r="50" ht="30" customHeight="1">
      <x:c r="A50" s="12" t="str">
        <x:v>完工时间权重放大</x:v>
      </x:c>
      <x:c r="B50" s="12" t="str">
        <x:v>Q2-025</x:v>
      </x:c>
      <x:c r="C50" s="12" t="str">
        <x:v>U06</x:v>
      </x:c>
      <x:c r="D50" s="12" t="str">
        <x:v>B</x:v>
      </x:c>
      <x:c r="E50" s="12" t="str">
        <x:v>BAT-B-04</x:v>
      </x:c>
      <x:c r="F50" s="21" t="n">
        <x:v>5733.089</x:v>
      </x:c>
      <x:c r="G50" s="12" t="str">
        <x:v>O01 → S011 → O01</x:v>
      </x:c>
      <x:c r="H50" s="21" t="n">
        <x:v>6801.515</x:v>
      </x:c>
      <x:c r="I50" s="10" t="n">
        <x:v>0.8714384102647579</x:v>
      </x:c>
      <x:c r="J50" s="5" t="n">
        <x:v>3</x:v>
      </x:c>
      <x:c r="K50" s="21" t="n">
        <x:v>0.012</x:v>
      </x:c>
      <x:c r="L50" s="23" t="n">
        <x:v>0.7821403974338106</x:v>
      </x:c>
      <x:c r="M50" s="21" t="n">
        <x:v>7845.805</x:v>
      </x:c>
      <x:c r="N50" s="12" t="str">
        <x:v>S011-MED-01</x:v>
      </x:c>
    </x:row>
    <x:row r="51" ht="30" customHeight="1">
      <x:c r="A51" s="16" t="str">
        <x:v>能耗权重放大</x:v>
      </x:c>
      <x:c r="B51" s="16" t="str">
        <x:v>Q2-001</x:v>
      </x:c>
      <x:c r="C51" s="16" t="str">
        <x:v>U05</x:v>
      </x:c>
      <x:c r="D51" s="16" t="str">
        <x:v>B</x:v>
      </x:c>
      <x:c r="E51" s="16" t="str">
        <x:v>BAT-B-01</x:v>
      </x:c>
      <x:c r="F51" s="22" t="n">
        <x:v>0</x:v>
      </x:c>
      <x:c r="G51" s="16" t="str">
        <x:v>O01 → S013 → O01</x:v>
      </x:c>
      <x:c r="H51" s="22" t="n">
        <x:v>1510.513</x:v>
      </x:c>
      <x:c r="I51" s="14" t="n">
        <x:v>1.8248281910807473</x:v>
      </x:c>
      <x:c r="J51" s="13" t="n">
        <x:v>25</x:v>
      </x:c>
      <x:c r="K51" s="22" t="n">
        <x:v>0.067</x:v>
      </x:c>
      <x:c r="L51" s="25" t="n">
        <x:v>0.5437929522298132</x:v>
      </x:c>
      <x:c r="M51" s="22" t="n">
        <x:v>2967.939</x:v>
      </x:c>
      <x:c r="N51" s="26" t="str">
        <x:v>S013-FOD-01; S013-MED-01; S013-WAT-01</x:v>
      </x:c>
    </x:row>
    <x:row r="52" ht="30" customHeight="1">
      <x:c r="A52" s="12" t="str">
        <x:v>能耗权重放大</x:v>
      </x:c>
      <x:c r="B52" s="12" t="str">
        <x:v>Q2-002</x:v>
      </x:c>
      <x:c r="C52" s="12" t="str">
        <x:v>U01</x:v>
      </x:c>
      <x:c r="D52" s="12" t="str">
        <x:v>A</x:v>
      </x:c>
      <x:c r="E52" s="12" t="str">
        <x:v>BAT-A-01</x:v>
      </x:c>
      <x:c r="F52" s="21" t="n">
        <x:v>0</x:v>
      </x:c>
      <x:c r="G52" s="12" t="str">
        <x:v>O01 → S007 → O01</x:v>
      </x:c>
      <x:c r="H52" s="21" t="n">
        <x:v>1727.468</x:v>
      </x:c>
      <x:c r="I52" s="10" t="n">
        <x:v>1.9709635056721377</x:v>
      </x:c>
      <x:c r="J52" s="5" t="n">
        <x:v>22</x:v>
      </x:c>
      <x:c r="K52" s="21" t="n">
        <x:v>0.055</x:v>
      </x:c>
      <x:c r="L52" s="23" t="n">
        <x:v>0.562008109850636</x:v>
      </x:c>
      <x:c r="M52" s="21" t="n">
        <x:v>2796.858</x:v>
      </x:c>
      <x:c r="N52" s="12" t="str">
        <x:v>S007-FOD-01; S007-WAT-01</x:v>
      </x:c>
    </x:row>
    <x:row r="53" ht="30" customHeight="1">
      <x:c r="A53" s="16" t="str">
        <x:v>能耗权重放大</x:v>
      </x:c>
      <x:c r="B53" s="16" t="str">
        <x:v>Q2-003</x:v>
      </x:c>
      <x:c r="C53" s="16" t="str">
        <x:v>U06</x:v>
      </x:c>
      <x:c r="D53" s="16" t="str">
        <x:v>B</x:v>
      </x:c>
      <x:c r="E53" s="16" t="str">
        <x:v>BAT-B-02</x:v>
      </x:c>
      <x:c r="F53" s="22" t="n">
        <x:v>0</x:v>
      </x:c>
      <x:c r="G53" s="16" t="str">
        <x:v>O01 → S014 → O01</x:v>
      </x:c>
      <x:c r="H53" s="22" t="n">
        <x:v>1869.749</x:v>
      </x:c>
      <x:c r="I53" s="14" t="n">
        <x:v>2.1402909781417883</x:v>
      </x:c>
      <x:c r="J53" s="13" t="n">
        <x:v>25</x:v>
      </x:c>
      <x:c r="K53" s="22" t="n">
        <x:v>0.067</x:v>
      </x:c>
      <x:c r="L53" s="25" t="n">
        <x:v>0.46492725546455294</x:v>
      </x:c>
      <x:c r="M53" s="22" t="n">
        <x:v>3463.876</x:v>
      </x:c>
      <x:c r="N53" s="26" t="str">
        <x:v>S014-FOD-01; S014-MED-01; S014-WAT-01</x:v>
      </x:c>
    </x:row>
    <x:row r="54" ht="30" customHeight="1">
      <x:c r="A54" s="12" t="str">
        <x:v>能耗权重放大</x:v>
      </x:c>
      <x:c r="B54" s="12" t="str">
        <x:v>Q2-004</x:v>
      </x:c>
      <x:c r="C54" s="12" t="str">
        <x:v>U02</x:v>
      </x:c>
      <x:c r="D54" s="12" t="str">
        <x:v>A</x:v>
      </x:c>
      <x:c r="E54" s="12" t="str">
        <x:v>BAT-A-02</x:v>
      </x:c>
      <x:c r="F54" s="21" t="n">
        <x:v>0</x:v>
      </x:c>
      <x:c r="G54" s="12" t="str">
        <x:v>O01 → S007 → O01</x:v>
      </x:c>
      <x:c r="H54" s="21" t="n">
        <x:v>1727.468</x:v>
      </x:c>
      <x:c r="I54" s="10" t="n">
        <x:v>1.8275023375986301</x:v>
      </x:c>
      <x:c r="J54" s="5" t="n">
        <x:v>9</x:v>
      </x:c>
      <x:c r="K54" s="21" t="n">
        <x:v>0.047</x:v>
      </x:c>
      <x:c r="L54" s="23" t="n">
        <x:v>0.5938883694225267</x:v>
      </x:c>
      <x:c r="M54" s="21" t="n">
        <x:v>2755.414</x:v>
      </x:c>
      <x:c r="N54" s="12" t="str">
        <x:v>S007-HYG-01; S007-MED-01</x:v>
      </x:c>
    </x:row>
    <x:row r="55" ht="30" customHeight="1">
      <x:c r="A55" s="16" t="str">
        <x:v>能耗权重放大</x:v>
      </x:c>
      <x:c r="B55" s="16" t="str">
        <x:v>Q2-005</x:v>
      </x:c>
      <x:c r="C55" s="16" t="str">
        <x:v>U07</x:v>
      </x:c>
      <x:c r="D55" s="16" t="str">
        <x:v>C</x:v>
      </x:c>
      <x:c r="E55" s="16" t="str">
        <x:v>BAT-C-01</x:v>
      </x:c>
      <x:c r="F55" s="22" t="n">
        <x:v>0</x:v>
      </x:c>
      <x:c r="G55" s="16" t="str">
        <x:v>O01 → S006 → O01</x:v>
      </x:c>
      <x:c r="H55" s="22" t="n">
        <x:v>1561.554</x:v>
      </x:c>
      <x:c r="I55" s="14" t="n">
        <x:v>2.5979362904386822</x:v>
      </x:c>
      <x:c r="J55" s="13" t="n">
        <x:v>59</x:v>
      </x:c>
      <x:c r="K55" s="22" t="n">
        <x:v>0.156</x:v>
      </x:c>
      <x:c r="L55" s="25" t="n">
        <x:v>0.6752579636951648</x:v>
      </x:c>
      <x:c r="M55" s="22" t="n">
        <x:v>3098.496</x:v>
      </x:c>
      <x:c r="N55" s="26" t="str">
        <x:v>S006-FOD-01; S006-HYG-01; S006-MED-01; S006-WAT-01; S006-WAT-02; S006-WAT-03</x:v>
      </x:c>
    </x:row>
    <x:row r="56" ht="30" customHeight="1">
      <x:c r="A56" s="12" t="str">
        <x:v>能耗权重放大</x:v>
      </x:c>
      <x:c r="B56" s="12" t="str">
        <x:v>Q2-006</x:v>
      </x:c>
      <x:c r="C56" s="12" t="str">
        <x:v>U08</x:v>
      </x:c>
      <x:c r="D56" s="12" t="str">
        <x:v>C</x:v>
      </x:c>
      <x:c r="E56" s="12" t="str">
        <x:v>BAT-C-02</x:v>
      </x:c>
      <x:c r="F56" s="21" t="n">
        <x:v>0.001</x:v>
      </x:c>
      <x:c r="G56" s="12" t="str">
        <x:v>O01 → S001 → O01</x:v>
      </x:c>
      <x:c r="H56" s="21" t="n">
        <x:v>1494.177</x:v>
      </x:c>
      <x:c r="I56" s="10" t="n">
        <x:v>2.995775804904669</x:v>
      </x:c>
      <x:c r="J56" s="5" t="n">
        <x:v>78</x:v>
      </x:c>
      <x:c r="K56" s="21" t="n">
        <x:v>0.163</x:v>
      </x:c>
      <x:c r="L56" s="23" t="n">
        <x:v>0.6255280243869163</x:v>
      </x:c>
      <x:c r="M56" s="21" t="n">
        <x:v>3138.867</x:v>
      </x:c>
      <x:c r="N56" s="24" t="str">
        <x:v>S001-FOD-03; S001-WAT-01; S001-WAT-02; S001-WAT-03; S001-WAT-07; S001-WAT-08</x:v>
      </x:c>
    </x:row>
    <x:row r="57" ht="30" customHeight="1">
      <x:c r="A57" s="16" t="str">
        <x:v>能耗权重放大</x:v>
      </x:c>
      <x:c r="B57" s="16" t="str">
        <x:v>Q2-007</x:v>
      </x:c>
      <x:c r="C57" s="16" t="str">
        <x:v>U08</x:v>
      </x:c>
      <x:c r="D57" s="16" t="str">
        <x:v>C</x:v>
      </x:c>
      <x:c r="E57" s="16" t="str">
        <x:v>BAT-C-03</x:v>
      </x:c>
      <x:c r="F57" s="22" t="n">
        <x:v>1494.177</x:v>
      </x:c>
      <x:c r="G57" s="16" t="str">
        <x:v>O01 → S002 → O01</x:v>
      </x:c>
      <x:c r="H57" s="22" t="n">
        <x:v>3602.021</x:v>
      </x:c>
      <x:c r="I57" s="14" t="n">
        <x:v>5.601961218543254</x:v>
      </x:c>
      <x:c r="J57" s="13" t="n">
        <x:v>53</x:v>
      </x:c>
      <x:c r="K57" s="22" t="n">
        <x:v>0.157</x:v>
      </x:c>
      <x:c r="L57" s="25" t="n">
        <x:v>0.29975484768209326</x:v>
      </x:c>
      <x:c r="M57" s="22" t="n">
        <x:v>5952.553</x:v>
      </x:c>
      <x:c r="N57" s="26" t="str">
        <x:v>S002-FOD-01; S002-FOD-02; S002-HYG-01; S002-MED-01; S002-WAT-01; S002-WAT-02</x:v>
      </x:c>
    </x:row>
    <x:row r="58" ht="30" customHeight="1">
      <x:c r="A58" s="12" t="str">
        <x:v>能耗权重放大</x:v>
      </x:c>
      <x:c r="B58" s="12" t="str">
        <x:v>Q2-008</x:v>
      </x:c>
      <x:c r="C58" s="12" t="str">
        <x:v>U05</x:v>
      </x:c>
      <x:c r="D58" s="12" t="str">
        <x:v>B</x:v>
      </x:c>
      <x:c r="E58" s="12" t="str">
        <x:v>BAT-B-03</x:v>
      </x:c>
      <x:c r="F58" s="21" t="n">
        <x:v>1510.513</x:v>
      </x:c>
      <x:c r="G58" s="12" t="str">
        <x:v>O01 → S010 → O01</x:v>
      </x:c>
      <x:c r="H58" s="21" t="n">
        <x:v>3065.918</x:v>
      </x:c>
      <x:c r="I58" s="10" t="n">
        <x:v>1.823216564231414</x:v>
      </x:c>
      <x:c r="J58" s="5" t="n">
        <x:v>25</x:v>
      </x:c>
      <x:c r="K58" s="21" t="n">
        <x:v>0.067</x:v>
      </x:c>
      <x:c r="L58" s="23" t="n">
        <x:v>0.5441958589421465</x:v>
      </x:c>
      <x:c r="M58" s="21" t="n">
        <x:v>4522.646</x:v>
      </x:c>
      <x:c r="N58" s="24" t="str">
        <x:v>S010-FOD-01; S010-MED-01; S010-WAT-01</x:v>
      </x:c>
    </x:row>
    <x:row r="59" ht="48" customHeight="1">
      <x:c r="A59" s="16" t="str">
        <x:v>能耗权重放大</x:v>
      </x:c>
      <x:c r="B59" s="16" t="str">
        <x:v>Q2-009</x:v>
      </x:c>
      <x:c r="C59" s="16" t="str">
        <x:v>U07</x:v>
      </x:c>
      <x:c r="D59" s="16" t="str">
        <x:v>C</x:v>
      </x:c>
      <x:c r="E59" s="16" t="str">
        <x:v>BAT-C-04</x:v>
      </x:c>
      <x:c r="F59" s="22" t="n">
        <x:v>1561.554</x:v>
      </x:c>
      <x:c r="G59" s="16" t="str">
        <x:v>O01 → S001 → O01</x:v>
      </x:c>
      <x:c r="H59" s="22" t="n">
        <x:v>3253.73</x:v>
      </x:c>
      <x:c r="I59" s="14" t="n">
        <x:v>2.9175880955868267</x:v>
      </x:c>
      <x:c r="J59" s="13" t="n">
        <x:v>76</x:v>
      </x:c>
      <x:c r="K59" s="22" t="n">
        <x:v>0.231</x:v>
      </x:c>
      <x:c r="L59" s="25" t="n">
        <x:v>0.6353014880516467</x:v>
      </x:c>
      <x:c r="M59" s="22" t="n">
        <x:v>4877.244</x:v>
      </x:c>
      <x:c r="N59" s="26" t="str">
        <x:v>S001-FOD-01; S001-FOD-02; S001-HYG-01; S001-HYG-02; S001-MED-01; S001-MED-02; S001-WAT-04; S001-WAT-05; S001-WAT-06</x:v>
      </x:c>
    </x:row>
    <x:row r="60" ht="30" customHeight="1">
      <x:c r="A60" s="12" t="str">
        <x:v>能耗权重放大</x:v>
      </x:c>
      <x:c r="B60" s="12" t="str">
        <x:v>Q2-010</x:v>
      </x:c>
      <x:c r="C60" s="12" t="str">
        <x:v>U06</x:v>
      </x:c>
      <x:c r="D60" s="12" t="str">
        <x:v>B</x:v>
      </x:c>
      <x:c r="E60" s="12" t="str">
        <x:v>BAT-B-04</x:v>
      </x:c>
      <x:c r="F60" s="21" t="n">
        <x:v>1869.749</x:v>
      </x:c>
      <x:c r="G60" s="12" t="str">
        <x:v>O01 → S012 → O01</x:v>
      </x:c>
      <x:c r="H60" s="21" t="n">
        <x:v>3792.577</x:v>
      </x:c>
      <x:c r="I60" s="10" t="n">
        <x:v>2.7525999542899324</x:v>
      </x:c>
      <x:c r="J60" s="5" t="n">
        <x:v>25</x:v>
      </x:c>
      <x:c r="K60" s="21" t="n">
        <x:v>0.067</x:v>
      </x:c>
      <x:c r="L60" s="23" t="n">
        <x:v>0.3118500114275169</x:v>
      </x:c>
      <x:c r="M60" s="21" t="n">
        <x:v>5652.037</x:v>
      </x:c>
      <x:c r="N60" s="24" t="str">
        <x:v>S012-FOD-01; S012-MED-01; S012-WAT-01</x:v>
      </x:c>
    </x:row>
    <x:row r="61" ht="30" customHeight="1">
      <x:c r="A61" s="16" t="str">
        <x:v>能耗权重放大</x:v>
      </x:c>
      <x:c r="B61" s="16" t="str">
        <x:v>Q2-011</x:v>
      </x:c>
      <x:c r="C61" s="16" t="str">
        <x:v>U05</x:v>
      </x:c>
      <x:c r="D61" s="16" t="str">
        <x:v>B</x:v>
      </x:c>
      <x:c r="E61" s="16" t="str">
        <x:v>BAT-B-01</x:v>
      </x:c>
      <x:c r="F61" s="22" t="n">
        <x:v>3065.918</x:v>
      </x:c>
      <x:c r="G61" s="16" t="str">
        <x:v>O01 → S002 → O01</x:v>
      </x:c>
      <x:c r="H61" s="22" t="n">
        <x:v>4822.644</x:v>
      </x:c>
      <x:c r="I61" s="14" t="n">
        <x:v>2.8702072800012117</x:v>
      </x:c>
      <x:c r="J61" s="13" t="n">
        <x:v>28</x:v>
      </x:c>
      <x:c r="K61" s="22" t="n">
        <x:v>0.054</x:v>
      </x:c>
      <x:c r="L61" s="25" t="n">
        <x:v>0.28244817999969707</x:v>
      </x:c>
      <x:c r="M61" s="22" t="n">
        <x:v>6733.068</x:v>
      </x:c>
      <x:c r="N61" s="16" t="str">
        <x:v>S002-WAT-03; S002-WAT-04</x:v>
      </x:c>
    </x:row>
    <x:row r="62" ht="30" customHeight="1">
      <x:c r="A62" s="12" t="str">
        <x:v>能耗权重放大</x:v>
      </x:c>
      <x:c r="B62" s="12" t="str">
        <x:v>Q2-012</x:v>
      </x:c>
      <x:c r="C62" s="12" t="str">
        <x:v>U07</x:v>
      </x:c>
      <x:c r="D62" s="12" t="str">
        <x:v>C</x:v>
      </x:c>
      <x:c r="E62" s="12" t="str">
        <x:v>BAT-C-01</x:v>
      </x:c>
      <x:c r="F62" s="21" t="n">
        <x:v>3258.352</x:v>
      </x:c>
      <x:c r="G62" s="12" t="str">
        <x:v>O01 → S004 → O01</x:v>
      </x:c>
      <x:c r="H62" s="21" t="n">
        <x:v>5427.408</x:v>
      </x:c>
      <x:c r="I62" s="10" t="n">
        <x:v>5.705440174682608</x:v>
      </x:c>
      <x:c r="J62" s="5" t="n">
        <x:v>48</x:v>
      </x:c>
      <x:c r="K62" s="21" t="n">
        <x:v>0.116</x:v>
      </x:c>
      <x:c r="L62" s="23" t="n">
        <x:v>0.28681997816467397</x:v>
      </x:c>
      <x:c r="M62" s="21" t="n">
        <x:v>7805.965</x:v>
      </x:c>
      <x:c r="N62" s="24" t="str">
        <x:v>S004-HYG-01; S004-WAT-01; S004-WAT-02; S004-WAT-03</x:v>
      </x:c>
    </x:row>
    <x:row r="63" ht="30" customHeight="1">
      <x:c r="A63" s="16" t="str">
        <x:v>能耗权重放大</x:v>
      </x:c>
      <x:c r="B63" s="16" t="str">
        <x:v>Q2-013</x:v>
      </x:c>
      <x:c r="C63" s="16" t="str">
        <x:v>U08</x:v>
      </x:c>
      <x:c r="D63" s="16" t="str">
        <x:v>C</x:v>
      </x:c>
      <x:c r="E63" s="16" t="str">
        <x:v>BAT-C-02</x:v>
      </x:c>
      <x:c r="F63" s="22" t="n">
        <x:v>3602.021</x:v>
      </x:c>
      <x:c r="G63" s="26" t="str">
        <x:v>O01 → S015 → S003 → S007 → O01</x:v>
      </x:c>
      <x:c r="H63" s="22" t="n">
        <x:v>6455.619</x:v>
      </x:c>
      <x:c r="I63" s="14" t="n">
        <x:v>6.060907508821143</x:v>
      </x:c>
      <x:c r="J63" s="13" t="n">
        <x:v>53</x:v>
      </x:c>
      <x:c r="K63" s="22" t="n">
        <x:v>0.121</x:v>
      </x:c>
      <x:c r="L63" s="25" t="n">
        <x:v>0.24238656139735715</x:v>
      </x:c>
      <x:c r="M63" s="22" t="n">
        <x:v>8930.449</x:v>
      </x:c>
      <x:c r="N63" s="26" t="str">
        <x:v>S003-WAT-03; S007-WAT-02; S015-FOD-01; S015-MED-01; S015-WAT-01</x:v>
      </x:c>
    </x:row>
    <x:row r="64" ht="30" customHeight="1">
      <x:c r="A64" s="12" t="str">
        <x:v>能耗权重放大</x:v>
      </x:c>
      <x:c r="B64" s="12" t="str">
        <x:v>Q2-014</x:v>
      </x:c>
      <x:c r="C64" s="12" t="str">
        <x:v>U06</x:v>
      </x:c>
      <x:c r="D64" s="12" t="str">
        <x:v>B</x:v>
      </x:c>
      <x:c r="E64" s="12" t="str">
        <x:v>BAT-B-02</x:v>
      </x:c>
      <x:c r="F64" s="21" t="n">
        <x:v>3792.577</x:v>
      </x:c>
      <x:c r="G64" s="12" t="str">
        <x:v>O01 → S008 → O01</x:v>
      </x:c>
      <x:c r="H64" s="21" t="n">
        <x:v>5694.42</x:v>
      </x:c>
      <x:c r="I64" s="10" t="n">
        <x:v>2.7634312052333714</x:v>
      </x:c>
      <x:c r="J64" s="5" t="n">
        <x:v>20</x:v>
      </x:c>
      <x:c r="K64" s="21" t="n">
        <x:v>0.062</x:v>
      </x:c>
      <x:c r="L64" s="23" t="n">
        <x:v>0.30914219869165716</x:v>
      </x:c>
      <x:c r="M64" s="21" t="n">
        <x:v>7558.574</x:v>
      </x:c>
      <x:c r="N64" s="12" t="str">
        <x:v>S008-HYG-01; S008-WAT-02</x:v>
      </x:c>
    </x:row>
    <x:row r="65" ht="30" customHeight="1">
      <x:c r="A65" s="16" t="str">
        <x:v>能耗权重放大</x:v>
      </x:c>
      <x:c r="B65" s="16" t="str">
        <x:v>Q2-015</x:v>
      </x:c>
      <x:c r="C65" s="16" t="str">
        <x:v>U05</x:v>
      </x:c>
      <x:c r="D65" s="16" t="str">
        <x:v>B</x:v>
      </x:c>
      <x:c r="E65" s="16" t="str">
        <x:v>BAT-B-03</x:v>
      </x:c>
      <x:c r="F65" s="22" t="n">
        <x:v>4822.644</x:v>
      </x:c>
      <x:c r="G65" s="16" t="str">
        <x:v>O01 → S005 → S004 → O01</x:v>
      </x:c>
      <x:c r="H65" s="22" t="n">
        <x:v>7038.485</x:v>
      </x:c>
      <x:c r="I65" s="14" t="n">
        <x:v>2.7917500781027624</x:v>
      </x:c>
      <x:c r="J65" s="13" t="n">
        <x:v>25</x:v>
      </x:c>
      <x:c r="K65" s="22" t="n">
        <x:v>0.067</x:v>
      </x:c>
      <x:c r="L65" s="25" t="n">
        <x:v>0.3020624804743094</x:v>
      </x:c>
      <x:c r="M65" s="22" t="n">
        <x:v>8914.911</x:v>
      </x:c>
      <x:c r="N65" s="26" t="str">
        <x:v>S004-FOD-01; S004-MED-01; S005-WAT-03</x:v>
      </x:c>
    </x:row>
    <x:row r="66" ht="48" customHeight="1">
      <x:c r="A66" s="12" t="str">
        <x:v>能耗权重放大</x:v>
      </x:c>
      <x:c r="B66" s="12" t="str">
        <x:v>Q2-016</x:v>
      </x:c>
      <x:c r="C66" s="12" t="str">
        <x:v>U07</x:v>
      </x:c>
      <x:c r="D66" s="12" t="str">
        <x:v>C</x:v>
      </x:c>
      <x:c r="E66" s="12" t="str">
        <x:v>BAT-C-04</x:v>
      </x:c>
      <x:c r="F66" s="21" t="n">
        <x:v>5427.408</x:v>
      </x:c>
      <x:c r="G66" s="12" t="str">
        <x:v>O01 → S003 → O01</x:v>
      </x:c>
      <x:c r="H66" s="21" t="n">
        <x:v>7929.586</x:v>
      </x:c>
      <x:c r="I66" s="10" t="n">
        <x:v>6.324499390874367</x:v>
      </x:c>
      <x:c r="J66" s="5" t="n">
        <x:v>67</x:v>
      </x:c>
      <x:c r="K66" s="21" t="n">
        <x:v>0.184</x:v>
      </x:c>
      <x:c r="L66" s="23" t="n">
        <x:v>0.20943757614070413</x:v>
      </x:c>
      <x:c r="M66" s="21" t="n">
        <x:v>10475.805</x:v>
      </x:c>
      <x:c r="N66" s="24" t="str">
        <x:v>S003-FOD-01; S003-FOD-02; S003-HYG-01; S003-MED-01; S003-WAT-01; S003-WAT-02; S003-WAT-04</x:v>
      </x:c>
    </x:row>
    <x:row r="67" ht="30" customHeight="1">
      <x:c r="A67" s="16" t="str">
        <x:v>能耗权重放大</x:v>
      </x:c>
      <x:c r="B67" s="16" t="str">
        <x:v>Q2-017</x:v>
      </x:c>
      <x:c r="C67" s="16" t="str">
        <x:v>U06</x:v>
      </x:c>
      <x:c r="D67" s="16" t="str">
        <x:v>B</x:v>
      </x:c>
      <x:c r="E67" s="16" t="str">
        <x:v>BAT-B-04</x:v>
      </x:c>
      <x:c r="F67" s="22" t="n">
        <x:v>5694.42</x:v>
      </x:c>
      <x:c r="G67" s="16" t="str">
        <x:v>O01 → S008 → O01</x:v>
      </x:c>
      <x:c r="H67" s="22" t="n">
        <x:v>7656.263</x:v>
      </x:c>
      <x:c r="I67" s="14" t="n">
        <x:v>2.9752068745422333</x:v>
      </x:c>
      <x:c r="J67" s="13" t="n">
        <x:v>25</x:v>
      </x:c>
      <x:c r="K67" s="22" t="n">
        <x:v>0.067</x:v>
      </x:c>
      <x:c r="L67" s="25" t="n">
        <x:v>0.25619828136444167</x:v>
      </x:c>
      <x:c r="M67" s="22" t="n">
        <x:v>9612.186</x:v>
      </x:c>
      <x:c r="N67" s="26" t="str">
        <x:v>S008-FOD-01; S008-MED-01; S008-WAT-01</x:v>
      </x:c>
    </x:row>
    <x:row r="68" ht="48" customHeight="1">
      <x:c r="A68" s="12" t="str">
        <x:v>能耗权重放大</x:v>
      </x:c>
      <x:c r="B68" s="12" t="str">
        <x:v>Q2-018</x:v>
      </x:c>
      <x:c r="C68" s="12" t="str">
        <x:v>U08</x:v>
      </x:c>
      <x:c r="D68" s="12" t="str">
        <x:v>C</x:v>
      </x:c>
      <x:c r="E68" s="12" t="str">
        <x:v>BAT-C-03</x:v>
      </x:c>
      <x:c r="F68" s="21" t="n">
        <x:v>6455.619</x:v>
      </x:c>
      <x:c r="G68" s="12" t="str">
        <x:v>O01 → S011 → S005 → O01</x:v>
      </x:c>
      <x:c r="H68" s="21" t="n">
        <x:v>8760.787</x:v>
      </x:c>
      <x:c r="I68" s="10" t="n">
        <x:v>4.467964535576655</x:v>
      </x:c>
      <x:c r="J68" s="5" t="n">
        <x:v>70</x:v>
      </x:c>
      <x:c r="K68" s="21" t="n">
        <x:v>0.196</x:v>
      </x:c>
      <x:c r="L68" s="23" t="n">
        <x:v>0.4415044330529181</x:v>
      </x:c>
      <x:c r="M68" s="21" t="n">
        <x:v>10804.195</x:v>
      </x:c>
      <x:c r="N68" s="24" t="str">
        <x:v>S005-FOD-01; S005-HYG-01; S005-MED-01; S005-WAT-01; S005-WAT-02; S011-FOD-01; S011-MED-01; S011-WAT-01</x:v>
      </x:c>
    </x:row>
    <x:row r="69" ht="30" customHeight="1">
      <x:c r="A69" s="16" t="str">
        <x:v>能耗权重放大</x:v>
      </x:c>
      <x:c r="B69" s="16" t="str">
        <x:v>Q2-019</x:v>
      </x:c>
      <x:c r="C69" s="16" t="str">
        <x:v>U05</x:v>
      </x:c>
      <x:c r="D69" s="16" t="str">
        <x:v>B</x:v>
      </x:c>
      <x:c r="E69" s="16" t="str">
        <x:v>BAT-B-01</x:v>
      </x:c>
      <x:c r="F69" s="22" t="n">
        <x:v>7038.485</x:v>
      </x:c>
      <x:c r="G69" s="16" t="str">
        <x:v>O01 → S009 → O01</x:v>
      </x:c>
      <x:c r="H69" s="22" t="n">
        <x:v>8596.949</x:v>
      </x:c>
      <x:c r="I69" s="14" t="n">
        <x:v>2.0962654017373348</x:v>
      </x:c>
      <x:c r="J69" s="13" t="n">
        <x:v>25</x:v>
      </x:c>
      <x:c r="K69" s="22" t="n">
        <x:v>0.067</x:v>
      </x:c>
      <x:c r="L69" s="25" t="n">
        <x:v>0.4759336495656663</x:v>
      </x:c>
      <x:c r="M69" s="22" t="n">
        <x:v>10171.998</x:v>
      </x:c>
      <x:c r="N69" s="26" t="str">
        <x:v>S009-FOD-01; S009-MED-01; S009-WAT-01</x:v>
      </x:c>
    </x:row>
    <x:row r="70" ht="30" customHeight="1">
      <x:c r="A70" s="12" t="str">
        <x:v>架次权重放大</x:v>
      </x:c>
      <x:c r="B70" s="12" t="str">
        <x:v>Q2-001</x:v>
      </x:c>
      <x:c r="C70" s="12" t="str">
        <x:v>U05</x:v>
      </x:c>
      <x:c r="D70" s="12" t="str">
        <x:v>B</x:v>
      </x:c>
      <x:c r="E70" s="12" t="str">
        <x:v>BAT-B-01</x:v>
      </x:c>
      <x:c r="F70" s="21" t="n">
        <x:v>0</x:v>
      </x:c>
      <x:c r="G70" s="12" t="str">
        <x:v>O01 → S013 → O01</x:v>
      </x:c>
      <x:c r="H70" s="21" t="n">
        <x:v>1510.513</x:v>
      </x:c>
      <x:c r="I70" s="10" t="n">
        <x:v>1.8248281910807473</x:v>
      </x:c>
      <x:c r="J70" s="5" t="n">
        <x:v>25</x:v>
      </x:c>
      <x:c r="K70" s="21" t="n">
        <x:v>0.067</x:v>
      </x:c>
      <x:c r="L70" s="23" t="n">
        <x:v>0.5437929522298132</x:v>
      </x:c>
      <x:c r="M70" s="21" t="n">
        <x:v>2967.939</x:v>
      </x:c>
      <x:c r="N70" s="24" t="str">
        <x:v>S013-FOD-01; S013-MED-01; S013-WAT-01</x:v>
      </x:c>
    </x:row>
    <x:row r="71" ht="30" customHeight="1">
      <x:c r="A71" s="16" t="str">
        <x:v>架次权重放大</x:v>
      </x:c>
      <x:c r="B71" s="16" t="str">
        <x:v>Q2-002</x:v>
      </x:c>
      <x:c r="C71" s="16" t="str">
        <x:v>U01</x:v>
      </x:c>
      <x:c r="D71" s="16" t="str">
        <x:v>A</x:v>
      </x:c>
      <x:c r="E71" s="16" t="str">
        <x:v>BAT-A-01</x:v>
      </x:c>
      <x:c r="F71" s="22" t="n">
        <x:v>0</x:v>
      </x:c>
      <x:c r="G71" s="16" t="str">
        <x:v>O01 → S007 → O01</x:v>
      </x:c>
      <x:c r="H71" s="22" t="n">
        <x:v>1727.468</x:v>
      </x:c>
      <x:c r="I71" s="14" t="n">
        <x:v>1.9709635056721377</x:v>
      </x:c>
      <x:c r="J71" s="13" t="n">
        <x:v>22</x:v>
      </x:c>
      <x:c r="K71" s="22" t="n">
        <x:v>0.055</x:v>
      </x:c>
      <x:c r="L71" s="25" t="n">
        <x:v>0.562008109850636</x:v>
      </x:c>
      <x:c r="M71" s="22" t="n">
        <x:v>2796.858</x:v>
      </x:c>
      <x:c r="N71" s="16" t="str">
        <x:v>S007-FOD-01; S007-WAT-01</x:v>
      </x:c>
    </x:row>
    <x:row r="72" ht="30" customHeight="1">
      <x:c r="A72" s="12" t="str">
        <x:v>架次权重放大</x:v>
      </x:c>
      <x:c r="B72" s="12" t="str">
        <x:v>Q2-003</x:v>
      </x:c>
      <x:c r="C72" s="12" t="str">
        <x:v>U06</x:v>
      </x:c>
      <x:c r="D72" s="12" t="str">
        <x:v>B</x:v>
      </x:c>
      <x:c r="E72" s="12" t="str">
        <x:v>BAT-B-02</x:v>
      </x:c>
      <x:c r="F72" s="21" t="n">
        <x:v>0</x:v>
      </x:c>
      <x:c r="G72" s="12" t="str">
        <x:v>O01 → S014 → O01</x:v>
      </x:c>
      <x:c r="H72" s="21" t="n">
        <x:v>1869.749</x:v>
      </x:c>
      <x:c r="I72" s="10" t="n">
        <x:v>2.1402909781417883</x:v>
      </x:c>
      <x:c r="J72" s="5" t="n">
        <x:v>25</x:v>
      </x:c>
      <x:c r="K72" s="21" t="n">
        <x:v>0.067</x:v>
      </x:c>
      <x:c r="L72" s="23" t="n">
        <x:v>0.46492725546455294</x:v>
      </x:c>
      <x:c r="M72" s="21" t="n">
        <x:v>3463.876</x:v>
      </x:c>
      <x:c r="N72" s="24" t="str">
        <x:v>S014-FOD-01; S014-MED-01; S014-WAT-01</x:v>
      </x:c>
    </x:row>
    <x:row r="73" ht="30" customHeight="1">
      <x:c r="A73" s="16" t="str">
        <x:v>架次权重放大</x:v>
      </x:c>
      <x:c r="B73" s="16" t="str">
        <x:v>Q2-004</x:v>
      </x:c>
      <x:c r="C73" s="16" t="str">
        <x:v>U02</x:v>
      </x:c>
      <x:c r="D73" s="16" t="str">
        <x:v>A</x:v>
      </x:c>
      <x:c r="E73" s="16" t="str">
        <x:v>BAT-A-02</x:v>
      </x:c>
      <x:c r="F73" s="22" t="n">
        <x:v>0</x:v>
      </x:c>
      <x:c r="G73" s="16" t="str">
        <x:v>O01 → S007 → O01</x:v>
      </x:c>
      <x:c r="H73" s="22" t="n">
        <x:v>1727.468</x:v>
      </x:c>
      <x:c r="I73" s="14" t="n">
        <x:v>1.8275023375986301</x:v>
      </x:c>
      <x:c r="J73" s="13" t="n">
        <x:v>9</x:v>
      </x:c>
      <x:c r="K73" s="22" t="n">
        <x:v>0.047</x:v>
      </x:c>
      <x:c r="L73" s="25" t="n">
        <x:v>0.5938883694225267</x:v>
      </x:c>
      <x:c r="M73" s="22" t="n">
        <x:v>2755.414</x:v>
      </x:c>
      <x:c r="N73" s="16" t="str">
        <x:v>S007-HYG-01; S007-MED-01</x:v>
      </x:c>
    </x:row>
    <x:row r="74" ht="30" customHeight="1">
      <x:c r="A74" s="12" t="str">
        <x:v>架次权重放大</x:v>
      </x:c>
      <x:c r="B74" s="12" t="str">
        <x:v>Q2-005</x:v>
      </x:c>
      <x:c r="C74" s="12" t="str">
        <x:v>U07</x:v>
      </x:c>
      <x:c r="D74" s="12" t="str">
        <x:v>C</x:v>
      </x:c>
      <x:c r="E74" s="12" t="str">
        <x:v>BAT-C-01</x:v>
      </x:c>
      <x:c r="F74" s="21" t="n">
        <x:v>0</x:v>
      </x:c>
      <x:c r="G74" s="12" t="str">
        <x:v>O01 → S006 → O01</x:v>
      </x:c>
      <x:c r="H74" s="21" t="n">
        <x:v>1561.554</x:v>
      </x:c>
      <x:c r="I74" s="10" t="n">
        <x:v>2.5979362904386822</x:v>
      </x:c>
      <x:c r="J74" s="5" t="n">
        <x:v>59</x:v>
      </x:c>
      <x:c r="K74" s="21" t="n">
        <x:v>0.156</x:v>
      </x:c>
      <x:c r="L74" s="23" t="n">
        <x:v>0.6752579636951648</x:v>
      </x:c>
      <x:c r="M74" s="21" t="n">
        <x:v>3098.496</x:v>
      </x:c>
      <x:c r="N74" s="24" t="str">
        <x:v>S006-FOD-01; S006-HYG-01; S006-MED-01; S006-WAT-01; S006-WAT-02; S006-WAT-03</x:v>
      </x:c>
    </x:row>
    <x:row r="75" ht="30" customHeight="1">
      <x:c r="A75" s="16" t="str">
        <x:v>架次权重放大</x:v>
      </x:c>
      <x:c r="B75" s="16" t="str">
        <x:v>Q2-006</x:v>
      </x:c>
      <x:c r="C75" s="16" t="str">
        <x:v>U08</x:v>
      </x:c>
      <x:c r="D75" s="16" t="str">
        <x:v>C</x:v>
      </x:c>
      <x:c r="E75" s="16" t="str">
        <x:v>BAT-C-02</x:v>
      </x:c>
      <x:c r="F75" s="22" t="n">
        <x:v>0.001</x:v>
      </x:c>
      <x:c r="G75" s="16" t="str">
        <x:v>O01 → S001 → O01</x:v>
      </x:c>
      <x:c r="H75" s="22" t="n">
        <x:v>1494.177</x:v>
      </x:c>
      <x:c r="I75" s="14" t="n">
        <x:v>2.995775804904669</x:v>
      </x:c>
      <x:c r="J75" s="13" t="n">
        <x:v>78</x:v>
      </x:c>
      <x:c r="K75" s="22" t="n">
        <x:v>0.163</x:v>
      </x:c>
      <x:c r="L75" s="25" t="n">
        <x:v>0.6255280243869163</x:v>
      </x:c>
      <x:c r="M75" s="22" t="n">
        <x:v>3138.867</x:v>
      </x:c>
      <x:c r="N75" s="26" t="str">
        <x:v>S001-FOD-03; S001-WAT-01; S001-WAT-02; S001-WAT-03; S001-WAT-07; S001-WAT-08</x:v>
      </x:c>
    </x:row>
    <x:row r="76" ht="30" customHeight="1">
      <x:c r="A76" s="12" t="str">
        <x:v>架次权重放大</x:v>
      </x:c>
      <x:c r="B76" s="12" t="str">
        <x:v>Q2-007</x:v>
      </x:c>
      <x:c r="C76" s="12" t="str">
        <x:v>U08</x:v>
      </x:c>
      <x:c r="D76" s="12" t="str">
        <x:v>C</x:v>
      </x:c>
      <x:c r="E76" s="12" t="str">
        <x:v>BAT-C-03</x:v>
      </x:c>
      <x:c r="F76" s="21" t="n">
        <x:v>1494.177</x:v>
      </x:c>
      <x:c r="G76" s="12" t="str">
        <x:v>O01 → S002 → O01</x:v>
      </x:c>
      <x:c r="H76" s="21" t="n">
        <x:v>3602.021</x:v>
      </x:c>
      <x:c r="I76" s="10" t="n">
        <x:v>5.601961218543254</x:v>
      </x:c>
      <x:c r="J76" s="5" t="n">
        <x:v>53</x:v>
      </x:c>
      <x:c r="K76" s="21" t="n">
        <x:v>0.157</x:v>
      </x:c>
      <x:c r="L76" s="23" t="n">
        <x:v>0.29975484768209326</x:v>
      </x:c>
      <x:c r="M76" s="21" t="n">
        <x:v>5952.553</x:v>
      </x:c>
      <x:c r="N76" s="24" t="str">
        <x:v>S002-FOD-01; S002-FOD-02; S002-HYG-01; S002-MED-01; S002-WAT-01; S002-WAT-02</x:v>
      </x:c>
    </x:row>
    <x:row r="77" ht="30" customHeight="1">
      <x:c r="A77" s="16" t="str">
        <x:v>架次权重放大</x:v>
      </x:c>
      <x:c r="B77" s="16" t="str">
        <x:v>Q2-008</x:v>
      </x:c>
      <x:c r="C77" s="16" t="str">
        <x:v>U05</x:v>
      </x:c>
      <x:c r="D77" s="16" t="str">
        <x:v>B</x:v>
      </x:c>
      <x:c r="E77" s="16" t="str">
        <x:v>BAT-B-03</x:v>
      </x:c>
      <x:c r="F77" s="22" t="n">
        <x:v>1510.513</x:v>
      </x:c>
      <x:c r="G77" s="16" t="str">
        <x:v>O01 → S010 → O01</x:v>
      </x:c>
      <x:c r="H77" s="22" t="n">
        <x:v>3065.918</x:v>
      </x:c>
      <x:c r="I77" s="14" t="n">
        <x:v>1.823216564231414</x:v>
      </x:c>
      <x:c r="J77" s="13" t="n">
        <x:v>25</x:v>
      </x:c>
      <x:c r="K77" s="22" t="n">
        <x:v>0.067</x:v>
      </x:c>
      <x:c r="L77" s="25" t="n">
        <x:v>0.5441958589421465</x:v>
      </x:c>
      <x:c r="M77" s="22" t="n">
        <x:v>4522.646</x:v>
      </x:c>
      <x:c r="N77" s="26" t="str">
        <x:v>S010-FOD-01; S010-MED-01; S010-WAT-01</x:v>
      </x:c>
    </x:row>
    <x:row r="78" ht="48" customHeight="1">
      <x:c r="A78" s="12" t="str">
        <x:v>架次权重放大</x:v>
      </x:c>
      <x:c r="B78" s="12" t="str">
        <x:v>Q2-009</x:v>
      </x:c>
      <x:c r="C78" s="12" t="str">
        <x:v>U07</x:v>
      </x:c>
      <x:c r="D78" s="12" t="str">
        <x:v>C</x:v>
      </x:c>
      <x:c r="E78" s="12" t="str">
        <x:v>BAT-C-04</x:v>
      </x:c>
      <x:c r="F78" s="21" t="n">
        <x:v>1561.554</x:v>
      </x:c>
      <x:c r="G78" s="12" t="str">
        <x:v>O01 → S001 → O01</x:v>
      </x:c>
      <x:c r="H78" s="21" t="n">
        <x:v>3253.73</x:v>
      </x:c>
      <x:c r="I78" s="10" t="n">
        <x:v>2.9175880955868267</x:v>
      </x:c>
      <x:c r="J78" s="5" t="n">
        <x:v>76</x:v>
      </x:c>
      <x:c r="K78" s="21" t="n">
        <x:v>0.231</x:v>
      </x:c>
      <x:c r="L78" s="23" t="n">
        <x:v>0.6353014880516467</x:v>
      </x:c>
      <x:c r="M78" s="21" t="n">
        <x:v>4877.244</x:v>
      </x:c>
      <x:c r="N78" s="24" t="str">
        <x:v>S001-FOD-01; S001-FOD-02; S001-HYG-01; S001-HYG-02; S001-MED-01; S001-MED-02; S001-WAT-04; S001-WAT-05; S001-WAT-06</x:v>
      </x:c>
    </x:row>
    <x:row r="79" ht="30" customHeight="1">
      <x:c r="A79" s="16" t="str">
        <x:v>架次权重放大</x:v>
      </x:c>
      <x:c r="B79" s="16" t="str">
        <x:v>Q2-010</x:v>
      </x:c>
      <x:c r="C79" s="16" t="str">
        <x:v>U06</x:v>
      </x:c>
      <x:c r="D79" s="16" t="str">
        <x:v>B</x:v>
      </x:c>
      <x:c r="E79" s="16" t="str">
        <x:v>BAT-B-04</x:v>
      </x:c>
      <x:c r="F79" s="22" t="n">
        <x:v>1869.749</x:v>
      </x:c>
      <x:c r="G79" s="16" t="str">
        <x:v>O01 → S012 → O01</x:v>
      </x:c>
      <x:c r="H79" s="22" t="n">
        <x:v>3792.577</x:v>
      </x:c>
      <x:c r="I79" s="14" t="n">
        <x:v>2.7525999542899324</x:v>
      </x:c>
      <x:c r="J79" s="13" t="n">
        <x:v>25</x:v>
      </x:c>
      <x:c r="K79" s="22" t="n">
        <x:v>0.067</x:v>
      </x:c>
      <x:c r="L79" s="25" t="n">
        <x:v>0.3118500114275169</x:v>
      </x:c>
      <x:c r="M79" s="22" t="n">
        <x:v>5652.037</x:v>
      </x:c>
      <x:c r="N79" s="26" t="str">
        <x:v>S012-FOD-01; S012-MED-01; S012-WAT-01</x:v>
      </x:c>
    </x:row>
    <x:row r="80" ht="30" customHeight="1">
      <x:c r="A80" s="12" t="str">
        <x:v>架次权重放大</x:v>
      </x:c>
      <x:c r="B80" s="12" t="str">
        <x:v>Q2-011</x:v>
      </x:c>
      <x:c r="C80" s="12" t="str">
        <x:v>U05</x:v>
      </x:c>
      <x:c r="D80" s="12" t="str">
        <x:v>B</x:v>
      </x:c>
      <x:c r="E80" s="12" t="str">
        <x:v>BAT-B-01</x:v>
      </x:c>
      <x:c r="F80" s="21" t="n">
        <x:v>3065.918</x:v>
      </x:c>
      <x:c r="G80" s="12" t="str">
        <x:v>O01 → S002 → O01</x:v>
      </x:c>
      <x:c r="H80" s="21" t="n">
        <x:v>4822.644</x:v>
      </x:c>
      <x:c r="I80" s="10" t="n">
        <x:v>2.8702072800012117</x:v>
      </x:c>
      <x:c r="J80" s="5" t="n">
        <x:v>28</x:v>
      </x:c>
      <x:c r="K80" s="21" t="n">
        <x:v>0.054</x:v>
      </x:c>
      <x:c r="L80" s="23" t="n">
        <x:v>0.28244817999969707</x:v>
      </x:c>
      <x:c r="M80" s="21" t="n">
        <x:v>6733.068</x:v>
      </x:c>
      <x:c r="N80" s="12" t="str">
        <x:v>S002-WAT-03; S002-WAT-04</x:v>
      </x:c>
    </x:row>
    <x:row r="81" ht="30" customHeight="1">
      <x:c r="A81" s="16" t="str">
        <x:v>架次权重放大</x:v>
      </x:c>
      <x:c r="B81" s="16" t="str">
        <x:v>Q2-012</x:v>
      </x:c>
      <x:c r="C81" s="16" t="str">
        <x:v>U07</x:v>
      </x:c>
      <x:c r="D81" s="16" t="str">
        <x:v>C</x:v>
      </x:c>
      <x:c r="E81" s="16" t="str">
        <x:v>BAT-C-01</x:v>
      </x:c>
      <x:c r="F81" s="22" t="n">
        <x:v>3258.352</x:v>
      </x:c>
      <x:c r="G81" s="16" t="str">
        <x:v>O01 → S004 → O01</x:v>
      </x:c>
      <x:c r="H81" s="22" t="n">
        <x:v>5427.408</x:v>
      </x:c>
      <x:c r="I81" s="14" t="n">
        <x:v>5.705440174682608</x:v>
      </x:c>
      <x:c r="J81" s="13" t="n">
        <x:v>48</x:v>
      </x:c>
      <x:c r="K81" s="22" t="n">
        <x:v>0.116</x:v>
      </x:c>
      <x:c r="L81" s="25" t="n">
        <x:v>0.28681997816467397</x:v>
      </x:c>
      <x:c r="M81" s="22" t="n">
        <x:v>7805.965</x:v>
      </x:c>
      <x:c r="N81" s="26" t="str">
        <x:v>S004-HYG-01; S004-WAT-01; S004-WAT-02; S004-WAT-03</x:v>
      </x:c>
    </x:row>
    <x:row r="82" ht="30" customHeight="1">
      <x:c r="A82" s="12" t="str">
        <x:v>架次权重放大</x:v>
      </x:c>
      <x:c r="B82" s="12" t="str">
        <x:v>Q2-013</x:v>
      </x:c>
      <x:c r="C82" s="12" t="str">
        <x:v>U08</x:v>
      </x:c>
      <x:c r="D82" s="12" t="str">
        <x:v>C</x:v>
      </x:c>
      <x:c r="E82" s="12" t="str">
        <x:v>BAT-C-02</x:v>
      </x:c>
      <x:c r="F82" s="21" t="n">
        <x:v>3602.021</x:v>
      </x:c>
      <x:c r="G82" s="24" t="str">
        <x:v>O01 → S015 → S003 → S007 → O01</x:v>
      </x:c>
      <x:c r="H82" s="21" t="n">
        <x:v>6455.619</x:v>
      </x:c>
      <x:c r="I82" s="10" t="n">
        <x:v>6.060907508821143</x:v>
      </x:c>
      <x:c r="J82" s="5" t="n">
        <x:v>53</x:v>
      </x:c>
      <x:c r="K82" s="21" t="n">
        <x:v>0.121</x:v>
      </x:c>
      <x:c r="L82" s="23" t="n">
        <x:v>0.24238656139735715</x:v>
      </x:c>
      <x:c r="M82" s="21" t="n">
        <x:v>8930.449</x:v>
      </x:c>
      <x:c r="N82" s="24" t="str">
        <x:v>S003-WAT-03; S007-WAT-02; S015-FOD-01; S015-MED-01; S015-WAT-01</x:v>
      </x:c>
    </x:row>
    <x:row r="83" ht="30" customHeight="1">
      <x:c r="A83" s="16" t="str">
        <x:v>架次权重放大</x:v>
      </x:c>
      <x:c r="B83" s="16" t="str">
        <x:v>Q2-014</x:v>
      </x:c>
      <x:c r="C83" s="16" t="str">
        <x:v>U06</x:v>
      </x:c>
      <x:c r="D83" s="16" t="str">
        <x:v>B</x:v>
      </x:c>
      <x:c r="E83" s="16" t="str">
        <x:v>BAT-B-02</x:v>
      </x:c>
      <x:c r="F83" s="22" t="n">
        <x:v>3792.577</x:v>
      </x:c>
      <x:c r="G83" s="16" t="str">
        <x:v>O01 → S008 → O01</x:v>
      </x:c>
      <x:c r="H83" s="22" t="n">
        <x:v>5694.42</x:v>
      </x:c>
      <x:c r="I83" s="14" t="n">
        <x:v>2.7634312052333714</x:v>
      </x:c>
      <x:c r="J83" s="13" t="n">
        <x:v>20</x:v>
      </x:c>
      <x:c r="K83" s="22" t="n">
        <x:v>0.062</x:v>
      </x:c>
      <x:c r="L83" s="25" t="n">
        <x:v>0.30914219869165716</x:v>
      </x:c>
      <x:c r="M83" s="22" t="n">
        <x:v>7558.574</x:v>
      </x:c>
      <x:c r="N83" s="16" t="str">
        <x:v>S008-HYG-01; S008-WAT-02</x:v>
      </x:c>
    </x:row>
    <x:row r="84" ht="30" customHeight="1">
      <x:c r="A84" s="12" t="str">
        <x:v>架次权重放大</x:v>
      </x:c>
      <x:c r="B84" s="12" t="str">
        <x:v>Q2-015</x:v>
      </x:c>
      <x:c r="C84" s="12" t="str">
        <x:v>U05</x:v>
      </x:c>
      <x:c r="D84" s="12" t="str">
        <x:v>B</x:v>
      </x:c>
      <x:c r="E84" s="12" t="str">
        <x:v>BAT-B-03</x:v>
      </x:c>
      <x:c r="F84" s="21" t="n">
        <x:v>4822.644</x:v>
      </x:c>
      <x:c r="G84" s="12" t="str">
        <x:v>O01 → S005 → S004 → O01</x:v>
      </x:c>
      <x:c r="H84" s="21" t="n">
        <x:v>7038.485</x:v>
      </x:c>
      <x:c r="I84" s="10" t="n">
        <x:v>2.7917500781027624</x:v>
      </x:c>
      <x:c r="J84" s="5" t="n">
        <x:v>25</x:v>
      </x:c>
      <x:c r="K84" s="21" t="n">
        <x:v>0.067</x:v>
      </x:c>
      <x:c r="L84" s="23" t="n">
        <x:v>0.3020624804743094</x:v>
      </x:c>
      <x:c r="M84" s="21" t="n">
        <x:v>8914.911</x:v>
      </x:c>
      <x:c r="N84" s="24" t="str">
        <x:v>S004-FOD-01; S004-MED-01; S005-WAT-03</x:v>
      </x:c>
    </x:row>
    <x:row r="85" ht="48" customHeight="1">
      <x:c r="A85" s="16" t="str">
        <x:v>架次权重放大</x:v>
      </x:c>
      <x:c r="B85" s="16" t="str">
        <x:v>Q2-016</x:v>
      </x:c>
      <x:c r="C85" s="16" t="str">
        <x:v>U07</x:v>
      </x:c>
      <x:c r="D85" s="16" t="str">
        <x:v>C</x:v>
      </x:c>
      <x:c r="E85" s="16" t="str">
        <x:v>BAT-C-04</x:v>
      </x:c>
      <x:c r="F85" s="22" t="n">
        <x:v>5427.408</x:v>
      </x:c>
      <x:c r="G85" s="16" t="str">
        <x:v>O01 → S003 → O01</x:v>
      </x:c>
      <x:c r="H85" s="22" t="n">
        <x:v>7929.586</x:v>
      </x:c>
      <x:c r="I85" s="14" t="n">
        <x:v>6.324499390874367</x:v>
      </x:c>
      <x:c r="J85" s="13" t="n">
        <x:v>67</x:v>
      </x:c>
      <x:c r="K85" s="22" t="n">
        <x:v>0.184</x:v>
      </x:c>
      <x:c r="L85" s="25" t="n">
        <x:v>0.20943757614070413</x:v>
      </x:c>
      <x:c r="M85" s="22" t="n">
        <x:v>10475.805</x:v>
      </x:c>
      <x:c r="N85" s="26" t="str">
        <x:v>S003-FOD-01; S003-FOD-02; S003-HYG-01; S003-MED-01; S003-WAT-01; S003-WAT-02; S003-WAT-04</x:v>
      </x:c>
    </x:row>
    <x:row r="86" ht="30" customHeight="1">
      <x:c r="A86" s="12" t="str">
        <x:v>架次权重放大</x:v>
      </x:c>
      <x:c r="B86" s="12" t="str">
        <x:v>Q2-017</x:v>
      </x:c>
      <x:c r="C86" s="12" t="str">
        <x:v>U06</x:v>
      </x:c>
      <x:c r="D86" s="12" t="str">
        <x:v>B</x:v>
      </x:c>
      <x:c r="E86" s="12" t="str">
        <x:v>BAT-B-04</x:v>
      </x:c>
      <x:c r="F86" s="21" t="n">
        <x:v>5694.42</x:v>
      </x:c>
      <x:c r="G86" s="12" t="str">
        <x:v>O01 → S008 → O01</x:v>
      </x:c>
      <x:c r="H86" s="21" t="n">
        <x:v>7656.263</x:v>
      </x:c>
      <x:c r="I86" s="10" t="n">
        <x:v>2.9752068745422333</x:v>
      </x:c>
      <x:c r="J86" s="5" t="n">
        <x:v>25</x:v>
      </x:c>
      <x:c r="K86" s="21" t="n">
        <x:v>0.067</x:v>
      </x:c>
      <x:c r="L86" s="23" t="n">
        <x:v>0.25619828136444167</x:v>
      </x:c>
      <x:c r="M86" s="21" t="n">
        <x:v>9612.186</x:v>
      </x:c>
      <x:c r="N86" s="24" t="str">
        <x:v>S008-FOD-01; S008-MED-01; S008-WAT-01</x:v>
      </x:c>
    </x:row>
    <x:row r="87" ht="48" customHeight="1">
      <x:c r="A87" s="16" t="str">
        <x:v>架次权重放大</x:v>
      </x:c>
      <x:c r="B87" s="16" t="str">
        <x:v>Q2-018</x:v>
      </x:c>
      <x:c r="C87" s="16" t="str">
        <x:v>U08</x:v>
      </x:c>
      <x:c r="D87" s="16" t="str">
        <x:v>C</x:v>
      </x:c>
      <x:c r="E87" s="16" t="str">
        <x:v>BAT-C-03</x:v>
      </x:c>
      <x:c r="F87" s="22" t="n">
        <x:v>6455.619</x:v>
      </x:c>
      <x:c r="G87" s="16" t="str">
        <x:v>O01 → S011 → S005 → O01</x:v>
      </x:c>
      <x:c r="H87" s="22" t="n">
        <x:v>8760.787</x:v>
      </x:c>
      <x:c r="I87" s="14" t="n">
        <x:v>4.467964535576655</x:v>
      </x:c>
      <x:c r="J87" s="13" t="n">
        <x:v>70</x:v>
      </x:c>
      <x:c r="K87" s="22" t="n">
        <x:v>0.196</x:v>
      </x:c>
      <x:c r="L87" s="25" t="n">
        <x:v>0.4415044330529181</x:v>
      </x:c>
      <x:c r="M87" s="22" t="n">
        <x:v>10804.195</x:v>
      </x:c>
      <x:c r="N87" s="26" t="str">
        <x:v>S005-FOD-01; S005-HYG-01; S005-MED-01; S005-WAT-01; S005-WAT-02; S011-FOD-01; S011-MED-01; S011-WAT-01</x:v>
      </x:c>
    </x:row>
    <x:row r="88" ht="30" customHeight="1">
      <x:c r="A88" s="12" t="str">
        <x:v>架次权重放大</x:v>
      </x:c>
      <x:c r="B88" s="12" t="str">
        <x:v>Q2-019</x:v>
      </x:c>
      <x:c r="C88" s="12" t="str">
        <x:v>U05</x:v>
      </x:c>
      <x:c r="D88" s="12" t="str">
        <x:v>B</x:v>
      </x:c>
      <x:c r="E88" s="12" t="str">
        <x:v>BAT-B-01</x:v>
      </x:c>
      <x:c r="F88" s="21" t="n">
        <x:v>7038.485</x:v>
      </x:c>
      <x:c r="G88" s="12" t="str">
        <x:v>O01 → S009 → O01</x:v>
      </x:c>
      <x:c r="H88" s="21" t="n">
        <x:v>8596.949</x:v>
      </x:c>
      <x:c r="I88" s="10" t="n">
        <x:v>2.0962654017373348</x:v>
      </x:c>
      <x:c r="J88" s="5" t="n">
        <x:v>25</x:v>
      </x:c>
      <x:c r="K88" s="21" t="n">
        <x:v>0.067</x:v>
      </x:c>
      <x:c r="L88" s="23" t="n">
        <x:v>0.4759336495656663</x:v>
      </x:c>
      <x:c r="M88" s="21" t="n">
        <x:v>10171.998</x:v>
      </x:c>
      <x:c r="N88" s="24" t="str">
        <x:v>S009-FOD-01; S009-MED-01; S009-WAT-01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2" customHeight="1">
      <x:c r="A1" s="9" t="str">
        <x:v>方案</x:v>
      </x:c>
      <x:c r="B1" s="9" t="str">
        <x:v>货箱</x:v>
      </x:c>
      <x:c r="C1" s="9" t="str">
        <x:v>服务区</x:v>
      </x:c>
      <x:c r="D1" s="9" t="str">
        <x:v>架次</x:v>
      </x:c>
      <x:c r="E1" s="9" t="str">
        <x:v>交箱次序</x:v>
      </x:c>
      <x:c r="F1" s="9" t="str">
        <x:v>完成时刻s</x:v>
      </x:c>
      <x:c r="G1" s="9" t="str">
        <x:v>期望时刻s</x:v>
      </x:c>
      <x:c r="H1" s="9" t="str">
        <x:v>硬截止s</x:v>
      </x:c>
      <x:c r="I1" s="9" t="str">
        <x:v>逾期s</x:v>
      </x:c>
    </x:row>
    <x:row r="2" ht="48" customHeight="1">
      <x:c r="A2" s="12" t="str">
        <x:v>及时性权重放大</x:v>
      </x:c>
      <x:c r="B2" s="12" t="str">
        <x:v>S001-FOD-01</x:v>
      </x:c>
      <x:c r="C2" s="12" t="str">
        <x:v>S001</x:v>
      </x:c>
      <x:c r="D2" s="12" t="str">
        <x:v>Q2-010</x:v>
      </x:c>
      <x:c r="E2" s="5" t="n">
        <x:v>6</x:v>
      </x:c>
      <x:c r="F2" s="21" t="n">
        <x:v>2833.827</x:v>
      </x:c>
      <x:c r="G2" s="21" t="n">
        <x:v>7200</x:v>
      </x:c>
      <x:c r="H2" s="21"/>
      <x:c r="I2" s="21" t="n">
        <x:v>0</x:v>
      </x:c>
    </x:row>
    <x:row r="3" ht="48" customHeight="1">
      <x:c r="A3" s="16" t="str">
        <x:v>及时性权重放大</x:v>
      </x:c>
      <x:c r="B3" s="16" t="str">
        <x:v>S001-FOD-02</x:v>
      </x:c>
      <x:c r="C3" s="16" t="str">
        <x:v>S001</x:v>
      </x:c>
      <x:c r="D3" s="16" t="str">
        <x:v>Q2-010</x:v>
      </x:c>
      <x:c r="E3" s="13" t="n">
        <x:v>7</x:v>
      </x:c>
      <x:c r="F3" s="22" t="n">
        <x:v>2869.827</x:v>
      </x:c>
      <x:c r="G3" s="22" t="n">
        <x:v>7200</x:v>
      </x:c>
      <x:c r="H3" s="22"/>
      <x:c r="I3" s="22" t="n">
        <x:v>0</x:v>
      </x:c>
    </x:row>
    <x:row r="4" ht="48" customHeight="1">
      <x:c r="A4" s="12" t="str">
        <x:v>及时性权重放大</x:v>
      </x:c>
      <x:c r="B4" s="12" t="str">
        <x:v>S001-FOD-03</x:v>
      </x:c>
      <x:c r="C4" s="12" t="str">
        <x:v>S001</x:v>
      </x:c>
      <x:c r="D4" s="12" t="str">
        <x:v>Q2-014</x:v>
      </x:c>
      <x:c r="E4" s="5" t="n">
        <x:v>5</x:v>
      </x:c>
      <x:c r="F4" s="21" t="n">
        <x:v>3290.117</x:v>
      </x:c>
      <x:c r="G4" s="21" t="n">
        <x:v>7200</x:v>
      </x:c>
      <x:c r="H4" s="21"/>
      <x:c r="I4" s="21" t="n">
        <x:v>0</x:v>
      </x:c>
    </x:row>
    <x:row r="5" ht="48" customHeight="1">
      <x:c r="A5" s="16" t="str">
        <x:v>及时性权重放大</x:v>
      </x:c>
      <x:c r="B5" s="16" t="str">
        <x:v>S001-HYG-01</x:v>
      </x:c>
      <x:c r="C5" s="16" t="str">
        <x:v>S001</x:v>
      </x:c>
      <x:c r="D5" s="16" t="str">
        <x:v>Q2-010</x:v>
      </x:c>
      <x:c r="E5" s="13" t="n">
        <x:v>8</x:v>
      </x:c>
      <x:c r="F5" s="22" t="n">
        <x:v>2905.827</x:v>
      </x:c>
      <x:c r="G5" s="22" t="n">
        <x:v>10800</x:v>
      </x:c>
      <x:c r="H5" s="22"/>
      <x:c r="I5" s="22" t="n">
        <x:v>0</x:v>
      </x:c>
    </x:row>
    <x:row r="6" ht="48" customHeight="1">
      <x:c r="A6" s="12" t="str">
        <x:v>及时性权重放大</x:v>
      </x:c>
      <x:c r="B6" s="12" t="str">
        <x:v>S001-HYG-02</x:v>
      </x:c>
      <x:c r="C6" s="12" t="str">
        <x:v>S001</x:v>
      </x:c>
      <x:c r="D6" s="12" t="str">
        <x:v>Q2-010</x:v>
      </x:c>
      <x:c r="E6" s="5" t="n">
        <x:v>9</x:v>
      </x:c>
      <x:c r="F6" s="21" t="n">
        <x:v>2941.827</x:v>
      </x:c>
      <x:c r="G6" s="21" t="n">
        <x:v>10800</x:v>
      </x:c>
      <x:c r="H6" s="21"/>
      <x:c r="I6" s="21" t="n">
        <x:v>0</x:v>
      </x:c>
    </x:row>
    <x:row r="7" ht="48" customHeight="1">
      <x:c r="A7" s="16" t="str">
        <x:v>及时性权重放大</x:v>
      </x:c>
      <x:c r="B7" s="16" t="str">
        <x:v>S001-MED-01</x:v>
      </x:c>
      <x:c r="C7" s="16" t="str">
        <x:v>S001</x:v>
      </x:c>
      <x:c r="D7" s="16" t="str">
        <x:v>Q2-010</x:v>
      </x:c>
      <x:c r="E7" s="13" t="n">
        <x:v>1</x:v>
      </x:c>
      <x:c r="F7" s="22" t="n">
        <x:v>2653.827</x:v>
      </x:c>
      <x:c r="G7" s="22" t="n">
        <x:v>3600</x:v>
      </x:c>
      <x:c r="H7" s="22" t="n">
        <x:v>3600</x:v>
      </x:c>
      <x:c r="I7" s="22" t="n">
        <x:v>0</x:v>
      </x:c>
    </x:row>
    <x:row r="8" ht="48" customHeight="1">
      <x:c r="A8" s="12" t="str">
        <x:v>及时性权重放大</x:v>
      </x:c>
      <x:c r="B8" s="12" t="str">
        <x:v>S001-MED-02</x:v>
      </x:c>
      <x:c r="C8" s="12" t="str">
        <x:v>S001</x:v>
      </x:c>
      <x:c r="D8" s="12" t="str">
        <x:v>Q2-010</x:v>
      </x:c>
      <x:c r="E8" s="5" t="n">
        <x:v>2</x:v>
      </x:c>
      <x:c r="F8" s="21" t="n">
        <x:v>2689.827</x:v>
      </x:c>
      <x:c r="G8" s="21" t="n">
        <x:v>3600</x:v>
      </x:c>
      <x:c r="H8" s="21" t="n">
        <x:v>3600</x:v>
      </x:c>
      <x:c r="I8" s="21" t="n">
        <x:v>0</x:v>
      </x:c>
    </x:row>
    <x:row r="9" ht="48" customHeight="1">
      <x:c r="A9" s="16" t="str">
        <x:v>及时性权重放大</x:v>
      </x:c>
      <x:c r="B9" s="16" t="str">
        <x:v>S001-WAT-01</x:v>
      </x:c>
      <x:c r="C9" s="16" t="str">
        <x:v>S001</x:v>
      </x:c>
      <x:c r="D9" s="16" t="str">
        <x:v>Q2-014</x:v>
      </x:c>
      <x:c r="E9" s="13" t="n">
        <x:v>1</x:v>
      </x:c>
      <x:c r="F9" s="22" t="n">
        <x:v>3146.117</x:v>
      </x:c>
      <x:c r="G9" s="22" t="n">
        <x:v>3600</x:v>
      </x:c>
      <x:c r="H9" s="22" t="n">
        <x:v>3600</x:v>
      </x:c>
      <x:c r="I9" s="22" t="n">
        <x:v>0</x:v>
      </x:c>
    </x:row>
    <x:row r="10" ht="48" customHeight="1">
      <x:c r="A10" s="12" t="str">
        <x:v>及时性权重放大</x:v>
      </x:c>
      <x:c r="B10" s="12" t="str">
        <x:v>S001-WAT-02</x:v>
      </x:c>
      <x:c r="C10" s="12" t="str">
        <x:v>S001</x:v>
      </x:c>
      <x:c r="D10" s="12" t="str">
        <x:v>Q2-014</x:v>
      </x:c>
      <x:c r="E10" s="5" t="n">
        <x:v>2</x:v>
      </x:c>
      <x:c r="F10" s="21" t="n">
        <x:v>3182.117</x:v>
      </x:c>
      <x:c r="G10" s="21" t="n">
        <x:v>3600</x:v>
      </x:c>
      <x:c r="H10" s="21"/>
      <x:c r="I10" s="21" t="n">
        <x:v>0</x:v>
      </x:c>
    </x:row>
    <x:row r="11" ht="48" customHeight="1">
      <x:c r="A11" s="16" t="str">
        <x:v>及时性权重放大</x:v>
      </x:c>
      <x:c r="B11" s="16" t="str">
        <x:v>S001-WAT-03</x:v>
      </x:c>
      <x:c r="C11" s="16" t="str">
        <x:v>S001</x:v>
      </x:c>
      <x:c r="D11" s="16" t="str">
        <x:v>Q2-014</x:v>
      </x:c>
      <x:c r="E11" s="13" t="n">
        <x:v>3</x:v>
      </x:c>
      <x:c r="F11" s="22" t="n">
        <x:v>3218.117</x:v>
      </x:c>
      <x:c r="G11" s="22" t="n">
        <x:v>3600</x:v>
      </x:c>
      <x:c r="H11" s="22"/>
      <x:c r="I11" s="22" t="n">
        <x:v>0</x:v>
      </x:c>
    </x:row>
    <x:row r="12" ht="48" customHeight="1">
      <x:c r="A12" s="12" t="str">
        <x:v>及时性权重放大</x:v>
      </x:c>
      <x:c r="B12" s="12" t="str">
        <x:v>S001-WAT-04</x:v>
      </x:c>
      <x:c r="C12" s="12" t="str">
        <x:v>S001</x:v>
      </x:c>
      <x:c r="D12" s="12" t="str">
        <x:v>Q2-010</x:v>
      </x:c>
      <x:c r="E12" s="5" t="n">
        <x:v>3</x:v>
      </x:c>
      <x:c r="F12" s="21" t="n">
        <x:v>2725.827</x:v>
      </x:c>
      <x:c r="G12" s="21" t="n">
        <x:v>3600</x:v>
      </x:c>
      <x:c r="H12" s="21"/>
      <x:c r="I12" s="21" t="n">
        <x:v>0</x:v>
      </x:c>
    </x:row>
    <x:row r="13" ht="48" customHeight="1">
      <x:c r="A13" s="16" t="str">
        <x:v>及时性权重放大</x:v>
      </x:c>
      <x:c r="B13" s="16" t="str">
        <x:v>S001-WAT-05</x:v>
      </x:c>
      <x:c r="C13" s="16" t="str">
        <x:v>S001</x:v>
      </x:c>
      <x:c r="D13" s="16" t="str">
        <x:v>Q2-010</x:v>
      </x:c>
      <x:c r="E13" s="13" t="n">
        <x:v>4</x:v>
      </x:c>
      <x:c r="F13" s="22" t="n">
        <x:v>2761.827</x:v>
      </x:c>
      <x:c r="G13" s="22" t="n">
        <x:v>3600</x:v>
      </x:c>
      <x:c r="H13" s="22"/>
      <x:c r="I13" s="22" t="n">
        <x:v>0</x:v>
      </x:c>
    </x:row>
    <x:row r="14" ht="48" customHeight="1">
      <x:c r="A14" s="12" t="str">
        <x:v>及时性权重放大</x:v>
      </x:c>
      <x:c r="B14" s="12" t="str">
        <x:v>S001-WAT-06</x:v>
      </x:c>
      <x:c r="C14" s="12" t="str">
        <x:v>S001</x:v>
      </x:c>
      <x:c r="D14" s="12" t="str">
        <x:v>Q2-010</x:v>
      </x:c>
      <x:c r="E14" s="5" t="n">
        <x:v>5</x:v>
      </x:c>
      <x:c r="F14" s="21" t="n">
        <x:v>2797.827</x:v>
      </x:c>
      <x:c r="G14" s="21" t="n">
        <x:v>3600</x:v>
      </x:c>
      <x:c r="H14" s="21"/>
      <x:c r="I14" s="21" t="n">
        <x:v>0</x:v>
      </x:c>
    </x:row>
    <x:row r="15" ht="48" customHeight="1">
      <x:c r="A15" s="16" t="str">
        <x:v>及时性权重放大</x:v>
      </x:c>
      <x:c r="B15" s="16" t="str">
        <x:v>S001-WAT-07</x:v>
      </x:c>
      <x:c r="C15" s="16" t="str">
        <x:v>S001</x:v>
      </x:c>
      <x:c r="D15" s="16" t="str">
        <x:v>Q2-015</x:v>
      </x:c>
      <x:c r="E15" s="13" t="n">
        <x:v>1</x:v>
      </x:c>
      <x:c r="F15" s="22" t="n">
        <x:v>3603.991</x:v>
      </x:c>
      <x:c r="G15" s="22" t="n">
        <x:v>3600</x:v>
      </x:c>
      <x:c r="H15" s="22"/>
      <x:c r="I15" s="22" t="n">
        <x:v>3.9909999999999854</x:v>
      </x:c>
    </x:row>
    <x:row r="16" ht="48" customHeight="1">
      <x:c r="A16" s="12" t="str">
        <x:v>及时性权重放大</x:v>
      </x:c>
      <x:c r="B16" s="12" t="str">
        <x:v>S001-WAT-08</x:v>
      </x:c>
      <x:c r="C16" s="12" t="str">
        <x:v>S001</x:v>
      </x:c>
      <x:c r="D16" s="12" t="str">
        <x:v>Q2-014</x:v>
      </x:c>
      <x:c r="E16" s="5" t="n">
        <x:v>4</x:v>
      </x:c>
      <x:c r="F16" s="21" t="n">
        <x:v>3254.117</x:v>
      </x:c>
      <x:c r="G16" s="21" t="n">
        <x:v>3600</x:v>
      </x:c>
      <x:c r="H16" s="21"/>
      <x:c r="I16" s="21" t="n">
        <x:v>0</x:v>
      </x:c>
    </x:row>
    <x:row r="17" ht="48" customHeight="1">
      <x:c r="A17" s="16" t="str">
        <x:v>及时性权重放大</x:v>
      </x:c>
      <x:c r="B17" s="16" t="str">
        <x:v>S002-FOD-01</x:v>
      </x:c>
      <x:c r="C17" s="16" t="str">
        <x:v>S002</x:v>
      </x:c>
      <x:c r="D17" s="16" t="str">
        <x:v>Q2-002</x:v>
      </x:c>
      <x:c r="E17" s="13" t="n">
        <x:v>5</x:v>
      </x:c>
      <x:c r="F17" s="22" t="n">
        <x:v>1481.332</x:v>
      </x:c>
      <x:c r="G17" s="22" t="n">
        <x:v>7200</x:v>
      </x:c>
      <x:c r="H17" s="22"/>
      <x:c r="I17" s="22" t="n">
        <x:v>0</x:v>
      </x:c>
    </x:row>
    <x:row r="18" ht="48" customHeight="1">
      <x:c r="A18" s="12" t="str">
        <x:v>及时性权重放大</x:v>
      </x:c>
      <x:c r="B18" s="12" t="str">
        <x:v>S002-FOD-02</x:v>
      </x:c>
      <x:c r="C18" s="12" t="str">
        <x:v>S002</x:v>
      </x:c>
      <x:c r="D18" s="12" t="str">
        <x:v>Q2-002</x:v>
      </x:c>
      <x:c r="E18" s="5" t="n">
        <x:v>6</x:v>
      </x:c>
      <x:c r="F18" s="21" t="n">
        <x:v>1517.332</x:v>
      </x:c>
      <x:c r="G18" s="21" t="n">
        <x:v>7200</x:v>
      </x:c>
      <x:c r="H18" s="21"/>
      <x:c r="I18" s="21" t="n">
        <x:v>0</x:v>
      </x:c>
    </x:row>
    <x:row r="19" ht="48" customHeight="1">
      <x:c r="A19" s="16" t="str">
        <x:v>及时性权重放大</x:v>
      </x:c>
      <x:c r="B19" s="16" t="str">
        <x:v>S002-HYG-01</x:v>
      </x:c>
      <x:c r="C19" s="16" t="str">
        <x:v>S002</x:v>
      </x:c>
      <x:c r="D19" s="16" t="str">
        <x:v>Q2-002</x:v>
      </x:c>
      <x:c r="E19" s="13" t="n">
        <x:v>7</x:v>
      </x:c>
      <x:c r="F19" s="22" t="n">
        <x:v>1553.332</x:v>
      </x:c>
      <x:c r="G19" s="22" t="n">
        <x:v>10800</x:v>
      </x:c>
      <x:c r="H19" s="22"/>
      <x:c r="I19" s="22" t="n">
        <x:v>0</x:v>
      </x:c>
    </x:row>
    <x:row r="20" ht="48" customHeight="1">
      <x:c r="A20" s="12" t="str">
        <x:v>及时性权重放大</x:v>
      </x:c>
      <x:c r="B20" s="12" t="str">
        <x:v>S002-MED-01</x:v>
      </x:c>
      <x:c r="C20" s="12" t="str">
        <x:v>S002</x:v>
      </x:c>
      <x:c r="D20" s="12" t="str">
        <x:v>Q2-002</x:v>
      </x:c>
      <x:c r="E20" s="5" t="n">
        <x:v>1</x:v>
      </x:c>
      <x:c r="F20" s="21" t="n">
        <x:v>1337.332</x:v>
      </x:c>
      <x:c r="G20" s="21" t="n">
        <x:v>3600</x:v>
      </x:c>
      <x:c r="H20" s="21" t="n">
        <x:v>3600</x:v>
      </x:c>
      <x:c r="I20" s="21" t="n">
        <x:v>0</x:v>
      </x:c>
    </x:row>
    <x:row r="21" ht="48" customHeight="1">
      <x:c r="A21" s="16" t="str">
        <x:v>及时性权重放大</x:v>
      </x:c>
      <x:c r="B21" s="16" t="str">
        <x:v>S002-WAT-01</x:v>
      </x:c>
      <x:c r="C21" s="16" t="str">
        <x:v>S002</x:v>
      </x:c>
      <x:c r="D21" s="16" t="str">
        <x:v>Q2-002</x:v>
      </x:c>
      <x:c r="E21" s="13" t="n">
        <x:v>2</x:v>
      </x:c>
      <x:c r="F21" s="22" t="n">
        <x:v>1373.332</x:v>
      </x:c>
      <x:c r="G21" s="22" t="n">
        <x:v>3600</x:v>
      </x:c>
      <x:c r="H21" s="22" t="n">
        <x:v>3600</x:v>
      </x:c>
      <x:c r="I21" s="22" t="n">
        <x:v>0</x:v>
      </x:c>
    </x:row>
    <x:row r="22" ht="48" customHeight="1">
      <x:c r="A22" s="12" t="str">
        <x:v>及时性权重放大</x:v>
      </x:c>
      <x:c r="B22" s="12" t="str">
        <x:v>S002-WAT-02</x:v>
      </x:c>
      <x:c r="C22" s="12" t="str">
        <x:v>S002</x:v>
      </x:c>
      <x:c r="D22" s="12" t="str">
        <x:v>Q2-012</x:v>
      </x:c>
      <x:c r="E22" s="5" t="n">
        <x:v>1</x:v>
      </x:c>
      <x:c r="F22" s="21" t="n">
        <x:v>2951.296</x:v>
      </x:c>
      <x:c r="G22" s="21" t="n">
        <x:v>3600</x:v>
      </x:c>
      <x:c r="H22" s="21"/>
      <x:c r="I22" s="21" t="n">
        <x:v>0</x:v>
      </x:c>
    </x:row>
    <x:row r="23" ht="48" customHeight="1">
      <x:c r="A23" s="16" t="str">
        <x:v>及时性权重放大</x:v>
      </x:c>
      <x:c r="B23" s="16" t="str">
        <x:v>S002-WAT-03</x:v>
      </x:c>
      <x:c r="C23" s="16" t="str">
        <x:v>S002</x:v>
      </x:c>
      <x:c r="D23" s="16" t="str">
        <x:v>Q2-002</x:v>
      </x:c>
      <x:c r="E23" s="13" t="n">
        <x:v>3</x:v>
      </x:c>
      <x:c r="F23" s="22" t="n">
        <x:v>1409.332</x:v>
      </x:c>
      <x:c r="G23" s="22" t="n">
        <x:v>3600</x:v>
      </x:c>
      <x:c r="H23" s="22"/>
      <x:c r="I23" s="22" t="n">
        <x:v>0</x:v>
      </x:c>
    </x:row>
    <x:row r="24" ht="48" customHeight="1">
      <x:c r="A24" s="12" t="str">
        <x:v>及时性权重放大</x:v>
      </x:c>
      <x:c r="B24" s="12" t="str">
        <x:v>S002-WAT-04</x:v>
      </x:c>
      <x:c r="C24" s="12" t="str">
        <x:v>S002</x:v>
      </x:c>
      <x:c r="D24" s="12" t="str">
        <x:v>Q2-002</x:v>
      </x:c>
      <x:c r="E24" s="5" t="n">
        <x:v>4</x:v>
      </x:c>
      <x:c r="F24" s="21" t="n">
        <x:v>1445.332</x:v>
      </x:c>
      <x:c r="G24" s="21" t="n">
        <x:v>3600</x:v>
      </x:c>
      <x:c r="H24" s="21"/>
      <x:c r="I24" s="21" t="n">
        <x:v>0</x:v>
      </x:c>
    </x:row>
    <x:row r="25" ht="48" customHeight="1">
      <x:c r="A25" s="16" t="str">
        <x:v>及时性权重放大</x:v>
      </x:c>
      <x:c r="B25" s="16" t="str">
        <x:v>S003-FOD-01</x:v>
      </x:c>
      <x:c r="C25" s="16" t="str">
        <x:v>S003</x:v>
      </x:c>
      <x:c r="D25" s="16" t="str">
        <x:v>Q2-022</x:v>
      </x:c>
      <x:c r="E25" s="13" t="n">
        <x:v>5</x:v>
      </x:c>
      <x:c r="F25" s="22" t="n">
        <x:v>6347.823</x:v>
      </x:c>
      <x:c r="G25" s="22" t="n">
        <x:v>10800</x:v>
      </x:c>
      <x:c r="H25" s="22"/>
      <x:c r="I25" s="22" t="n">
        <x:v>0</x:v>
      </x:c>
    </x:row>
    <x:row r="26" ht="48" customHeight="1">
      <x:c r="A26" s="12" t="str">
        <x:v>及时性权重放大</x:v>
      </x:c>
      <x:c r="B26" s="12" t="str">
        <x:v>S003-FOD-02</x:v>
      </x:c>
      <x:c r="C26" s="12" t="str">
        <x:v>S003</x:v>
      </x:c>
      <x:c r="D26" s="12" t="str">
        <x:v>Q2-022</x:v>
      </x:c>
      <x:c r="E26" s="5" t="n">
        <x:v>6</x:v>
      </x:c>
      <x:c r="F26" s="21" t="n">
        <x:v>6383.823</x:v>
      </x:c>
      <x:c r="G26" s="21" t="n">
        <x:v>10800</x:v>
      </x:c>
      <x:c r="H26" s="21"/>
      <x:c r="I26" s="21" t="n">
        <x:v>0</x:v>
      </x:c>
    </x:row>
    <x:row r="27" ht="48" customHeight="1">
      <x:c r="A27" s="16" t="str">
        <x:v>及时性权重放大</x:v>
      </x:c>
      <x:c r="B27" s="16" t="str">
        <x:v>S003-HYG-01</x:v>
      </x:c>
      <x:c r="C27" s="16" t="str">
        <x:v>S003</x:v>
      </x:c>
      <x:c r="D27" s="16" t="str">
        <x:v>Q2-022</x:v>
      </x:c>
      <x:c r="E27" s="13" t="n">
        <x:v>7</x:v>
      </x:c>
      <x:c r="F27" s="22" t="n">
        <x:v>6419.823</x:v>
      </x:c>
      <x:c r="G27" s="22" t="n">
        <x:v>14400</x:v>
      </x:c>
      <x:c r="H27" s="22"/>
      <x:c r="I27" s="22" t="n">
        <x:v>0</x:v>
      </x:c>
    </x:row>
    <x:row r="28" ht="48" customHeight="1">
      <x:c r="A28" s="12" t="str">
        <x:v>及时性权重放大</x:v>
      </x:c>
      <x:c r="B28" s="12" t="str">
        <x:v>S003-MED-01</x:v>
      </x:c>
      <x:c r="C28" s="12" t="str">
        <x:v>S003</x:v>
      </x:c>
      <x:c r="D28" s="12" t="str">
        <x:v>Q2-022</x:v>
      </x:c>
      <x:c r="E28" s="5" t="n">
        <x:v>1</x:v>
      </x:c>
      <x:c r="F28" s="21" t="n">
        <x:v>6203.823</x:v>
      </x:c>
      <x:c r="G28" s="21" t="n">
        <x:v>7200</x:v>
      </x:c>
      <x:c r="H28" s="21" t="n">
        <x:v>7200</x:v>
      </x:c>
      <x:c r="I28" s="21" t="n">
        <x:v>0</x:v>
      </x:c>
    </x:row>
    <x:row r="29" ht="48" customHeight="1">
      <x:c r="A29" s="16" t="str">
        <x:v>及时性权重放大</x:v>
      </x:c>
      <x:c r="B29" s="16" t="str">
        <x:v>S003-WAT-01</x:v>
      </x:c>
      <x:c r="C29" s="16" t="str">
        <x:v>S003</x:v>
      </x:c>
      <x:c r="D29" s="16" t="str">
        <x:v>Q2-022</x:v>
      </x:c>
      <x:c r="E29" s="13" t="n">
        <x:v>2</x:v>
      </x:c>
      <x:c r="F29" s="22" t="n">
        <x:v>6239.823</x:v>
      </x:c>
      <x:c r="G29" s="22" t="n">
        <x:v>7200</x:v>
      </x:c>
      <x:c r="H29" s="22" t="n">
        <x:v>7200</x:v>
      </x:c>
      <x:c r="I29" s="22" t="n">
        <x:v>0</x:v>
      </x:c>
    </x:row>
    <x:row r="30" ht="48" customHeight="1">
      <x:c r="A30" s="12" t="str">
        <x:v>及时性权重放大</x:v>
      </x:c>
      <x:c r="B30" s="12" t="str">
        <x:v>S003-WAT-02</x:v>
      </x:c>
      <x:c r="C30" s="12" t="str">
        <x:v>S003</x:v>
      </x:c>
      <x:c r="D30" s="12" t="str">
        <x:v>Q2-022</x:v>
      </x:c>
      <x:c r="E30" s="5" t="n">
        <x:v>3</x:v>
      </x:c>
      <x:c r="F30" s="21" t="n">
        <x:v>6275.823</x:v>
      </x:c>
      <x:c r="G30" s="21" t="n">
        <x:v>7200</x:v>
      </x:c>
      <x:c r="H30" s="21"/>
      <x:c r="I30" s="21" t="n">
        <x:v>0</x:v>
      </x:c>
    </x:row>
    <x:row r="31" ht="48" customHeight="1">
      <x:c r="A31" s="16" t="str">
        <x:v>及时性权重放大</x:v>
      </x:c>
      <x:c r="B31" s="16" t="str">
        <x:v>S003-WAT-03</x:v>
      </x:c>
      <x:c r="C31" s="16" t="str">
        <x:v>S003</x:v>
      </x:c>
      <x:c r="D31" s="16" t="str">
        <x:v>Q2-019</x:v>
      </x:c>
      <x:c r="E31" s="13" t="n">
        <x:v>1</x:v>
      </x:c>
      <x:c r="F31" s="22" t="n">
        <x:v>4744.278</x:v>
      </x:c>
      <x:c r="G31" s="22" t="n">
        <x:v>7200</x:v>
      </x:c>
      <x:c r="H31" s="22"/>
      <x:c r="I31" s="22" t="n">
        <x:v>0</x:v>
      </x:c>
    </x:row>
    <x:row r="32" ht="48" customHeight="1">
      <x:c r="A32" s="12" t="str">
        <x:v>及时性权重放大</x:v>
      </x:c>
      <x:c r="B32" s="12" t="str">
        <x:v>S003-WAT-04</x:v>
      </x:c>
      <x:c r="C32" s="12" t="str">
        <x:v>S003</x:v>
      </x:c>
      <x:c r="D32" s="12" t="str">
        <x:v>Q2-022</x:v>
      </x:c>
      <x:c r="E32" s="5" t="n">
        <x:v>4</x:v>
      </x:c>
      <x:c r="F32" s="21" t="n">
        <x:v>6311.823</x:v>
      </x:c>
      <x:c r="G32" s="21" t="n">
        <x:v>7200</x:v>
      </x:c>
      <x:c r="H32" s="21"/>
      <x:c r="I32" s="21" t="n">
        <x:v>0</x:v>
      </x:c>
    </x:row>
    <x:row r="33" ht="48" customHeight="1">
      <x:c r="A33" s="16" t="str">
        <x:v>及时性权重放大</x:v>
      </x:c>
      <x:c r="B33" s="16" t="str">
        <x:v>S004-FOD-01</x:v>
      </x:c>
      <x:c r="C33" s="16" t="str">
        <x:v>S004</x:v>
      </x:c>
      <x:c r="D33" s="16" t="str">
        <x:v>Q2-013</x:v>
      </x:c>
      <x:c r="E33" s="13" t="n">
        <x:v>2</x:v>
      </x:c>
      <x:c r="F33" s="22" t="n">
        <x:v>3459.494</x:v>
      </x:c>
      <x:c r="G33" s="22" t="n">
        <x:v>10800</x:v>
      </x:c>
      <x:c r="H33" s="22"/>
      <x:c r="I33" s="22" t="n">
        <x:v>0</x:v>
      </x:c>
    </x:row>
    <x:row r="34" ht="48" customHeight="1">
      <x:c r="A34" s="12" t="str">
        <x:v>及时性权重放大</x:v>
      </x:c>
      <x:c r="B34" s="12" t="str">
        <x:v>S004-HYG-01</x:v>
      </x:c>
      <x:c r="C34" s="12" t="str">
        <x:v>S004</x:v>
      </x:c>
      <x:c r="D34" s="12" t="str">
        <x:v>Q2-018</x:v>
      </x:c>
      <x:c r="E34" s="5" t="n">
        <x:v>4</x:v>
      </x:c>
      <x:c r="F34" s="21" t="n">
        <x:v>4705.228</x:v>
      </x:c>
      <x:c r="G34" s="21" t="n">
        <x:v>14400</x:v>
      </x:c>
      <x:c r="H34" s="21"/>
      <x:c r="I34" s="21" t="n">
        <x:v>0</x:v>
      </x:c>
    </x:row>
    <x:row r="35" ht="48" customHeight="1">
      <x:c r="A35" s="16" t="str">
        <x:v>及时性权重放大</x:v>
      </x:c>
      <x:c r="B35" s="16" t="str">
        <x:v>S004-MED-01</x:v>
      </x:c>
      <x:c r="C35" s="16" t="str">
        <x:v>S004</x:v>
      </x:c>
      <x:c r="D35" s="16" t="str">
        <x:v>Q2-013</x:v>
      </x:c>
      <x:c r="E35" s="13" t="n">
        <x:v>1</x:v>
      </x:c>
      <x:c r="F35" s="22" t="n">
        <x:v>3429.494</x:v>
      </x:c>
      <x:c r="G35" s="22" t="n">
        <x:v>7200</x:v>
      </x:c>
      <x:c r="H35" s="22" t="n">
        <x:v>7200</x:v>
      </x:c>
      <x:c r="I35" s="22" t="n">
        <x:v>0</x:v>
      </x:c>
    </x:row>
    <x:row r="36" ht="48" customHeight="1">
      <x:c r="A36" s="12" t="str">
        <x:v>及时性权重放大</x:v>
      </x:c>
      <x:c r="B36" s="12" t="str">
        <x:v>S004-WAT-01</x:v>
      </x:c>
      <x:c r="C36" s="12" t="str">
        <x:v>S004</x:v>
      </x:c>
      <x:c r="D36" s="12" t="str">
        <x:v>Q2-018</x:v>
      </x:c>
      <x:c r="E36" s="5" t="n">
        <x:v>1</x:v>
      </x:c>
      <x:c r="F36" s="21" t="n">
        <x:v>4597.228</x:v>
      </x:c>
      <x:c r="G36" s="21" t="n">
        <x:v>7200</x:v>
      </x:c>
      <x:c r="H36" s="21" t="n">
        <x:v>7200</x:v>
      </x:c>
      <x:c r="I36" s="21" t="n">
        <x:v>0</x:v>
      </x:c>
    </x:row>
    <x:row r="37" ht="48" customHeight="1">
      <x:c r="A37" s="16" t="str">
        <x:v>及时性权重放大</x:v>
      </x:c>
      <x:c r="B37" s="16" t="str">
        <x:v>S004-WAT-02</x:v>
      </x:c>
      <x:c r="C37" s="16" t="str">
        <x:v>S004</x:v>
      </x:c>
      <x:c r="D37" s="16" t="str">
        <x:v>Q2-018</x:v>
      </x:c>
      <x:c r="E37" s="13" t="n">
        <x:v>2</x:v>
      </x:c>
      <x:c r="F37" s="22" t="n">
        <x:v>4633.228</x:v>
      </x:c>
      <x:c r="G37" s="22" t="n">
        <x:v>7200</x:v>
      </x:c>
      <x:c r="H37" s="22"/>
      <x:c r="I37" s="22" t="n">
        <x:v>0</x:v>
      </x:c>
    </x:row>
    <x:row r="38" ht="48" customHeight="1">
      <x:c r="A38" s="12" t="str">
        <x:v>及时性权重放大</x:v>
      </x:c>
      <x:c r="B38" s="12" t="str">
        <x:v>S004-WAT-03</x:v>
      </x:c>
      <x:c r="C38" s="12" t="str">
        <x:v>S004</x:v>
      </x:c>
      <x:c r="D38" s="12" t="str">
        <x:v>Q2-018</x:v>
      </x:c>
      <x:c r="E38" s="5" t="n">
        <x:v>3</x:v>
      </x:c>
      <x:c r="F38" s="21" t="n">
        <x:v>4669.228</x:v>
      </x:c>
      <x:c r="G38" s="21" t="n">
        <x:v>7200</x:v>
      </x:c>
      <x:c r="H38" s="21"/>
      <x:c r="I38" s="21" t="n">
        <x:v>0</x:v>
      </x:c>
    </x:row>
    <x:row r="39" ht="48" customHeight="1">
      <x:c r="A39" s="16" t="str">
        <x:v>及时性权重放大</x:v>
      </x:c>
      <x:c r="B39" s="16" t="str">
        <x:v>S005-FOD-01</x:v>
      </x:c>
      <x:c r="C39" s="16" t="str">
        <x:v>S005</x:v>
      </x:c>
      <x:c r="D39" s="16" t="str">
        <x:v>Q2-024</x:v>
      </x:c>
      <x:c r="E39" s="13" t="n">
        <x:v>4</x:v>
      </x:c>
      <x:c r="F39" s="22" t="n">
        <x:v>7187.994</x:v>
      </x:c>
      <x:c r="G39" s="22" t="n">
        <x:v>14400</x:v>
      </x:c>
      <x:c r="H39" s="22"/>
      <x:c r="I39" s="22" t="n">
        <x:v>0</x:v>
      </x:c>
    </x:row>
    <x:row r="40" ht="48" customHeight="1">
      <x:c r="A40" s="12" t="str">
        <x:v>及时性权重放大</x:v>
      </x:c>
      <x:c r="B40" s="12" t="str">
        <x:v>S005-HYG-01</x:v>
      </x:c>
      <x:c r="C40" s="12" t="str">
        <x:v>S005</x:v>
      </x:c>
      <x:c r="D40" s="12" t="str">
        <x:v>Q2-024</x:v>
      </x:c>
      <x:c r="E40" s="5" t="n">
        <x:v>5</x:v>
      </x:c>
      <x:c r="F40" s="21" t="n">
        <x:v>7223.994</x:v>
      </x:c>
      <x:c r="G40" s="21" t="n">
        <x:v>18000</x:v>
      </x:c>
      <x:c r="H40" s="21"/>
      <x:c r="I40" s="21" t="n">
        <x:v>0</x:v>
      </x:c>
    </x:row>
    <x:row r="41" ht="48" customHeight="1">
      <x:c r="A41" s="16" t="str">
        <x:v>及时性权重放大</x:v>
      </x:c>
      <x:c r="B41" s="16" t="str">
        <x:v>S005-MED-01</x:v>
      </x:c>
      <x:c r="C41" s="16" t="str">
        <x:v>S005</x:v>
      </x:c>
      <x:c r="D41" s="16" t="str">
        <x:v>Q2-024</x:v>
      </x:c>
      <x:c r="E41" s="13" t="n">
        <x:v>1</x:v>
      </x:c>
      <x:c r="F41" s="22" t="n">
        <x:v>7079.994</x:v>
      </x:c>
      <x:c r="G41" s="22" t="n">
        <x:v>10800</x:v>
      </x:c>
      <x:c r="H41" s="22" t="n">
        <x:v>10800</x:v>
      </x:c>
      <x:c r="I41" s="22" t="n">
        <x:v>0</x:v>
      </x:c>
    </x:row>
    <x:row r="42" ht="48" customHeight="1">
      <x:c r="A42" s="12" t="str">
        <x:v>及时性权重放大</x:v>
      </x:c>
      <x:c r="B42" s="12" t="str">
        <x:v>S005-WAT-01</x:v>
      </x:c>
      <x:c r="C42" s="12" t="str">
        <x:v>S005</x:v>
      </x:c>
      <x:c r="D42" s="12" t="str">
        <x:v>Q2-024</x:v>
      </x:c>
      <x:c r="E42" s="5" t="n">
        <x:v>2</x:v>
      </x:c>
      <x:c r="F42" s="21" t="n">
        <x:v>7115.994</x:v>
      </x:c>
      <x:c r="G42" s="21" t="n">
        <x:v>10800</x:v>
      </x:c>
      <x:c r="H42" s="21" t="n">
        <x:v>10800</x:v>
      </x:c>
      <x:c r="I42" s="21" t="n">
        <x:v>0</x:v>
      </x:c>
    </x:row>
    <x:row r="43" ht="48" customHeight="1">
      <x:c r="A43" s="16" t="str">
        <x:v>及时性权重放大</x:v>
      </x:c>
      <x:c r="B43" s="16" t="str">
        <x:v>S005-WAT-02</x:v>
      </x:c>
      <x:c r="C43" s="16" t="str">
        <x:v>S005</x:v>
      </x:c>
      <x:c r="D43" s="16" t="str">
        <x:v>Q2-024</x:v>
      </x:c>
      <x:c r="E43" s="13" t="n">
        <x:v>3</x:v>
      </x:c>
      <x:c r="F43" s="22" t="n">
        <x:v>7151.994</x:v>
      </x:c>
      <x:c r="G43" s="22" t="n">
        <x:v>10800</x:v>
      </x:c>
      <x:c r="H43" s="22"/>
      <x:c r="I43" s="22" t="n">
        <x:v>0</x:v>
      </x:c>
    </x:row>
    <x:row r="44" ht="48" customHeight="1">
      <x:c r="A44" s="12" t="str">
        <x:v>及时性权重放大</x:v>
      </x:c>
      <x:c r="B44" s="12" t="str">
        <x:v>S005-WAT-03</x:v>
      </x:c>
      <x:c r="C44" s="12" t="str">
        <x:v>S005</x:v>
      </x:c>
      <x:c r="D44" s="12" t="str">
        <x:v>Q2-013</x:v>
      </x:c>
      <x:c r="E44" s="5" t="n">
        <x:v>1</x:v>
      </x:c>
      <x:c r="F44" s="21" t="n">
        <x:v>2963.669</x:v>
      </x:c>
      <x:c r="G44" s="21" t="n">
        <x:v>10800</x:v>
      </x:c>
      <x:c r="H44" s="21"/>
      <x:c r="I44" s="21" t="n">
        <x:v>0</x:v>
      </x:c>
    </x:row>
    <x:row r="45" ht="48" customHeight="1">
      <x:c r="A45" s="16" t="str">
        <x:v>及时性权重放大</x:v>
      </x:c>
      <x:c r="B45" s="16" t="str">
        <x:v>S006-FOD-01</x:v>
      </x:c>
      <x:c r="C45" s="16" t="str">
        <x:v>S006</x:v>
      </x:c>
      <x:c r="D45" s="16" t="str">
        <x:v>Q2-008</x:v>
      </x:c>
      <x:c r="E45" s="13" t="n">
        <x:v>5</x:v>
      </x:c>
      <x:c r="F45" s="22" t="n">
        <x:v>1173.422</x:v>
      </x:c>
      <x:c r="G45" s="22" t="n">
        <x:v>7200</x:v>
      </x:c>
      <x:c r="H45" s="22"/>
      <x:c r="I45" s="22" t="n">
        <x:v>0</x:v>
      </x:c>
    </x:row>
    <x:row r="46" ht="48" customHeight="1">
      <x:c r="A46" s="12" t="str">
        <x:v>及时性权重放大</x:v>
      </x:c>
      <x:c r="B46" s="12" t="str">
        <x:v>S006-HYG-01</x:v>
      </x:c>
      <x:c r="C46" s="12" t="str">
        <x:v>S006</x:v>
      </x:c>
      <x:c r="D46" s="12" t="str">
        <x:v>Q2-008</x:v>
      </x:c>
      <x:c r="E46" s="5" t="n">
        <x:v>6</x:v>
      </x:c>
      <x:c r="F46" s="21" t="n">
        <x:v>1209.422</x:v>
      </x:c>
      <x:c r="G46" s="21" t="n">
        <x:v>10800</x:v>
      </x:c>
      <x:c r="H46" s="21"/>
      <x:c r="I46" s="21" t="n">
        <x:v>0</x:v>
      </x:c>
    </x:row>
    <x:row r="47" ht="48" customHeight="1">
      <x:c r="A47" s="16" t="str">
        <x:v>及时性权重放大</x:v>
      </x:c>
      <x:c r="B47" s="16" t="str">
        <x:v>S006-MED-01</x:v>
      </x:c>
      <x:c r="C47" s="16" t="str">
        <x:v>S006</x:v>
      </x:c>
      <x:c r="D47" s="16" t="str">
        <x:v>Q2-008</x:v>
      </x:c>
      <x:c r="E47" s="13" t="n">
        <x:v>1</x:v>
      </x:c>
      <x:c r="F47" s="22" t="n">
        <x:v>1029.422</x:v>
      </x:c>
      <x:c r="G47" s="22" t="n">
        <x:v>3600</x:v>
      </x:c>
      <x:c r="H47" s="22" t="n">
        <x:v>3600</x:v>
      </x:c>
      <x:c r="I47" s="22" t="n">
        <x:v>0</x:v>
      </x:c>
    </x:row>
    <x:row r="48" ht="48" customHeight="1">
      <x:c r="A48" s="12" t="str">
        <x:v>及时性权重放大</x:v>
      </x:c>
      <x:c r="B48" s="12" t="str">
        <x:v>S006-WAT-01</x:v>
      </x:c>
      <x:c r="C48" s="12" t="str">
        <x:v>S006</x:v>
      </x:c>
      <x:c r="D48" s="12" t="str">
        <x:v>Q2-008</x:v>
      </x:c>
      <x:c r="E48" s="5" t="n">
        <x:v>2</x:v>
      </x:c>
      <x:c r="F48" s="21" t="n">
        <x:v>1065.422</x:v>
      </x:c>
      <x:c r="G48" s="21" t="n">
        <x:v>3600</x:v>
      </x:c>
      <x:c r="H48" s="21" t="n">
        <x:v>3600</x:v>
      </x:c>
      <x:c r="I48" s="21" t="n">
        <x:v>0</x:v>
      </x:c>
    </x:row>
    <x:row r="49" ht="48" customHeight="1">
      <x:c r="A49" s="16" t="str">
        <x:v>及时性权重放大</x:v>
      </x:c>
      <x:c r="B49" s="16" t="str">
        <x:v>S006-WAT-02</x:v>
      </x:c>
      <x:c r="C49" s="16" t="str">
        <x:v>S006</x:v>
      </x:c>
      <x:c r="D49" s="16" t="str">
        <x:v>Q2-008</x:v>
      </x:c>
      <x:c r="E49" s="13" t="n">
        <x:v>3</x:v>
      </x:c>
      <x:c r="F49" s="22" t="n">
        <x:v>1101.422</x:v>
      </x:c>
      <x:c r="G49" s="22" t="n">
        <x:v>3600</x:v>
      </x:c>
      <x:c r="H49" s="22"/>
      <x:c r="I49" s="22" t="n">
        <x:v>0</x:v>
      </x:c>
    </x:row>
    <x:row r="50" ht="48" customHeight="1">
      <x:c r="A50" s="12" t="str">
        <x:v>及时性权重放大</x:v>
      </x:c>
      <x:c r="B50" s="12" t="str">
        <x:v>S006-WAT-03</x:v>
      </x:c>
      <x:c r="C50" s="12" t="str">
        <x:v>S006</x:v>
      </x:c>
      <x:c r="D50" s="12" t="str">
        <x:v>Q2-008</x:v>
      </x:c>
      <x:c r="E50" s="5" t="n">
        <x:v>4</x:v>
      </x:c>
      <x:c r="F50" s="21" t="n">
        <x:v>1137.422</x:v>
      </x:c>
      <x:c r="G50" s="21" t="n">
        <x:v>3600</x:v>
      </x:c>
      <x:c r="H50" s="21"/>
      <x:c r="I50" s="21" t="n">
        <x:v>0</x:v>
      </x:c>
    </x:row>
    <x:row r="51" ht="48" customHeight="1">
      <x:c r="A51" s="16" t="str">
        <x:v>及时性权重放大</x:v>
      </x:c>
      <x:c r="B51" s="16" t="str">
        <x:v>S007-FOD-01</x:v>
      </x:c>
      <x:c r="C51" s="16" t="str">
        <x:v>S007</x:v>
      </x:c>
      <x:c r="D51" s="16" t="str">
        <x:v>Q2-004</x:v>
      </x:c>
      <x:c r="E51" s="13" t="n">
        <x:v>2</x:v>
      </x:c>
      <x:c r="F51" s="22" t="n">
        <x:v>1141.374</x:v>
      </x:c>
      <x:c r="G51" s="22" t="n">
        <x:v>7200</x:v>
      </x:c>
      <x:c r="H51" s="22"/>
      <x:c r="I51" s="22" t="n">
        <x:v>0</x:v>
      </x:c>
    </x:row>
    <x:row r="52" ht="48" customHeight="1">
      <x:c r="A52" s="12" t="str">
        <x:v>及时性权重放大</x:v>
      </x:c>
      <x:c r="B52" s="12" t="str">
        <x:v>S007-HYG-01</x:v>
      </x:c>
      <x:c r="C52" s="12" t="str">
        <x:v>S007</x:v>
      </x:c>
      <x:c r="D52" s="12" t="str">
        <x:v>Q2-007</x:v>
      </x:c>
      <x:c r="E52" s="5" t="n">
        <x:v>2</x:v>
      </x:c>
      <x:c r="F52" s="21" t="n">
        <x:v>1141.374</x:v>
      </x:c>
      <x:c r="G52" s="21" t="n">
        <x:v>10800</x:v>
      </x:c>
      <x:c r="H52" s="21"/>
      <x:c r="I52" s="21" t="n">
        <x:v>0</x:v>
      </x:c>
    </x:row>
    <x:row r="53" ht="48" customHeight="1">
      <x:c r="A53" s="16" t="str">
        <x:v>及时性权重放大</x:v>
      </x:c>
      <x:c r="B53" s="16" t="str">
        <x:v>S007-MED-01</x:v>
      </x:c>
      <x:c r="C53" s="16" t="str">
        <x:v>S007</x:v>
      </x:c>
      <x:c r="D53" s="16" t="str">
        <x:v>Q2-007</x:v>
      </x:c>
      <x:c r="E53" s="13" t="n">
        <x:v>1</x:v>
      </x:c>
      <x:c r="F53" s="22" t="n">
        <x:v>1111.374</x:v>
      </x:c>
      <x:c r="G53" s="22" t="n">
        <x:v>3600</x:v>
      </x:c>
      <x:c r="H53" s="22" t="n">
        <x:v>3600</x:v>
      </x:c>
      <x:c r="I53" s="22" t="n">
        <x:v>0</x:v>
      </x:c>
    </x:row>
    <x:row r="54" ht="48" customHeight="1">
      <x:c r="A54" s="12" t="str">
        <x:v>及时性权重放大</x:v>
      </x:c>
      <x:c r="B54" s="12" t="str">
        <x:v>S007-WAT-01</x:v>
      </x:c>
      <x:c r="C54" s="12" t="str">
        <x:v>S007</x:v>
      </x:c>
      <x:c r="D54" s="12" t="str">
        <x:v>Q2-004</x:v>
      </x:c>
      <x:c r="E54" s="5" t="n">
        <x:v>1</x:v>
      </x:c>
      <x:c r="F54" s="21" t="n">
        <x:v>1111.374</x:v>
      </x:c>
      <x:c r="G54" s="21" t="n">
        <x:v>3600</x:v>
      </x:c>
      <x:c r="H54" s="21" t="n">
        <x:v>3600</x:v>
      </x:c>
      <x:c r="I54" s="21" t="n">
        <x:v>0</x:v>
      </x:c>
    </x:row>
    <x:row r="55" ht="48" customHeight="1">
      <x:c r="A55" s="16" t="str">
        <x:v>及时性权重放大</x:v>
      </x:c>
      <x:c r="B55" s="16" t="str">
        <x:v>S007-WAT-02</x:v>
      </x:c>
      <x:c r="C55" s="16" t="str">
        <x:v>S007</x:v>
      </x:c>
      <x:c r="D55" s="16" t="str">
        <x:v>Q2-011</x:v>
      </x:c>
      <x:c r="E55" s="13" t="n">
        <x:v>1</x:v>
      </x:c>
      <x:c r="F55" s="22" t="n">
        <x:v>2808.842</x:v>
      </x:c>
      <x:c r="G55" s="22" t="n">
        <x:v>3600</x:v>
      </x:c>
      <x:c r="H55" s="22"/>
      <x:c r="I55" s="22" t="n">
        <x:v>0</x:v>
      </x:c>
    </x:row>
    <x:row r="56" ht="48" customHeight="1">
      <x:c r="A56" s="12" t="str">
        <x:v>及时性权重放大</x:v>
      </x:c>
      <x:c r="B56" s="12" t="str">
        <x:v>S008-FOD-01</x:v>
      </x:c>
      <x:c r="C56" s="12" t="str">
        <x:v>S008</x:v>
      </x:c>
      <x:c r="D56" s="12" t="str">
        <x:v>Q2-017</x:v>
      </x:c>
      <x:c r="E56" s="5" t="n">
        <x:v>3</x:v>
      </x:c>
      <x:c r="F56" s="21" t="n">
        <x:v>4357.066</x:v>
      </x:c>
      <x:c r="G56" s="21" t="n">
        <x:v>10800</x:v>
      </x:c>
      <x:c r="H56" s="21"/>
      <x:c r="I56" s="21" t="n">
        <x:v>0</x:v>
      </x:c>
    </x:row>
    <x:row r="57" ht="48" customHeight="1">
      <x:c r="A57" s="16" t="str">
        <x:v>及时性权重放大</x:v>
      </x:c>
      <x:c r="B57" s="16" t="str">
        <x:v>S008-HYG-01</x:v>
      </x:c>
      <x:c r="C57" s="16" t="str">
        <x:v>S008</x:v>
      </x:c>
      <x:c r="D57" s="16" t="str">
        <x:v>Q2-020</x:v>
      </x:c>
      <x:c r="E57" s="13" t="n">
        <x:v>1</x:v>
      </x:c>
      <x:c r="F57" s="22" t="n">
        <x:v>4977.044</x:v>
      </x:c>
      <x:c r="G57" s="22" t="n">
        <x:v>14400</x:v>
      </x:c>
      <x:c r="H57" s="22"/>
      <x:c r="I57" s="22" t="n">
        <x:v>0</x:v>
      </x:c>
    </x:row>
    <x:row r="58" ht="48" customHeight="1">
      <x:c r="A58" s="12" t="str">
        <x:v>及时性权重放大</x:v>
      </x:c>
      <x:c r="B58" s="12" t="str">
        <x:v>S008-MED-01</x:v>
      </x:c>
      <x:c r="C58" s="12" t="str">
        <x:v>S008</x:v>
      </x:c>
      <x:c r="D58" s="12" t="str">
        <x:v>Q2-017</x:v>
      </x:c>
      <x:c r="E58" s="5" t="n">
        <x:v>1</x:v>
      </x:c>
      <x:c r="F58" s="21" t="n">
        <x:v>4297.066</x:v>
      </x:c>
      <x:c r="G58" s="21" t="n">
        <x:v>7200</x:v>
      </x:c>
      <x:c r="H58" s="21" t="n">
        <x:v>7200</x:v>
      </x:c>
      <x:c r="I58" s="21" t="n">
        <x:v>0</x:v>
      </x:c>
    </x:row>
    <x:row r="59" ht="48" customHeight="1">
      <x:c r="A59" s="16" t="str">
        <x:v>及时性权重放大</x:v>
      </x:c>
      <x:c r="B59" s="16" t="str">
        <x:v>S008-WAT-01</x:v>
      </x:c>
      <x:c r="C59" s="16" t="str">
        <x:v>S008</x:v>
      </x:c>
      <x:c r="D59" s="16" t="str">
        <x:v>Q2-017</x:v>
      </x:c>
      <x:c r="E59" s="13" t="n">
        <x:v>2</x:v>
      </x:c>
      <x:c r="F59" s="22" t="n">
        <x:v>4327.066</x:v>
      </x:c>
      <x:c r="G59" s="22" t="n">
        <x:v>7200</x:v>
      </x:c>
      <x:c r="H59" s="22" t="n">
        <x:v>7200</x:v>
      </x:c>
      <x:c r="I59" s="22" t="n">
        <x:v>0</x:v>
      </x:c>
    </x:row>
    <x:row r="60" ht="48" customHeight="1">
      <x:c r="A60" s="12" t="str">
        <x:v>及时性权重放大</x:v>
      </x:c>
      <x:c r="B60" s="12" t="str">
        <x:v>S008-WAT-02</x:v>
      </x:c>
      <x:c r="C60" s="12" t="str">
        <x:v>S008</x:v>
      </x:c>
      <x:c r="D60" s="12" t="str">
        <x:v>Q2-016</x:v>
      </x:c>
      <x:c r="E60" s="5" t="n">
        <x:v>1</x:v>
      </x:c>
      <x:c r="F60" s="21" t="n">
        <x:v>4102.658</x:v>
      </x:c>
      <x:c r="G60" s="21" t="n">
        <x:v>7200</x:v>
      </x:c>
      <x:c r="H60" s="21"/>
      <x:c r="I60" s="21" t="n">
        <x:v>0</x:v>
      </x:c>
    </x:row>
    <x:row r="61" ht="48" customHeight="1">
      <x:c r="A61" s="16" t="str">
        <x:v>及时性权重放大</x:v>
      </x:c>
      <x:c r="B61" s="16" t="str">
        <x:v>S009-FOD-01</x:v>
      </x:c>
      <x:c r="C61" s="16" t="str">
        <x:v>S009</x:v>
      </x:c>
      <x:c r="D61" s="16" t="str">
        <x:v>Q2-023</x:v>
      </x:c>
      <x:c r="E61" s="13" t="n">
        <x:v>3</x:v>
      </x:c>
      <x:c r="F61" s="22" t="n">
        <x:v>6118.583</x:v>
      </x:c>
      <x:c r="G61" s="22" t="n">
        <x:v>14400</x:v>
      </x:c>
      <x:c r="H61" s="22"/>
      <x:c r="I61" s="22" t="n">
        <x:v>0</x:v>
      </x:c>
    </x:row>
    <x:row r="62" ht="48" customHeight="1">
      <x:c r="A62" s="12" t="str">
        <x:v>及时性权重放大</x:v>
      </x:c>
      <x:c r="B62" s="12" t="str">
        <x:v>S009-MED-01</x:v>
      </x:c>
      <x:c r="C62" s="12" t="str">
        <x:v>S009</x:v>
      </x:c>
      <x:c r="D62" s="12" t="str">
        <x:v>Q2-023</x:v>
      </x:c>
      <x:c r="E62" s="5" t="n">
        <x:v>1</x:v>
      </x:c>
      <x:c r="F62" s="21" t="n">
        <x:v>6058.583</x:v>
      </x:c>
      <x:c r="G62" s="21" t="n">
        <x:v>10800</x:v>
      </x:c>
      <x:c r="H62" s="21" t="n">
        <x:v>10800</x:v>
      </x:c>
      <x:c r="I62" s="21" t="n">
        <x:v>0</x:v>
      </x:c>
    </x:row>
    <x:row r="63" ht="48" customHeight="1">
      <x:c r="A63" s="16" t="str">
        <x:v>及时性权重放大</x:v>
      </x:c>
      <x:c r="B63" s="16" t="str">
        <x:v>S009-WAT-01</x:v>
      </x:c>
      <x:c r="C63" s="16" t="str">
        <x:v>S009</x:v>
      </x:c>
      <x:c r="D63" s="16" t="str">
        <x:v>Q2-023</x:v>
      </x:c>
      <x:c r="E63" s="13" t="n">
        <x:v>2</x:v>
      </x:c>
      <x:c r="F63" s="22" t="n">
        <x:v>6088.583</x:v>
      </x:c>
      <x:c r="G63" s="22" t="n">
        <x:v>10800</x:v>
      </x:c>
      <x:c r="H63" s="22" t="n">
        <x:v>10800</x:v>
      </x:c>
      <x:c r="I63" s="22" t="n">
        <x:v>0</x:v>
      </x:c>
    </x:row>
    <x:row r="64" ht="48" customHeight="1">
      <x:c r="A64" s="12" t="str">
        <x:v>及时性权重放大</x:v>
      </x:c>
      <x:c r="B64" s="12" t="str">
        <x:v>S010-FOD-01</x:v>
      </x:c>
      <x:c r="C64" s="12" t="str">
        <x:v>S010</x:v>
      </x:c>
      <x:c r="D64" s="12" t="str">
        <x:v>Q2-005</x:v>
      </x:c>
      <x:c r="E64" s="5" t="n">
        <x:v>3</x:v>
      </x:c>
      <x:c r="F64" s="21" t="n">
        <x:v>1085.239</x:v>
      </x:c>
      <x:c r="G64" s="21" t="n">
        <x:v>7200</x:v>
      </x:c>
      <x:c r="H64" s="21"/>
      <x:c r="I64" s="21" t="n">
        <x:v>0</x:v>
      </x:c>
    </x:row>
    <x:row r="65" ht="48" customHeight="1">
      <x:c r="A65" s="16" t="str">
        <x:v>及时性权重放大</x:v>
      </x:c>
      <x:c r="B65" s="16" t="str">
        <x:v>S010-MED-01</x:v>
      </x:c>
      <x:c r="C65" s="16" t="str">
        <x:v>S010</x:v>
      </x:c>
      <x:c r="D65" s="16" t="str">
        <x:v>Q2-005</x:v>
      </x:c>
      <x:c r="E65" s="13" t="n">
        <x:v>1</x:v>
      </x:c>
      <x:c r="F65" s="22" t="n">
        <x:v>1025.239</x:v>
      </x:c>
      <x:c r="G65" s="22" t="n">
        <x:v>3600</x:v>
      </x:c>
      <x:c r="H65" s="22" t="n">
        <x:v>3600</x:v>
      </x:c>
      <x:c r="I65" s="22" t="n">
        <x:v>0</x:v>
      </x:c>
    </x:row>
    <x:row r="66" ht="48" customHeight="1">
      <x:c r="A66" s="12" t="str">
        <x:v>及时性权重放大</x:v>
      </x:c>
      <x:c r="B66" s="12" t="str">
        <x:v>S010-WAT-01</x:v>
      </x:c>
      <x:c r="C66" s="12" t="str">
        <x:v>S010</x:v>
      </x:c>
      <x:c r="D66" s="12" t="str">
        <x:v>Q2-005</x:v>
      </x:c>
      <x:c r="E66" s="5" t="n">
        <x:v>2</x:v>
      </x:c>
      <x:c r="F66" s="21" t="n">
        <x:v>1055.239</x:v>
      </x:c>
      <x:c r="G66" s="21" t="n">
        <x:v>3600</x:v>
      </x:c>
      <x:c r="H66" s="21" t="n">
        <x:v>3600</x:v>
      </x:c>
      <x:c r="I66" s="21" t="n">
        <x:v>0</x:v>
      </x:c>
    </x:row>
    <x:row r="67" ht="48" customHeight="1">
      <x:c r="A67" s="16" t="str">
        <x:v>及时性权重放大</x:v>
      </x:c>
      <x:c r="B67" s="16" t="str">
        <x:v>S011-FOD-01</x:v>
      </x:c>
      <x:c r="C67" s="16" t="str">
        <x:v>S011</x:v>
      </x:c>
      <x:c r="D67" s="16" t="str">
        <x:v>Q2-024</x:v>
      </x:c>
      <x:c r="E67" s="13" t="n">
        <x:v>3</x:v>
      </x:c>
      <x:c r="F67" s="22" t="n">
        <x:v>6546.689</x:v>
      </x:c>
      <x:c r="G67" s="22" t="n">
        <x:v>14400</x:v>
      </x:c>
      <x:c r="H67" s="22"/>
      <x:c r="I67" s="22" t="n">
        <x:v>0</x:v>
      </x:c>
    </x:row>
    <x:row r="68" ht="48" customHeight="1">
      <x:c r="A68" s="12" t="str">
        <x:v>及时性权重放大</x:v>
      </x:c>
      <x:c r="B68" s="12" t="str">
        <x:v>S011-MED-01</x:v>
      </x:c>
      <x:c r="C68" s="12" t="str">
        <x:v>S011</x:v>
      </x:c>
      <x:c r="D68" s="12" t="str">
        <x:v>Q2-024</x:v>
      </x:c>
      <x:c r="E68" s="5" t="n">
        <x:v>1</x:v>
      </x:c>
      <x:c r="F68" s="21" t="n">
        <x:v>6474.689</x:v>
      </x:c>
      <x:c r="G68" s="21" t="n">
        <x:v>10800</x:v>
      </x:c>
      <x:c r="H68" s="21" t="n">
        <x:v>10800</x:v>
      </x:c>
      <x:c r="I68" s="21" t="n">
        <x:v>0</x:v>
      </x:c>
    </x:row>
    <x:row r="69" ht="48" customHeight="1">
      <x:c r="A69" s="16" t="str">
        <x:v>及时性权重放大</x:v>
      </x:c>
      <x:c r="B69" s="16" t="str">
        <x:v>S011-WAT-01</x:v>
      </x:c>
      <x:c r="C69" s="16" t="str">
        <x:v>S011</x:v>
      </x:c>
      <x:c r="D69" s="16" t="str">
        <x:v>Q2-024</x:v>
      </x:c>
      <x:c r="E69" s="13" t="n">
        <x:v>2</x:v>
      </x:c>
      <x:c r="F69" s="22" t="n">
        <x:v>6510.689</x:v>
      </x:c>
      <x:c r="G69" s="22" t="n">
        <x:v>10800</x:v>
      </x:c>
      <x:c r="H69" s="22" t="n">
        <x:v>10800</x:v>
      </x:c>
      <x:c r="I69" s="22" t="n">
        <x:v>0</x:v>
      </x:c>
    </x:row>
    <x:row r="70" ht="48" customHeight="1">
      <x:c r="A70" s="12" t="str">
        <x:v>及时性权重放大</x:v>
      </x:c>
      <x:c r="B70" s="12" t="str">
        <x:v>S012-FOD-01</x:v>
      </x:c>
      <x:c r="C70" s="12" t="str">
        <x:v>S012</x:v>
      </x:c>
      <x:c r="D70" s="12" t="str">
        <x:v>Q2-001</x:v>
      </x:c>
      <x:c r="E70" s="5" t="n">
        <x:v>3</x:v>
      </x:c>
      <x:c r="F70" s="21" t="n">
        <x:v>1271.344</x:v>
      </x:c>
      <x:c r="G70" s="21" t="n">
        <x:v>7200</x:v>
      </x:c>
      <x:c r="H70" s="21"/>
      <x:c r="I70" s="21" t="n">
        <x:v>0</x:v>
      </x:c>
    </x:row>
    <x:row r="71" ht="48" customHeight="1">
      <x:c r="A71" s="16" t="str">
        <x:v>及时性权重放大</x:v>
      </x:c>
      <x:c r="B71" s="16" t="str">
        <x:v>S012-MED-01</x:v>
      </x:c>
      <x:c r="C71" s="16" t="str">
        <x:v>S012</x:v>
      </x:c>
      <x:c r="D71" s="16" t="str">
        <x:v>Q2-001</x:v>
      </x:c>
      <x:c r="E71" s="13" t="n">
        <x:v>2</x:v>
      </x:c>
      <x:c r="F71" s="22" t="n">
        <x:v>1241.344</x:v>
      </x:c>
      <x:c r="G71" s="22" t="n">
        <x:v>7200</x:v>
      </x:c>
      <x:c r="H71" s="22" t="n">
        <x:v>3600</x:v>
      </x:c>
      <x:c r="I71" s="22" t="n">
        <x:v>0</x:v>
      </x:c>
    </x:row>
    <x:row r="72" ht="48" customHeight="1">
      <x:c r="A72" s="12" t="str">
        <x:v>及时性权重放大</x:v>
      </x:c>
      <x:c r="B72" s="12" t="str">
        <x:v>S012-WAT-01</x:v>
      </x:c>
      <x:c r="C72" s="12" t="str">
        <x:v>S012</x:v>
      </x:c>
      <x:c r="D72" s="12" t="str">
        <x:v>Q2-001</x:v>
      </x:c>
      <x:c r="E72" s="5" t="n">
        <x:v>1</x:v>
      </x:c>
      <x:c r="F72" s="21" t="n">
        <x:v>1211.344</x:v>
      </x:c>
      <x:c r="G72" s="21" t="n">
        <x:v>3600</x:v>
      </x:c>
      <x:c r="H72" s="21" t="n">
        <x:v>3600</x:v>
      </x:c>
      <x:c r="I72" s="21" t="n">
        <x:v>0</x:v>
      </x:c>
    </x:row>
    <x:row r="73" ht="48" customHeight="1">
      <x:c r="A73" s="16" t="str">
        <x:v>及时性权重放大</x:v>
      </x:c>
      <x:c r="B73" s="16" t="str">
        <x:v>S013-FOD-01</x:v>
      </x:c>
      <x:c r="C73" s="16" t="str">
        <x:v>S013</x:v>
      </x:c>
      <x:c r="D73" s="16" t="str">
        <x:v>Q2-009</x:v>
      </x:c>
      <x:c r="E73" s="13" t="n">
        <x:v>3</x:v>
      </x:c>
      <x:c r="F73" s="22" t="n">
        <x:v>2618.195</x:v>
      </x:c>
      <x:c r="G73" s="22" t="n">
        <x:v>7200</x:v>
      </x:c>
      <x:c r="H73" s="22"/>
      <x:c r="I73" s="22" t="n">
        <x:v>0</x:v>
      </x:c>
    </x:row>
    <x:row r="74" ht="48" customHeight="1">
      <x:c r="A74" s="12" t="str">
        <x:v>及时性权重放大</x:v>
      </x:c>
      <x:c r="B74" s="12" t="str">
        <x:v>S013-MED-01</x:v>
      </x:c>
      <x:c r="C74" s="12" t="str">
        <x:v>S013</x:v>
      </x:c>
      <x:c r="D74" s="12" t="str">
        <x:v>Q2-009</x:v>
      </x:c>
      <x:c r="E74" s="5" t="n">
        <x:v>1</x:v>
      </x:c>
      <x:c r="F74" s="21" t="n">
        <x:v>2558.195</x:v>
      </x:c>
      <x:c r="G74" s="21" t="n">
        <x:v>3600</x:v>
      </x:c>
      <x:c r="H74" s="21" t="n">
        <x:v>3600</x:v>
      </x:c>
      <x:c r="I74" s="21" t="n">
        <x:v>0</x:v>
      </x:c>
    </x:row>
    <x:row r="75" ht="48" customHeight="1">
      <x:c r="A75" s="16" t="str">
        <x:v>及时性权重放大</x:v>
      </x:c>
      <x:c r="B75" s="16" t="str">
        <x:v>S013-WAT-01</x:v>
      </x:c>
      <x:c r="C75" s="16" t="str">
        <x:v>S013</x:v>
      </x:c>
      <x:c r="D75" s="16" t="str">
        <x:v>Q2-009</x:v>
      </x:c>
      <x:c r="E75" s="13" t="n">
        <x:v>2</x:v>
      </x:c>
      <x:c r="F75" s="22" t="n">
        <x:v>2588.195</x:v>
      </x:c>
      <x:c r="G75" s="22" t="n">
        <x:v>3600</x:v>
      </x:c>
      <x:c r="H75" s="22" t="n">
        <x:v>3600</x:v>
      </x:c>
      <x:c r="I75" s="22" t="n">
        <x:v>0</x:v>
      </x:c>
    </x:row>
    <x:row r="76" ht="48" customHeight="1">
      <x:c r="A76" s="12" t="str">
        <x:v>及时性权重放大</x:v>
      </x:c>
      <x:c r="B76" s="12" t="str">
        <x:v>S014-FOD-01</x:v>
      </x:c>
      <x:c r="C76" s="12" t="str">
        <x:v>S014</x:v>
      </x:c>
      <x:c r="D76" s="12" t="str">
        <x:v>Q2-006</x:v>
      </x:c>
      <x:c r="E76" s="5" t="n">
        <x:v>2</x:v>
      </x:c>
      <x:c r="F76" s="21" t="n">
        <x:v>1272.757</x:v>
      </x:c>
      <x:c r="G76" s="21" t="n">
        <x:v>7200</x:v>
      </x:c>
      <x:c r="H76" s="21"/>
      <x:c r="I76" s="21" t="n">
        <x:v>0</x:v>
      </x:c>
    </x:row>
    <x:row r="77" ht="48" customHeight="1">
      <x:c r="A77" s="16" t="str">
        <x:v>及时性权重放大</x:v>
      </x:c>
      <x:c r="B77" s="16" t="str">
        <x:v>S014-MED-01</x:v>
      </x:c>
      <x:c r="C77" s="16" t="str">
        <x:v>S014</x:v>
      </x:c>
      <x:c r="D77" s="16" t="str">
        <x:v>Q2-006</x:v>
      </x:c>
      <x:c r="E77" s="13" t="n">
        <x:v>1</x:v>
      </x:c>
      <x:c r="F77" s="22" t="n">
        <x:v>1242.757</x:v>
      </x:c>
      <x:c r="G77" s="22" t="n">
        <x:v>7200</x:v>
      </x:c>
      <x:c r="H77" s="22" t="n">
        <x:v>3600</x:v>
      </x:c>
      <x:c r="I77" s="22" t="n">
        <x:v>0</x:v>
      </x:c>
    </x:row>
    <x:row r="78" ht="48" customHeight="1">
      <x:c r="A78" s="12" t="str">
        <x:v>及时性权重放大</x:v>
      </x:c>
      <x:c r="B78" s="12" t="str">
        <x:v>S014-WAT-01</x:v>
      </x:c>
      <x:c r="C78" s="12" t="str">
        <x:v>S014</x:v>
      </x:c>
      <x:c r="D78" s="12" t="str">
        <x:v>Q2-003</x:v>
      </x:c>
      <x:c r="E78" s="5" t="n">
        <x:v>1</x:v>
      </x:c>
      <x:c r="F78" s="21" t="n">
        <x:v>1212.757</x:v>
      </x:c>
      <x:c r="G78" s="21" t="n">
        <x:v>3600</x:v>
      </x:c>
      <x:c r="H78" s="21" t="n">
        <x:v>3600</x:v>
      </x:c>
      <x:c r="I78" s="21" t="n">
        <x:v>0</x:v>
      </x:c>
    </x:row>
    <x:row r="79" ht="48" customHeight="1">
      <x:c r="A79" s="16" t="str">
        <x:v>及时性权重放大</x:v>
      </x:c>
      <x:c r="B79" s="16" t="str">
        <x:v>S015-FOD-01</x:v>
      </x:c>
      <x:c r="C79" s="16" t="str">
        <x:v>S015</x:v>
      </x:c>
      <x:c r="D79" s="16" t="str">
        <x:v>Q2-021</x:v>
      </x:c>
      <x:c r="E79" s="13" t="n">
        <x:v>3</x:v>
      </x:c>
      <x:c r="F79" s="22" t="n">
        <x:v>5356.273</x:v>
      </x:c>
      <x:c r="G79" s="22" t="n">
        <x:v>14400</x:v>
      </x:c>
      <x:c r="H79" s="22"/>
      <x:c r="I79" s="22" t="n">
        <x:v>0</x:v>
      </x:c>
    </x:row>
    <x:row r="80" ht="48" customHeight="1">
      <x:c r="A80" s="12" t="str">
        <x:v>及时性权重放大</x:v>
      </x:c>
      <x:c r="B80" s="12" t="str">
        <x:v>S015-MED-01</x:v>
      </x:c>
      <x:c r="C80" s="12" t="str">
        <x:v>S015</x:v>
      </x:c>
      <x:c r="D80" s="12" t="str">
        <x:v>Q2-021</x:v>
      </x:c>
      <x:c r="E80" s="5" t="n">
        <x:v>1</x:v>
      </x:c>
      <x:c r="F80" s="21" t="n">
        <x:v>5296.273</x:v>
      </x:c>
      <x:c r="G80" s="21" t="n">
        <x:v>7200</x:v>
      </x:c>
      <x:c r="H80" s="21" t="n">
        <x:v>7200</x:v>
      </x:c>
      <x:c r="I80" s="21" t="n">
        <x:v>0</x:v>
      </x:c>
    </x:row>
    <x:row r="81" ht="48" customHeight="1">
      <x:c r="A81" s="16" t="str">
        <x:v>及时性权重放大</x:v>
      </x:c>
      <x:c r="B81" s="16" t="str">
        <x:v>S015-WAT-01</x:v>
      </x:c>
      <x:c r="C81" s="16" t="str">
        <x:v>S015</x:v>
      </x:c>
      <x:c r="D81" s="16" t="str">
        <x:v>Q2-021</x:v>
      </x:c>
      <x:c r="E81" s="13" t="n">
        <x:v>2</x:v>
      </x:c>
      <x:c r="F81" s="22" t="n">
        <x:v>5326.273</x:v>
      </x:c>
      <x:c r="G81" s="22" t="n">
        <x:v>10800</x:v>
      </x:c>
      <x:c r="H81" s="22" t="n">
        <x:v>10800</x:v>
      </x:c>
      <x:c r="I81" s="22" t="n">
        <x:v>0</x:v>
      </x:c>
    </x:row>
    <x:row r="82" ht="48" customHeight="1">
      <x:c r="A82" s="12" t="str">
        <x:v>完工时间权重放大</x:v>
      </x:c>
      <x:c r="B82" s="12" t="str">
        <x:v>S001-FOD-01</x:v>
      </x:c>
      <x:c r="C82" s="12" t="str">
        <x:v>S001</x:v>
      </x:c>
      <x:c r="D82" s="12" t="str">
        <x:v>Q2-011</x:v>
      </x:c>
      <x:c r="E82" s="5" t="n">
        <x:v>5</x:v>
      </x:c>
      <x:c r="F82" s="21" t="n">
        <x:v>2797.827</x:v>
      </x:c>
      <x:c r="G82" s="21" t="n">
        <x:v>7200</x:v>
      </x:c>
      <x:c r="H82" s="21"/>
      <x:c r="I82" s="21" t="n">
        <x:v>0</x:v>
      </x:c>
    </x:row>
    <x:row r="83" ht="48" customHeight="1">
      <x:c r="A83" s="16" t="str">
        <x:v>完工时间权重放大</x:v>
      </x:c>
      <x:c r="B83" s="16" t="str">
        <x:v>S001-FOD-02</x:v>
      </x:c>
      <x:c r="C83" s="16" t="str">
        <x:v>S001</x:v>
      </x:c>
      <x:c r="D83" s="16" t="str">
        <x:v>Q2-011</x:v>
      </x:c>
      <x:c r="E83" s="13" t="n">
        <x:v>6</x:v>
      </x:c>
      <x:c r="F83" s="22" t="n">
        <x:v>2833.827</x:v>
      </x:c>
      <x:c r="G83" s="22" t="n">
        <x:v>7200</x:v>
      </x:c>
      <x:c r="H83" s="22"/>
      <x:c r="I83" s="22" t="n">
        <x:v>0</x:v>
      </x:c>
    </x:row>
    <x:row r="84" ht="48" customHeight="1">
      <x:c r="A84" s="12" t="str">
        <x:v>完工时间权重放大</x:v>
      </x:c>
      <x:c r="B84" s="12" t="str">
        <x:v>S001-FOD-03</x:v>
      </x:c>
      <x:c r="C84" s="12" t="str">
        <x:v>S001</x:v>
      </x:c>
      <x:c r="D84" s="12" t="str">
        <x:v>Q2-011</x:v>
      </x:c>
      <x:c r="E84" s="5" t="n">
        <x:v>7</x:v>
      </x:c>
      <x:c r="F84" s="21" t="n">
        <x:v>2869.827</x:v>
      </x:c>
      <x:c r="G84" s="21" t="n">
        <x:v>7200</x:v>
      </x:c>
      <x:c r="H84" s="21"/>
      <x:c r="I84" s="21" t="n">
        <x:v>0</x:v>
      </x:c>
    </x:row>
    <x:row r="85" ht="48" customHeight="1">
      <x:c r="A85" s="16" t="str">
        <x:v>完工时间权重放大</x:v>
      </x:c>
      <x:c r="B85" s="16" t="str">
        <x:v>S001-HYG-01</x:v>
      </x:c>
      <x:c r="C85" s="16" t="str">
        <x:v>S001</x:v>
      </x:c>
      <x:c r="D85" s="16" t="str">
        <x:v>Q2-011</x:v>
      </x:c>
      <x:c r="E85" s="13" t="n">
        <x:v>8</x:v>
      </x:c>
      <x:c r="F85" s="22" t="n">
        <x:v>2905.827</x:v>
      </x:c>
      <x:c r="G85" s="22" t="n">
        <x:v>10800</x:v>
      </x:c>
      <x:c r="H85" s="22"/>
      <x:c r="I85" s="22" t="n">
        <x:v>0</x:v>
      </x:c>
    </x:row>
    <x:row r="86" ht="48" customHeight="1">
      <x:c r="A86" s="12" t="str">
        <x:v>完工时间权重放大</x:v>
      </x:c>
      <x:c r="B86" s="12" t="str">
        <x:v>S001-HYG-02</x:v>
      </x:c>
      <x:c r="C86" s="12" t="str">
        <x:v>S001</x:v>
      </x:c>
      <x:c r="D86" s="12" t="str">
        <x:v>Q2-011</x:v>
      </x:c>
      <x:c r="E86" s="5" t="n">
        <x:v>9</x:v>
      </x:c>
      <x:c r="F86" s="21" t="n">
        <x:v>2941.827</x:v>
      </x:c>
      <x:c r="G86" s="21" t="n">
        <x:v>10800</x:v>
      </x:c>
      <x:c r="H86" s="21"/>
      <x:c r="I86" s="21" t="n">
        <x:v>0</x:v>
      </x:c>
    </x:row>
    <x:row r="87" ht="48" customHeight="1">
      <x:c r="A87" s="16" t="str">
        <x:v>完工时间权重放大</x:v>
      </x:c>
      <x:c r="B87" s="16" t="str">
        <x:v>S001-MED-01</x:v>
      </x:c>
      <x:c r="C87" s="16" t="str">
        <x:v>S001</x:v>
      </x:c>
      <x:c r="D87" s="16" t="str">
        <x:v>Q2-011</x:v>
      </x:c>
      <x:c r="E87" s="13" t="n">
        <x:v>1</x:v>
      </x:c>
      <x:c r="F87" s="22" t="n">
        <x:v>2653.827</x:v>
      </x:c>
      <x:c r="G87" s="22" t="n">
        <x:v>3600</x:v>
      </x:c>
      <x:c r="H87" s="22" t="n">
        <x:v>3600</x:v>
      </x:c>
      <x:c r="I87" s="22" t="n">
        <x:v>0</x:v>
      </x:c>
    </x:row>
    <x:row r="88" ht="48" customHeight="1">
      <x:c r="A88" s="12" t="str">
        <x:v>完工时间权重放大</x:v>
      </x:c>
      <x:c r="B88" s="12" t="str">
        <x:v>S001-MED-02</x:v>
      </x:c>
      <x:c r="C88" s="12" t="str">
        <x:v>S001</x:v>
      </x:c>
      <x:c r="D88" s="12" t="str">
        <x:v>Q2-011</x:v>
      </x:c>
      <x:c r="E88" s="5" t="n">
        <x:v>2</x:v>
      </x:c>
      <x:c r="F88" s="21" t="n">
        <x:v>2689.827</x:v>
      </x:c>
      <x:c r="G88" s="21" t="n">
        <x:v>3600</x:v>
      </x:c>
      <x:c r="H88" s="21" t="n">
        <x:v>3600</x:v>
      </x:c>
      <x:c r="I88" s="21" t="n">
        <x:v>0</x:v>
      </x:c>
    </x:row>
    <x:row r="89" ht="48" customHeight="1">
      <x:c r="A89" s="16" t="str">
        <x:v>完工时间权重放大</x:v>
      </x:c>
      <x:c r="B89" s="16" t="str">
        <x:v>S001-WAT-01</x:v>
      </x:c>
      <x:c r="C89" s="16" t="str">
        <x:v>S001</x:v>
      </x:c>
      <x:c r="D89" s="16" t="str">
        <x:v>Q2-011</x:v>
      </x:c>
      <x:c r="E89" s="13" t="n">
        <x:v>3</x:v>
      </x:c>
      <x:c r="F89" s="22" t="n">
        <x:v>2725.827</x:v>
      </x:c>
      <x:c r="G89" s="22" t="n">
        <x:v>3600</x:v>
      </x:c>
      <x:c r="H89" s="22" t="n">
        <x:v>3600</x:v>
      </x:c>
      <x:c r="I89" s="22" t="n">
        <x:v>0</x:v>
      </x:c>
    </x:row>
    <x:row r="90" ht="48" customHeight="1">
      <x:c r="A90" s="12" t="str">
        <x:v>完工时间权重放大</x:v>
      </x:c>
      <x:c r="B90" s="12" t="str">
        <x:v>S001-WAT-02</x:v>
      </x:c>
      <x:c r="C90" s="12" t="str">
        <x:v>S001</x:v>
      </x:c>
      <x:c r="D90" s="12" t="str">
        <x:v>Q2-011</x:v>
      </x:c>
      <x:c r="E90" s="5" t="n">
        <x:v>4</x:v>
      </x:c>
      <x:c r="F90" s="21" t="n">
        <x:v>2761.827</x:v>
      </x:c>
      <x:c r="G90" s="21" t="n">
        <x:v>3600</x:v>
      </x:c>
      <x:c r="H90" s="21"/>
      <x:c r="I90" s="21" t="n">
        <x:v>0</x:v>
      </x:c>
    </x:row>
    <x:row r="91" ht="48" customHeight="1">
      <x:c r="A91" s="16" t="str">
        <x:v>完工时间权重放大</x:v>
      </x:c>
      <x:c r="B91" s="16" t="str">
        <x:v>S001-WAT-03</x:v>
      </x:c>
      <x:c r="C91" s="16" t="str">
        <x:v>S001</x:v>
      </x:c>
      <x:c r="D91" s="16" t="str">
        <x:v>Q2-024</x:v>
      </x:c>
      <x:c r="E91" s="13" t="n">
        <x:v>3</x:v>
      </x:c>
      <x:c r="F91" s="22" t="n">
        <x:v>6537.171</x:v>
      </x:c>
      <x:c r="G91" s="22" t="n">
        <x:v>3600</x:v>
      </x:c>
      <x:c r="H91" s="22"/>
      <x:c r="I91" s="22" t="n">
        <x:v>2937.1710000000003</x:v>
      </x:c>
    </x:row>
    <x:row r="92" ht="48" customHeight="1">
      <x:c r="A92" s="12" t="str">
        <x:v>完工时间权重放大</x:v>
      </x:c>
      <x:c r="B92" s="12" t="str">
        <x:v>S001-WAT-04</x:v>
      </x:c>
      <x:c r="C92" s="12" t="str">
        <x:v>S001</x:v>
      </x:c>
      <x:c r="D92" s="12" t="str">
        <x:v>Q2-024</x:v>
      </x:c>
      <x:c r="E92" s="5" t="n">
        <x:v>1</x:v>
      </x:c>
      <x:c r="F92" s="21" t="n">
        <x:v>6465.171</x:v>
      </x:c>
      <x:c r="G92" s="21" t="n">
        <x:v>3600</x:v>
      </x:c>
      <x:c r="H92" s="21"/>
      <x:c r="I92" s="21" t="n">
        <x:v>2865.1710000000003</x:v>
      </x:c>
    </x:row>
    <x:row r="93" ht="48" customHeight="1">
      <x:c r="A93" s="16" t="str">
        <x:v>完工时间权重放大</x:v>
      </x:c>
      <x:c r="B93" s="16" t="str">
        <x:v>S001-WAT-05</x:v>
      </x:c>
      <x:c r="C93" s="16" t="str">
        <x:v>S001</x:v>
      </x:c>
      <x:c r="D93" s="16" t="str">
        <x:v>Q2-024</x:v>
      </x:c>
      <x:c r="E93" s="13" t="n">
        <x:v>2</x:v>
      </x:c>
      <x:c r="F93" s="22" t="n">
        <x:v>6501.171</x:v>
      </x:c>
      <x:c r="G93" s="22" t="n">
        <x:v>3600</x:v>
      </x:c>
      <x:c r="H93" s="22"/>
      <x:c r="I93" s="22" t="n">
        <x:v>2901.1710000000003</x:v>
      </x:c>
    </x:row>
    <x:row r="94" ht="48" customHeight="1">
      <x:c r="A94" s="12" t="str">
        <x:v>完工时间权重放大</x:v>
      </x:c>
      <x:c r="B94" s="12" t="str">
        <x:v>S001-WAT-06</x:v>
      </x:c>
      <x:c r="C94" s="12" t="str">
        <x:v>S001</x:v>
      </x:c>
      <x:c r="D94" s="12" t="str">
        <x:v>Q2-024</x:v>
      </x:c>
      <x:c r="E94" s="5" t="n">
        <x:v>4</x:v>
      </x:c>
      <x:c r="F94" s="21" t="n">
        <x:v>6573.171</x:v>
      </x:c>
      <x:c r="G94" s="21" t="n">
        <x:v>3600</x:v>
      </x:c>
      <x:c r="H94" s="21"/>
      <x:c r="I94" s="21" t="n">
        <x:v>2973.1710000000003</x:v>
      </x:c>
    </x:row>
    <x:row r="95" ht="48" customHeight="1">
      <x:c r="A95" s="16" t="str">
        <x:v>完工时间权重放大</x:v>
      </x:c>
      <x:c r="B95" s="16" t="str">
        <x:v>S001-WAT-07</x:v>
      </x:c>
      <x:c r="C95" s="16" t="str">
        <x:v>S001</x:v>
      </x:c>
      <x:c r="D95" s="16" t="str">
        <x:v>Q2-012</x:v>
      </x:c>
      <x:c r="E95" s="13" t="n">
        <x:v>1</x:v>
      </x:c>
      <x:c r="F95" s="22" t="n">
        <x:v>2576.045</x:v>
      </x:c>
      <x:c r="G95" s="22" t="n">
        <x:v>3600</x:v>
      </x:c>
      <x:c r="H95" s="22"/>
      <x:c r="I95" s="22" t="n">
        <x:v>0</x:v>
      </x:c>
    </x:row>
    <x:row r="96" ht="48" customHeight="1">
      <x:c r="A96" s="12" t="str">
        <x:v>完工时间权重放大</x:v>
      </x:c>
      <x:c r="B96" s="12" t="str">
        <x:v>S001-WAT-08</x:v>
      </x:c>
      <x:c r="C96" s="12" t="str">
        <x:v>S001</x:v>
      </x:c>
      <x:c r="D96" s="12" t="str">
        <x:v>Q2-024</x:v>
      </x:c>
      <x:c r="E96" s="5" t="n">
        <x:v>5</x:v>
      </x:c>
      <x:c r="F96" s="21" t="n">
        <x:v>6609.171</x:v>
      </x:c>
      <x:c r="G96" s="21" t="n">
        <x:v>3600</x:v>
      </x:c>
      <x:c r="H96" s="21"/>
      <x:c r="I96" s="21" t="n">
        <x:v>3009.1710000000003</x:v>
      </x:c>
    </x:row>
    <x:row r="97" ht="48" customHeight="1">
      <x:c r="A97" s="16" t="str">
        <x:v>完工时间权重放大</x:v>
      </x:c>
      <x:c r="B97" s="16" t="str">
        <x:v>S002-FOD-01</x:v>
      </x:c>
      <x:c r="C97" s="16" t="str">
        <x:v>S002</x:v>
      </x:c>
      <x:c r="D97" s="16" t="str">
        <x:v>Q2-001</x:v>
      </x:c>
      <x:c r="E97" s="13" t="n">
        <x:v>5</x:v>
      </x:c>
      <x:c r="F97" s="22" t="n">
        <x:v>1481.332</x:v>
      </x:c>
      <x:c r="G97" s="22" t="n">
        <x:v>7200</x:v>
      </x:c>
      <x:c r="H97" s="22"/>
      <x:c r="I97" s="22" t="n">
        <x:v>0</x:v>
      </x:c>
    </x:row>
    <x:row r="98" ht="48" customHeight="1">
      <x:c r="A98" s="12" t="str">
        <x:v>完工时间权重放大</x:v>
      </x:c>
      <x:c r="B98" s="12" t="str">
        <x:v>S002-FOD-02</x:v>
      </x:c>
      <x:c r="C98" s="12" t="str">
        <x:v>S002</x:v>
      </x:c>
      <x:c r="D98" s="12" t="str">
        <x:v>Q2-001</x:v>
      </x:c>
      <x:c r="E98" s="5" t="n">
        <x:v>6</x:v>
      </x:c>
      <x:c r="F98" s="21" t="n">
        <x:v>1517.332</x:v>
      </x:c>
      <x:c r="G98" s="21" t="n">
        <x:v>7200</x:v>
      </x:c>
      <x:c r="H98" s="21"/>
      <x:c r="I98" s="21" t="n">
        <x:v>0</x:v>
      </x:c>
    </x:row>
    <x:row r="99" ht="48" customHeight="1">
      <x:c r="A99" s="16" t="str">
        <x:v>完工时间权重放大</x:v>
      </x:c>
      <x:c r="B99" s="16" t="str">
        <x:v>S002-HYG-01</x:v>
      </x:c>
      <x:c r="C99" s="16" t="str">
        <x:v>S002</x:v>
      </x:c>
      <x:c r="D99" s="16" t="str">
        <x:v>Q2-001</x:v>
      </x:c>
      <x:c r="E99" s="13" t="n">
        <x:v>7</x:v>
      </x:c>
      <x:c r="F99" s="22" t="n">
        <x:v>1553.332</x:v>
      </x:c>
      <x:c r="G99" s="22" t="n">
        <x:v>10800</x:v>
      </x:c>
      <x:c r="H99" s="22"/>
      <x:c r="I99" s="22" t="n">
        <x:v>0</x:v>
      </x:c>
    </x:row>
    <x:row r="100" ht="48" customHeight="1">
      <x:c r="A100" s="12" t="str">
        <x:v>完工时间权重放大</x:v>
      </x:c>
      <x:c r="B100" s="12" t="str">
        <x:v>S002-MED-01</x:v>
      </x:c>
      <x:c r="C100" s="12" t="str">
        <x:v>S002</x:v>
      </x:c>
      <x:c r="D100" s="12" t="str">
        <x:v>Q2-001</x:v>
      </x:c>
      <x:c r="E100" s="5" t="n">
        <x:v>1</x:v>
      </x:c>
      <x:c r="F100" s="21" t="n">
        <x:v>1337.332</x:v>
      </x:c>
      <x:c r="G100" s="21" t="n">
        <x:v>3600</x:v>
      </x:c>
      <x:c r="H100" s="21" t="n">
        <x:v>3600</x:v>
      </x:c>
      <x:c r="I100" s="21" t="n">
        <x:v>0</x:v>
      </x:c>
    </x:row>
    <x:row r="101" ht="48" customHeight="1">
      <x:c r="A101" s="16" t="str">
        <x:v>完工时间权重放大</x:v>
      </x:c>
      <x:c r="B101" s="16" t="str">
        <x:v>S002-WAT-01</x:v>
      </x:c>
      <x:c r="C101" s="16" t="str">
        <x:v>S002</x:v>
      </x:c>
      <x:c r="D101" s="16" t="str">
        <x:v>Q2-001</x:v>
      </x:c>
      <x:c r="E101" s="13" t="n">
        <x:v>2</x:v>
      </x:c>
      <x:c r="F101" s="22" t="n">
        <x:v>1373.332</x:v>
      </x:c>
      <x:c r="G101" s="22" t="n">
        <x:v>3600</x:v>
      </x:c>
      <x:c r="H101" s="22" t="n">
        <x:v>3600</x:v>
      </x:c>
      <x:c r="I101" s="22" t="n">
        <x:v>0</x:v>
      </x:c>
    </x:row>
    <x:row r="102" ht="48" customHeight="1">
      <x:c r="A102" s="12" t="str">
        <x:v>完工时间权重放大</x:v>
      </x:c>
      <x:c r="B102" s="12" t="str">
        <x:v>S002-WAT-02</x:v>
      </x:c>
      <x:c r="C102" s="12" t="str">
        <x:v>S002</x:v>
      </x:c>
      <x:c r="D102" s="12" t="str">
        <x:v>Q2-013</x:v>
      </x:c>
      <x:c r="E102" s="5" t="n">
        <x:v>1</x:v>
      </x:c>
      <x:c r="F102" s="21" t="n">
        <x:v>2951.296</x:v>
      </x:c>
      <x:c r="G102" s="21" t="n">
        <x:v>3600</x:v>
      </x:c>
      <x:c r="H102" s="21"/>
      <x:c r="I102" s="21" t="n">
        <x:v>0</x:v>
      </x:c>
    </x:row>
    <x:row r="103" ht="48" customHeight="1">
      <x:c r="A103" s="16" t="str">
        <x:v>完工时间权重放大</x:v>
      </x:c>
      <x:c r="B103" s="16" t="str">
        <x:v>S002-WAT-03</x:v>
      </x:c>
      <x:c r="C103" s="16" t="str">
        <x:v>S002</x:v>
      </x:c>
      <x:c r="D103" s="16" t="str">
        <x:v>Q2-001</x:v>
      </x:c>
      <x:c r="E103" s="13" t="n">
        <x:v>3</x:v>
      </x:c>
      <x:c r="F103" s="22" t="n">
        <x:v>1409.332</x:v>
      </x:c>
      <x:c r="G103" s="22" t="n">
        <x:v>3600</x:v>
      </x:c>
      <x:c r="H103" s="22"/>
      <x:c r="I103" s="22" t="n">
        <x:v>0</x:v>
      </x:c>
    </x:row>
    <x:row r="104" ht="48" customHeight="1">
      <x:c r="A104" s="12" t="str">
        <x:v>完工时间权重放大</x:v>
      </x:c>
      <x:c r="B104" s="12" t="str">
        <x:v>S002-WAT-04</x:v>
      </x:c>
      <x:c r="C104" s="12" t="str">
        <x:v>S002</x:v>
      </x:c>
      <x:c r="D104" s="12" t="str">
        <x:v>Q2-001</x:v>
      </x:c>
      <x:c r="E104" s="5" t="n">
        <x:v>4</x:v>
      </x:c>
      <x:c r="F104" s="21" t="n">
        <x:v>1445.332</x:v>
      </x:c>
      <x:c r="G104" s="21" t="n">
        <x:v>3600</x:v>
      </x:c>
      <x:c r="H104" s="21"/>
      <x:c r="I104" s="21" t="n">
        <x:v>0</x:v>
      </x:c>
    </x:row>
    <x:row r="105" ht="48" customHeight="1">
      <x:c r="A105" s="16" t="str">
        <x:v>完工时间权重放大</x:v>
      </x:c>
      <x:c r="B105" s="16" t="str">
        <x:v>S003-FOD-01</x:v>
      </x:c>
      <x:c r="C105" s="16" t="str">
        <x:v>S003</x:v>
      </x:c>
      <x:c r="D105" s="16" t="str">
        <x:v>Q2-014</x:v>
      </x:c>
      <x:c r="E105" s="13" t="n">
        <x:v>5</x:v>
      </x:c>
      <x:c r="F105" s="22" t="n">
        <x:v>3813.393</x:v>
      </x:c>
      <x:c r="G105" s="22" t="n">
        <x:v>10800</x:v>
      </x:c>
      <x:c r="H105" s="22"/>
      <x:c r="I105" s="22" t="n">
        <x:v>0</x:v>
      </x:c>
    </x:row>
    <x:row r="106" ht="48" customHeight="1">
      <x:c r="A106" s="12" t="str">
        <x:v>完工时间权重放大</x:v>
      </x:c>
      <x:c r="B106" s="12" t="str">
        <x:v>S003-FOD-02</x:v>
      </x:c>
      <x:c r="C106" s="12" t="str">
        <x:v>S003</x:v>
      </x:c>
      <x:c r="D106" s="12" t="str">
        <x:v>Q2-014</x:v>
      </x:c>
      <x:c r="E106" s="5" t="n">
        <x:v>6</x:v>
      </x:c>
      <x:c r="F106" s="21" t="n">
        <x:v>3849.393</x:v>
      </x:c>
      <x:c r="G106" s="21" t="n">
        <x:v>10800</x:v>
      </x:c>
      <x:c r="H106" s="21"/>
      <x:c r="I106" s="21" t="n">
        <x:v>0</x:v>
      </x:c>
    </x:row>
    <x:row r="107" ht="48" customHeight="1">
      <x:c r="A107" s="16" t="str">
        <x:v>完工时间权重放大</x:v>
      </x:c>
      <x:c r="B107" s="16" t="str">
        <x:v>S003-HYG-01</x:v>
      </x:c>
      <x:c r="C107" s="16" t="str">
        <x:v>S003</x:v>
      </x:c>
      <x:c r="D107" s="16" t="str">
        <x:v>Q2-014</x:v>
      </x:c>
      <x:c r="E107" s="13" t="n">
        <x:v>7</x:v>
      </x:c>
      <x:c r="F107" s="22" t="n">
        <x:v>3885.393</x:v>
      </x:c>
      <x:c r="G107" s="22" t="n">
        <x:v>14400</x:v>
      </x:c>
      <x:c r="H107" s="22"/>
      <x:c r="I107" s="22" t="n">
        <x:v>0</x:v>
      </x:c>
    </x:row>
    <x:row r="108" ht="48" customHeight="1">
      <x:c r="A108" s="12" t="str">
        <x:v>完工时间权重放大</x:v>
      </x:c>
      <x:c r="B108" s="12" t="str">
        <x:v>S003-MED-01</x:v>
      </x:c>
      <x:c r="C108" s="12" t="str">
        <x:v>S003</x:v>
      </x:c>
      <x:c r="D108" s="12" t="str">
        <x:v>Q2-014</x:v>
      </x:c>
      <x:c r="E108" s="5" t="n">
        <x:v>1</x:v>
      </x:c>
      <x:c r="F108" s="21" t="n">
        <x:v>3669.393</x:v>
      </x:c>
      <x:c r="G108" s="21" t="n">
        <x:v>7200</x:v>
      </x:c>
      <x:c r="H108" s="21" t="n">
        <x:v>7200</x:v>
      </x:c>
      <x:c r="I108" s="21" t="n">
        <x:v>0</x:v>
      </x:c>
    </x:row>
    <x:row r="109" ht="48" customHeight="1">
      <x:c r="A109" s="16" t="str">
        <x:v>完工时间权重放大</x:v>
      </x:c>
      <x:c r="B109" s="16" t="str">
        <x:v>S003-WAT-01</x:v>
      </x:c>
      <x:c r="C109" s="16" t="str">
        <x:v>S003</x:v>
      </x:c>
      <x:c r="D109" s="16" t="str">
        <x:v>Q2-014</x:v>
      </x:c>
      <x:c r="E109" s="13" t="n">
        <x:v>2</x:v>
      </x:c>
      <x:c r="F109" s="22" t="n">
        <x:v>3705.393</x:v>
      </x:c>
      <x:c r="G109" s="22" t="n">
        <x:v>7200</x:v>
      </x:c>
      <x:c r="H109" s="22" t="n">
        <x:v>7200</x:v>
      </x:c>
      <x:c r="I109" s="22" t="n">
        <x:v>0</x:v>
      </x:c>
    </x:row>
    <x:row r="110" ht="48" customHeight="1">
      <x:c r="A110" s="12" t="str">
        <x:v>完工时间权重放大</x:v>
      </x:c>
      <x:c r="B110" s="12" t="str">
        <x:v>S003-WAT-02</x:v>
      </x:c>
      <x:c r="C110" s="12" t="str">
        <x:v>S003</x:v>
      </x:c>
      <x:c r="D110" s="12" t="str">
        <x:v>Q2-014</x:v>
      </x:c>
      <x:c r="E110" s="5" t="n">
        <x:v>3</x:v>
      </x:c>
      <x:c r="F110" s="21" t="n">
        <x:v>3741.393</x:v>
      </x:c>
      <x:c r="G110" s="21" t="n">
        <x:v>7200</x:v>
      </x:c>
      <x:c r="H110" s="21"/>
      <x:c r="I110" s="21" t="n">
        <x:v>0</x:v>
      </x:c>
    </x:row>
    <x:row r="111" ht="48" customHeight="1">
      <x:c r="A111" s="16" t="str">
        <x:v>完工时间权重放大</x:v>
      </x:c>
      <x:c r="B111" s="16" t="str">
        <x:v>S003-WAT-03</x:v>
      </x:c>
      <x:c r="C111" s="16" t="str">
        <x:v>S003</x:v>
      </x:c>
      <x:c r="D111" s="16" t="str">
        <x:v>Q2-016</x:v>
      </x:c>
      <x:c r="E111" s="13" t="n">
        <x:v>1</x:v>
      </x:c>
      <x:c r="F111" s="22" t="n">
        <x:v>4146.2</x:v>
      </x:c>
      <x:c r="G111" s="22" t="n">
        <x:v>7200</x:v>
      </x:c>
      <x:c r="H111" s="22"/>
      <x:c r="I111" s="22" t="n">
        <x:v>0</x:v>
      </x:c>
    </x:row>
    <x:row r="112" ht="48" customHeight="1">
      <x:c r="A112" s="12" t="str">
        <x:v>完工时间权重放大</x:v>
      </x:c>
      <x:c r="B112" s="12" t="str">
        <x:v>S003-WAT-04</x:v>
      </x:c>
      <x:c r="C112" s="12" t="str">
        <x:v>S003</x:v>
      </x:c>
      <x:c r="D112" s="12" t="str">
        <x:v>Q2-014</x:v>
      </x:c>
      <x:c r="E112" s="5" t="n">
        <x:v>4</x:v>
      </x:c>
      <x:c r="F112" s="21" t="n">
        <x:v>3777.393</x:v>
      </x:c>
      <x:c r="G112" s="21" t="n">
        <x:v>7200</x:v>
      </x:c>
      <x:c r="H112" s="21"/>
      <x:c r="I112" s="21" t="n">
        <x:v>0</x:v>
      </x:c>
    </x:row>
    <x:row r="113" ht="48" customHeight="1">
      <x:c r="A113" s="16" t="str">
        <x:v>完工时间权重放大</x:v>
      </x:c>
      <x:c r="B113" s="16" t="str">
        <x:v>S004-FOD-01</x:v>
      </x:c>
      <x:c r="C113" s="16" t="str">
        <x:v>S004</x:v>
      </x:c>
      <x:c r="D113" s="16" t="str">
        <x:v>Q2-010</x:v>
      </x:c>
      <x:c r="E113" s="13" t="n">
        <x:v>2</x:v>
      </x:c>
      <x:c r="F113" s="22" t="n">
        <x:v>3092.071</x:v>
      </x:c>
      <x:c r="G113" s="22" t="n">
        <x:v>10800</x:v>
      </x:c>
      <x:c r="H113" s="22"/>
      <x:c r="I113" s="22" t="n">
        <x:v>0</x:v>
      </x:c>
    </x:row>
    <x:row r="114" ht="48" customHeight="1">
      <x:c r="A114" s="12" t="str">
        <x:v>完工时间权重放大</x:v>
      </x:c>
      <x:c r="B114" s="12" t="str">
        <x:v>S004-HYG-01</x:v>
      </x:c>
      <x:c r="C114" s="12" t="str">
        <x:v>S004</x:v>
      </x:c>
      <x:c r="D114" s="12" t="str">
        <x:v>Q2-022</x:v>
      </x:c>
      <x:c r="E114" s="5" t="n">
        <x:v>4</x:v>
      </x:c>
      <x:c r="F114" s="21" t="n">
        <x:v>6159.772</x:v>
      </x:c>
      <x:c r="G114" s="21" t="n">
        <x:v>14400</x:v>
      </x:c>
      <x:c r="H114" s="21"/>
      <x:c r="I114" s="21" t="n">
        <x:v>0</x:v>
      </x:c>
    </x:row>
    <x:row r="115" ht="48" customHeight="1">
      <x:c r="A115" s="16" t="str">
        <x:v>完工时间权重放大</x:v>
      </x:c>
      <x:c r="B115" s="16" t="str">
        <x:v>S004-MED-01</x:v>
      </x:c>
      <x:c r="C115" s="16" t="str">
        <x:v>S004</x:v>
      </x:c>
      <x:c r="D115" s="16" t="str">
        <x:v>Q2-010</x:v>
      </x:c>
      <x:c r="E115" s="13" t="n">
        <x:v>1</x:v>
      </x:c>
      <x:c r="F115" s="22" t="n">
        <x:v>3062.071</x:v>
      </x:c>
      <x:c r="G115" s="22" t="n">
        <x:v>7200</x:v>
      </x:c>
      <x:c r="H115" s="22" t="n">
        <x:v>7200</x:v>
      </x:c>
      <x:c r="I115" s="22" t="n">
        <x:v>0</x:v>
      </x:c>
    </x:row>
    <x:row r="116" ht="48" customHeight="1">
      <x:c r="A116" s="12" t="str">
        <x:v>完工时间权重放大</x:v>
      </x:c>
      <x:c r="B116" s="12" t="str">
        <x:v>S004-WAT-01</x:v>
      </x:c>
      <x:c r="C116" s="12" t="str">
        <x:v>S004</x:v>
      </x:c>
      <x:c r="D116" s="12" t="str">
        <x:v>Q2-022</x:v>
      </x:c>
      <x:c r="E116" s="5" t="n">
        <x:v>1</x:v>
      </x:c>
      <x:c r="F116" s="21" t="n">
        <x:v>6051.772</x:v>
      </x:c>
      <x:c r="G116" s="21" t="n">
        <x:v>7200</x:v>
      </x:c>
      <x:c r="H116" s="21" t="n">
        <x:v>7200</x:v>
      </x:c>
      <x:c r="I116" s="21" t="n">
        <x:v>0</x:v>
      </x:c>
    </x:row>
    <x:row r="117" ht="48" customHeight="1">
      <x:c r="A117" s="16" t="str">
        <x:v>完工时间权重放大</x:v>
      </x:c>
      <x:c r="B117" s="16" t="str">
        <x:v>S004-WAT-02</x:v>
      </x:c>
      <x:c r="C117" s="16" t="str">
        <x:v>S004</x:v>
      </x:c>
      <x:c r="D117" s="16" t="str">
        <x:v>Q2-022</x:v>
      </x:c>
      <x:c r="E117" s="13" t="n">
        <x:v>2</x:v>
      </x:c>
      <x:c r="F117" s="22" t="n">
        <x:v>6087.772</x:v>
      </x:c>
      <x:c r="G117" s="22" t="n">
        <x:v>7200</x:v>
      </x:c>
      <x:c r="H117" s="22"/>
      <x:c r="I117" s="22" t="n">
        <x:v>0</x:v>
      </x:c>
    </x:row>
    <x:row r="118" ht="48" customHeight="1">
      <x:c r="A118" s="12" t="str">
        <x:v>完工时间权重放大</x:v>
      </x:c>
      <x:c r="B118" s="12" t="str">
        <x:v>S004-WAT-03</x:v>
      </x:c>
      <x:c r="C118" s="12" t="str">
        <x:v>S004</x:v>
      </x:c>
      <x:c r="D118" s="12" t="str">
        <x:v>Q2-022</x:v>
      </x:c>
      <x:c r="E118" s="5" t="n">
        <x:v>3</x:v>
      </x:c>
      <x:c r="F118" s="21" t="n">
        <x:v>6123.772</x:v>
      </x:c>
      <x:c r="G118" s="21" t="n">
        <x:v>7200</x:v>
      </x:c>
      <x:c r="H118" s="21"/>
      <x:c r="I118" s="21" t="n">
        <x:v>0</x:v>
      </x:c>
    </x:row>
    <x:row r="119" ht="48" customHeight="1">
      <x:c r="A119" s="16" t="str">
        <x:v>完工时间权重放大</x:v>
      </x:c>
      <x:c r="B119" s="16" t="str">
        <x:v>S005-FOD-01</x:v>
      </x:c>
      <x:c r="C119" s="16" t="str">
        <x:v>S005</x:v>
      </x:c>
      <x:c r="D119" s="16" t="str">
        <x:v>Q2-018</x:v>
      </x:c>
      <x:c r="E119" s="13" t="n">
        <x:v>5</x:v>
      </x:c>
      <x:c r="F119" s="22" t="n">
        <x:v>4988.938</x:v>
      </x:c>
      <x:c r="G119" s="22" t="n">
        <x:v>14400</x:v>
      </x:c>
      <x:c r="H119" s="22"/>
      <x:c r="I119" s="22" t="n">
        <x:v>0</x:v>
      </x:c>
    </x:row>
    <x:row r="120" ht="48" customHeight="1">
      <x:c r="A120" s="12" t="str">
        <x:v>完工时间权重放大</x:v>
      </x:c>
      <x:c r="B120" s="12" t="str">
        <x:v>S005-HYG-01</x:v>
      </x:c>
      <x:c r="C120" s="12" t="str">
        <x:v>S005</x:v>
      </x:c>
      <x:c r="D120" s="12" t="str">
        <x:v>Q2-018</x:v>
      </x:c>
      <x:c r="E120" s="5" t="n">
        <x:v>4</x:v>
      </x:c>
      <x:c r="F120" s="21" t="n">
        <x:v>4952.938</x:v>
      </x:c>
      <x:c r="G120" s="21" t="n">
        <x:v>18000</x:v>
      </x:c>
      <x:c r="H120" s="21"/>
      <x:c r="I120" s="21" t="n">
        <x:v>0</x:v>
      </x:c>
    </x:row>
    <x:row r="121" ht="48" customHeight="1">
      <x:c r="A121" s="16" t="str">
        <x:v>完工时间权重放大</x:v>
      </x:c>
      <x:c r="B121" s="16" t="str">
        <x:v>S005-MED-01</x:v>
      </x:c>
      <x:c r="C121" s="16" t="str">
        <x:v>S005</x:v>
      </x:c>
      <x:c r="D121" s="16" t="str">
        <x:v>Q2-018</x:v>
      </x:c>
      <x:c r="E121" s="13" t="n">
        <x:v>1</x:v>
      </x:c>
      <x:c r="F121" s="22" t="n">
        <x:v>4844.938</x:v>
      </x:c>
      <x:c r="G121" s="22" t="n">
        <x:v>10800</x:v>
      </x:c>
      <x:c r="H121" s="22" t="n">
        <x:v>10800</x:v>
      </x:c>
      <x:c r="I121" s="22" t="n">
        <x:v>0</x:v>
      </x:c>
    </x:row>
    <x:row r="122" ht="48" customHeight="1">
      <x:c r="A122" s="12" t="str">
        <x:v>完工时间权重放大</x:v>
      </x:c>
      <x:c r="B122" s="12" t="str">
        <x:v>S005-WAT-01</x:v>
      </x:c>
      <x:c r="C122" s="12" t="str">
        <x:v>S005</x:v>
      </x:c>
      <x:c r="D122" s="12" t="str">
        <x:v>Q2-018</x:v>
      </x:c>
      <x:c r="E122" s="5" t="n">
        <x:v>2</x:v>
      </x:c>
      <x:c r="F122" s="21" t="n">
        <x:v>4880.938</x:v>
      </x:c>
      <x:c r="G122" s="21" t="n">
        <x:v>10800</x:v>
      </x:c>
      <x:c r="H122" s="21" t="n">
        <x:v>10800</x:v>
      </x:c>
      <x:c r="I122" s="21" t="n">
        <x:v>0</x:v>
      </x:c>
    </x:row>
    <x:row r="123" ht="48" customHeight="1">
      <x:c r="A123" s="16" t="str">
        <x:v>完工时间权重放大</x:v>
      </x:c>
      <x:c r="B123" s="16" t="str">
        <x:v>S005-WAT-02</x:v>
      </x:c>
      <x:c r="C123" s="16" t="str">
        <x:v>S005</x:v>
      </x:c>
      <x:c r="D123" s="16" t="str">
        <x:v>Q2-018</x:v>
      </x:c>
      <x:c r="E123" s="13" t="n">
        <x:v>3</x:v>
      </x:c>
      <x:c r="F123" s="22" t="n">
        <x:v>4916.938</x:v>
      </x:c>
      <x:c r="G123" s="22" t="n">
        <x:v>10800</x:v>
      </x:c>
      <x:c r="H123" s="22"/>
      <x:c r="I123" s="22" t="n">
        <x:v>0</x:v>
      </x:c>
    </x:row>
    <x:row r="124" ht="48" customHeight="1">
      <x:c r="A124" s="12" t="str">
        <x:v>完工时间权重放大</x:v>
      </x:c>
      <x:c r="B124" s="12" t="str">
        <x:v>S005-WAT-03</x:v>
      </x:c>
      <x:c r="C124" s="12" t="str">
        <x:v>S005</x:v>
      </x:c>
      <x:c r="D124" s="12" t="str">
        <x:v>Q2-010</x:v>
      </x:c>
      <x:c r="E124" s="5" t="n">
        <x:v>1</x:v>
      </x:c>
      <x:c r="F124" s="21" t="n">
        <x:v>2596.246</x:v>
      </x:c>
      <x:c r="G124" s="21" t="n">
        <x:v>10800</x:v>
      </x:c>
      <x:c r="H124" s="21"/>
      <x:c r="I124" s="21" t="n">
        <x:v>0</x:v>
      </x:c>
    </x:row>
    <x:row r="125" ht="48" customHeight="1">
      <x:c r="A125" s="16" t="str">
        <x:v>完工时间权重放大</x:v>
      </x:c>
      <x:c r="B125" s="16" t="str">
        <x:v>S006-FOD-01</x:v>
      </x:c>
      <x:c r="C125" s="16" t="str">
        <x:v>S006</x:v>
      </x:c>
      <x:c r="D125" s="16" t="str">
        <x:v>Q2-008</x:v>
      </x:c>
      <x:c r="E125" s="13" t="n">
        <x:v>5</x:v>
      </x:c>
      <x:c r="F125" s="22" t="n">
        <x:v>1173.422</x:v>
      </x:c>
      <x:c r="G125" s="22" t="n">
        <x:v>7200</x:v>
      </x:c>
      <x:c r="H125" s="22"/>
      <x:c r="I125" s="22" t="n">
        <x:v>0</x:v>
      </x:c>
    </x:row>
    <x:row r="126" ht="48" customHeight="1">
      <x:c r="A126" s="12" t="str">
        <x:v>完工时间权重放大</x:v>
      </x:c>
      <x:c r="B126" s="12" t="str">
        <x:v>S006-HYG-01</x:v>
      </x:c>
      <x:c r="C126" s="12" t="str">
        <x:v>S006</x:v>
      </x:c>
      <x:c r="D126" s="12" t="str">
        <x:v>Q2-008</x:v>
      </x:c>
      <x:c r="E126" s="5" t="n">
        <x:v>6</x:v>
      </x:c>
      <x:c r="F126" s="21" t="n">
        <x:v>1209.422</x:v>
      </x:c>
      <x:c r="G126" s="21" t="n">
        <x:v>10800</x:v>
      </x:c>
      <x:c r="H126" s="21"/>
      <x:c r="I126" s="21" t="n">
        <x:v>0</x:v>
      </x:c>
    </x:row>
    <x:row r="127" ht="48" customHeight="1">
      <x:c r="A127" s="16" t="str">
        <x:v>完工时间权重放大</x:v>
      </x:c>
      <x:c r="B127" s="16" t="str">
        <x:v>S006-MED-01</x:v>
      </x:c>
      <x:c r="C127" s="16" t="str">
        <x:v>S006</x:v>
      </x:c>
      <x:c r="D127" s="16" t="str">
        <x:v>Q2-008</x:v>
      </x:c>
      <x:c r="E127" s="13" t="n">
        <x:v>1</x:v>
      </x:c>
      <x:c r="F127" s="22" t="n">
        <x:v>1029.422</x:v>
      </x:c>
      <x:c r="G127" s="22" t="n">
        <x:v>3600</x:v>
      </x:c>
      <x:c r="H127" s="22" t="n">
        <x:v>3600</x:v>
      </x:c>
      <x:c r="I127" s="22" t="n">
        <x:v>0</x:v>
      </x:c>
    </x:row>
    <x:row r="128" ht="48" customHeight="1">
      <x:c r="A128" s="12" t="str">
        <x:v>完工时间权重放大</x:v>
      </x:c>
      <x:c r="B128" s="12" t="str">
        <x:v>S006-WAT-01</x:v>
      </x:c>
      <x:c r="C128" s="12" t="str">
        <x:v>S006</x:v>
      </x:c>
      <x:c r="D128" s="12" t="str">
        <x:v>Q2-008</x:v>
      </x:c>
      <x:c r="E128" s="5" t="n">
        <x:v>2</x:v>
      </x:c>
      <x:c r="F128" s="21" t="n">
        <x:v>1065.422</x:v>
      </x:c>
      <x:c r="G128" s="21" t="n">
        <x:v>3600</x:v>
      </x:c>
      <x:c r="H128" s="21" t="n">
        <x:v>3600</x:v>
      </x:c>
      <x:c r="I128" s="21" t="n">
        <x:v>0</x:v>
      </x:c>
    </x:row>
    <x:row r="129" ht="48" customHeight="1">
      <x:c r="A129" s="16" t="str">
        <x:v>完工时间权重放大</x:v>
      </x:c>
      <x:c r="B129" s="16" t="str">
        <x:v>S006-WAT-02</x:v>
      </x:c>
      <x:c r="C129" s="16" t="str">
        <x:v>S006</x:v>
      </x:c>
      <x:c r="D129" s="16" t="str">
        <x:v>Q2-008</x:v>
      </x:c>
      <x:c r="E129" s="13" t="n">
        <x:v>3</x:v>
      </x:c>
      <x:c r="F129" s="22" t="n">
        <x:v>1101.422</x:v>
      </x:c>
      <x:c r="G129" s="22" t="n">
        <x:v>3600</x:v>
      </x:c>
      <x:c r="H129" s="22"/>
      <x:c r="I129" s="22" t="n">
        <x:v>0</x:v>
      </x:c>
    </x:row>
    <x:row r="130" ht="48" customHeight="1">
      <x:c r="A130" s="12" t="str">
        <x:v>完工时间权重放大</x:v>
      </x:c>
      <x:c r="B130" s="12" t="str">
        <x:v>S006-WAT-03</x:v>
      </x:c>
      <x:c r="C130" s="12" t="str">
        <x:v>S006</x:v>
      </x:c>
      <x:c r="D130" s="12" t="str">
        <x:v>Q2-008</x:v>
      </x:c>
      <x:c r="E130" s="5" t="n">
        <x:v>4</x:v>
      </x:c>
      <x:c r="F130" s="21" t="n">
        <x:v>1137.422</x:v>
      </x:c>
      <x:c r="G130" s="21" t="n">
        <x:v>3600</x:v>
      </x:c>
      <x:c r="H130" s="21"/>
      <x:c r="I130" s="21" t="n">
        <x:v>0</x:v>
      </x:c>
    </x:row>
    <x:row r="131" ht="48" customHeight="1">
      <x:c r="A131" s="16" t="str">
        <x:v>完工时间权重放大</x:v>
      </x:c>
      <x:c r="B131" s="16" t="str">
        <x:v>S007-FOD-01</x:v>
      </x:c>
      <x:c r="C131" s="16" t="str">
        <x:v>S007</x:v>
      </x:c>
      <x:c r="D131" s="16" t="str">
        <x:v>Q2-004</x:v>
      </x:c>
      <x:c r="E131" s="13" t="n">
        <x:v>2</x:v>
      </x:c>
      <x:c r="F131" s="22" t="n">
        <x:v>1141.374</x:v>
      </x:c>
      <x:c r="G131" s="22" t="n">
        <x:v>7200</x:v>
      </x:c>
      <x:c r="H131" s="22"/>
      <x:c r="I131" s="22" t="n">
        <x:v>0</x:v>
      </x:c>
    </x:row>
    <x:row r="132" ht="48" customHeight="1">
      <x:c r="A132" s="12" t="str">
        <x:v>完工时间权重放大</x:v>
      </x:c>
      <x:c r="B132" s="12" t="str">
        <x:v>S007-HYG-01</x:v>
      </x:c>
      <x:c r="C132" s="12" t="str">
        <x:v>S007</x:v>
      </x:c>
      <x:c r="D132" s="12" t="str">
        <x:v>Q2-007</x:v>
      </x:c>
      <x:c r="E132" s="5" t="n">
        <x:v>2</x:v>
      </x:c>
      <x:c r="F132" s="21" t="n">
        <x:v>1141.374</x:v>
      </x:c>
      <x:c r="G132" s="21" t="n">
        <x:v>10800</x:v>
      </x:c>
      <x:c r="H132" s="21"/>
      <x:c r="I132" s="21" t="n">
        <x:v>0</x:v>
      </x:c>
    </x:row>
    <x:row r="133" ht="48" customHeight="1">
      <x:c r="A133" s="16" t="str">
        <x:v>完工时间权重放大</x:v>
      </x:c>
      <x:c r="B133" s="16" t="str">
        <x:v>S007-MED-01</x:v>
      </x:c>
      <x:c r="C133" s="16" t="str">
        <x:v>S007</x:v>
      </x:c>
      <x:c r="D133" s="16" t="str">
        <x:v>Q2-007</x:v>
      </x:c>
      <x:c r="E133" s="13" t="n">
        <x:v>1</x:v>
      </x:c>
      <x:c r="F133" s="22" t="n">
        <x:v>1111.374</x:v>
      </x:c>
      <x:c r="G133" s="22" t="n">
        <x:v>3600</x:v>
      </x:c>
      <x:c r="H133" s="22" t="n">
        <x:v>3600</x:v>
      </x:c>
      <x:c r="I133" s="22" t="n">
        <x:v>0</x:v>
      </x:c>
    </x:row>
    <x:row r="134" ht="48" customHeight="1">
      <x:c r="A134" s="12" t="str">
        <x:v>完工时间权重放大</x:v>
      </x:c>
      <x:c r="B134" s="12" t="str">
        <x:v>S007-WAT-01</x:v>
      </x:c>
      <x:c r="C134" s="12" t="str">
        <x:v>S007</x:v>
      </x:c>
      <x:c r="D134" s="12" t="str">
        <x:v>Q2-004</x:v>
      </x:c>
      <x:c r="E134" s="5" t="n">
        <x:v>1</x:v>
      </x:c>
      <x:c r="F134" s="21" t="n">
        <x:v>1111.374</x:v>
      </x:c>
      <x:c r="G134" s="21" t="n">
        <x:v>3600</x:v>
      </x:c>
      <x:c r="H134" s="21" t="n">
        <x:v>3600</x:v>
      </x:c>
      <x:c r="I134" s="21" t="n">
        <x:v>0</x:v>
      </x:c>
    </x:row>
    <x:row r="135" ht="48" customHeight="1">
      <x:c r="A135" s="16" t="str">
        <x:v>完工时间权重放大</x:v>
      </x:c>
      <x:c r="B135" s="16" t="str">
        <x:v>S007-WAT-02</x:v>
      </x:c>
      <x:c r="C135" s="16" t="str">
        <x:v>S007</x:v>
      </x:c>
      <x:c r="D135" s="16" t="str">
        <x:v>Q2-015</x:v>
      </x:c>
      <x:c r="E135" s="13" t="n">
        <x:v>1</x:v>
      </x:c>
      <x:c r="F135" s="22" t="n">
        <x:v>3836.788</x:v>
      </x:c>
      <x:c r="G135" s="22" t="n">
        <x:v>3600</x:v>
      </x:c>
      <x:c r="H135" s="22"/>
      <x:c r="I135" s="22" t="n">
        <x:v>236.788</x:v>
      </x:c>
    </x:row>
    <x:row r="136" ht="48" customHeight="1">
      <x:c r="A136" s="12" t="str">
        <x:v>完工时间权重放大</x:v>
      </x:c>
      <x:c r="B136" s="12" t="str">
        <x:v>S008-FOD-01</x:v>
      </x:c>
      <x:c r="C136" s="12" t="str">
        <x:v>S008</x:v>
      </x:c>
      <x:c r="D136" s="12" t="str">
        <x:v>Q2-021</x:v>
      </x:c>
      <x:c r="E136" s="5" t="n">
        <x:v>3</x:v>
      </x:c>
      <x:c r="F136" s="21" t="n">
        <x:v>5062.394</x:v>
      </x:c>
      <x:c r="G136" s="21" t="n">
        <x:v>10800</x:v>
      </x:c>
      <x:c r="H136" s="21"/>
      <x:c r="I136" s="21" t="n">
        <x:v>0</x:v>
      </x:c>
    </x:row>
    <x:row r="137" ht="48" customHeight="1">
      <x:c r="A137" s="16" t="str">
        <x:v>完工时间权重放大</x:v>
      </x:c>
      <x:c r="B137" s="16" t="str">
        <x:v>S008-HYG-01</x:v>
      </x:c>
      <x:c r="C137" s="16" t="str">
        <x:v>S008</x:v>
      </x:c>
      <x:c r="D137" s="16" t="str">
        <x:v>Q2-020</x:v>
      </x:c>
      <x:c r="E137" s="13" t="n">
        <x:v>1</x:v>
      </x:c>
      <x:c r="F137" s="22" t="n">
        <x:v>4977.044</x:v>
      </x:c>
      <x:c r="G137" s="22" t="n">
        <x:v>14400</x:v>
      </x:c>
      <x:c r="H137" s="22"/>
      <x:c r="I137" s="22" t="n">
        <x:v>0</x:v>
      </x:c>
    </x:row>
    <x:row r="138" ht="48" customHeight="1">
      <x:c r="A138" s="12" t="str">
        <x:v>完工时间权重放大</x:v>
      </x:c>
      <x:c r="B138" s="12" t="str">
        <x:v>S008-MED-01</x:v>
      </x:c>
      <x:c r="C138" s="12" t="str">
        <x:v>S008</x:v>
      </x:c>
      <x:c r="D138" s="12" t="str">
        <x:v>Q2-021</x:v>
      </x:c>
      <x:c r="E138" s="5" t="n">
        <x:v>1</x:v>
      </x:c>
      <x:c r="F138" s="21" t="n">
        <x:v>5002.394</x:v>
      </x:c>
      <x:c r="G138" s="21" t="n">
        <x:v>7200</x:v>
      </x:c>
      <x:c r="H138" s="21" t="n">
        <x:v>7200</x:v>
      </x:c>
      <x:c r="I138" s="21" t="n">
        <x:v>0</x:v>
      </x:c>
    </x:row>
    <x:row r="139" ht="48" customHeight="1">
      <x:c r="A139" s="16" t="str">
        <x:v>完工时间权重放大</x:v>
      </x:c>
      <x:c r="B139" s="16" t="str">
        <x:v>S008-WAT-01</x:v>
      </x:c>
      <x:c r="C139" s="16" t="str">
        <x:v>S008</x:v>
      </x:c>
      <x:c r="D139" s="16" t="str">
        <x:v>Q2-021</x:v>
      </x:c>
      <x:c r="E139" s="13" t="n">
        <x:v>2</x:v>
      </x:c>
      <x:c r="F139" s="22" t="n">
        <x:v>5032.394</x:v>
      </x:c>
      <x:c r="G139" s="22" t="n">
        <x:v>7200</x:v>
      </x:c>
      <x:c r="H139" s="22" t="n">
        <x:v>7200</x:v>
      </x:c>
      <x:c r="I139" s="22" t="n">
        <x:v>0</x:v>
      </x:c>
    </x:row>
    <x:row r="140" ht="48" customHeight="1">
      <x:c r="A140" s="12" t="str">
        <x:v>完工时间权重放大</x:v>
      </x:c>
      <x:c r="B140" s="12" t="str">
        <x:v>S008-WAT-02</x:v>
      </x:c>
      <x:c r="C140" s="12" t="str">
        <x:v>S008</x:v>
      </x:c>
      <x:c r="D140" s="12" t="str">
        <x:v>Q2-017</x:v>
      </x:c>
      <x:c r="E140" s="5" t="n">
        <x:v>1</x:v>
      </x:c>
      <x:c r="F140" s="21" t="n">
        <x:v>4386.671</x:v>
      </x:c>
      <x:c r="G140" s="21" t="n">
        <x:v>7200</x:v>
      </x:c>
      <x:c r="H140" s="21"/>
      <x:c r="I140" s="21" t="n">
        <x:v>0</x:v>
      </x:c>
    </x:row>
    <x:row r="141" ht="48" customHeight="1">
      <x:c r="A141" s="16" t="str">
        <x:v>完工时间权重放大</x:v>
      </x:c>
      <x:c r="B141" s="16" t="str">
        <x:v>S009-FOD-01</x:v>
      </x:c>
      <x:c r="C141" s="16" t="str">
        <x:v>S009</x:v>
      </x:c>
      <x:c r="D141" s="16" t="str">
        <x:v>Q2-023</x:v>
      </x:c>
      <x:c r="E141" s="13" t="n">
        <x:v>3</x:v>
      </x:c>
      <x:c r="F141" s="22" t="n">
        <x:v>6383.623</x:v>
      </x:c>
      <x:c r="G141" s="22" t="n">
        <x:v>14400</x:v>
      </x:c>
      <x:c r="H141" s="22"/>
      <x:c r="I141" s="22" t="n">
        <x:v>0</x:v>
      </x:c>
    </x:row>
    <x:row r="142" ht="48" customHeight="1">
      <x:c r="A142" s="12" t="str">
        <x:v>完工时间权重放大</x:v>
      </x:c>
      <x:c r="B142" s="12" t="str">
        <x:v>S009-MED-01</x:v>
      </x:c>
      <x:c r="C142" s="12" t="str">
        <x:v>S009</x:v>
      </x:c>
      <x:c r="D142" s="12" t="str">
        <x:v>Q2-023</x:v>
      </x:c>
      <x:c r="E142" s="5" t="n">
        <x:v>1</x:v>
      </x:c>
      <x:c r="F142" s="21" t="n">
        <x:v>6323.623</x:v>
      </x:c>
      <x:c r="G142" s="21" t="n">
        <x:v>10800</x:v>
      </x:c>
      <x:c r="H142" s="21" t="n">
        <x:v>10800</x:v>
      </x:c>
      <x:c r="I142" s="21" t="n">
        <x:v>0</x:v>
      </x:c>
    </x:row>
    <x:row r="143" ht="48" customHeight="1">
      <x:c r="A143" s="16" t="str">
        <x:v>完工时间权重放大</x:v>
      </x:c>
      <x:c r="B143" s="16" t="str">
        <x:v>S009-WAT-01</x:v>
      </x:c>
      <x:c r="C143" s="16" t="str">
        <x:v>S009</x:v>
      </x:c>
      <x:c r="D143" s="16" t="str">
        <x:v>Q2-023</x:v>
      </x:c>
      <x:c r="E143" s="13" t="n">
        <x:v>2</x:v>
      </x:c>
      <x:c r="F143" s="22" t="n">
        <x:v>6353.623</x:v>
      </x:c>
      <x:c r="G143" s="22" t="n">
        <x:v>10800</x:v>
      </x:c>
      <x:c r="H143" s="22" t="n">
        <x:v>10800</x:v>
      </x:c>
      <x:c r="I143" s="22" t="n">
        <x:v>0</x:v>
      </x:c>
    </x:row>
    <x:row r="144" ht="48" customHeight="1">
      <x:c r="A144" s="12" t="str">
        <x:v>完工时间权重放大</x:v>
      </x:c>
      <x:c r="B144" s="12" t="str">
        <x:v>S010-FOD-01</x:v>
      </x:c>
      <x:c r="C144" s="12" t="str">
        <x:v>S010</x:v>
      </x:c>
      <x:c r="D144" s="12" t="str">
        <x:v>Q2-005</x:v>
      </x:c>
      <x:c r="E144" s="5" t="n">
        <x:v>3</x:v>
      </x:c>
      <x:c r="F144" s="21" t="n">
        <x:v>1085.239</x:v>
      </x:c>
      <x:c r="G144" s="21" t="n">
        <x:v>7200</x:v>
      </x:c>
      <x:c r="H144" s="21"/>
      <x:c r="I144" s="21" t="n">
        <x:v>0</x:v>
      </x:c>
    </x:row>
    <x:row r="145" ht="48" customHeight="1">
      <x:c r="A145" s="16" t="str">
        <x:v>完工时间权重放大</x:v>
      </x:c>
      <x:c r="B145" s="16" t="str">
        <x:v>S010-MED-01</x:v>
      </x:c>
      <x:c r="C145" s="16" t="str">
        <x:v>S010</x:v>
      </x:c>
      <x:c r="D145" s="16" t="str">
        <x:v>Q2-005</x:v>
      </x:c>
      <x:c r="E145" s="13" t="n">
        <x:v>1</x:v>
      </x:c>
      <x:c r="F145" s="22" t="n">
        <x:v>1025.239</x:v>
      </x:c>
      <x:c r="G145" s="22" t="n">
        <x:v>3600</x:v>
      </x:c>
      <x:c r="H145" s="22" t="n">
        <x:v>3600</x:v>
      </x:c>
      <x:c r="I145" s="22" t="n">
        <x:v>0</x:v>
      </x:c>
    </x:row>
    <x:row r="146" ht="48" customHeight="1">
      <x:c r="A146" s="12" t="str">
        <x:v>完工时间权重放大</x:v>
      </x:c>
      <x:c r="B146" s="12" t="str">
        <x:v>S010-WAT-01</x:v>
      </x:c>
      <x:c r="C146" s="12" t="str">
        <x:v>S010</x:v>
      </x:c>
      <x:c r="D146" s="12" t="str">
        <x:v>Q2-005</x:v>
      </x:c>
      <x:c r="E146" s="5" t="n">
        <x:v>2</x:v>
      </x:c>
      <x:c r="F146" s="21" t="n">
        <x:v>1055.239</x:v>
      </x:c>
      <x:c r="G146" s="21" t="n">
        <x:v>3600</x:v>
      </x:c>
      <x:c r="H146" s="21" t="n">
        <x:v>3600</x:v>
      </x:c>
      <x:c r="I146" s="21" t="n">
        <x:v>0</x:v>
      </x:c>
    </x:row>
    <x:row r="147" ht="48" customHeight="1">
      <x:c r="A147" s="16" t="str">
        <x:v>完工时间权重放大</x:v>
      </x:c>
      <x:c r="B147" s="16" t="str">
        <x:v>S011-FOD-01</x:v>
      </x:c>
      <x:c r="C147" s="16" t="str">
        <x:v>S011</x:v>
      </x:c>
      <x:c r="D147" s="16" t="str">
        <x:v>Q2-018</x:v>
      </x:c>
      <x:c r="E147" s="13" t="n">
        <x:v>2</x:v>
      </x:c>
      <x:c r="F147" s="22" t="n">
        <x:v>4311.633</x:v>
      </x:c>
      <x:c r="G147" s="22" t="n">
        <x:v>14400</x:v>
      </x:c>
      <x:c r="H147" s="22"/>
      <x:c r="I147" s="22" t="n">
        <x:v>0</x:v>
      </x:c>
    </x:row>
    <x:row r="148" ht="48" customHeight="1">
      <x:c r="A148" s="12" t="str">
        <x:v>完工时间权重放大</x:v>
      </x:c>
      <x:c r="B148" s="12" t="str">
        <x:v>S011-MED-01</x:v>
      </x:c>
      <x:c r="C148" s="12" t="str">
        <x:v>S011</x:v>
      </x:c>
      <x:c r="D148" s="12" t="str">
        <x:v>Q2-025</x:v>
      </x:c>
      <x:c r="E148" s="5" t="n">
        <x:v>1</x:v>
      </x:c>
      <x:c r="F148" s="21" t="n">
        <x:v>6519.489</x:v>
      </x:c>
      <x:c r="G148" s="21" t="n">
        <x:v>10800</x:v>
      </x:c>
      <x:c r="H148" s="21" t="n">
        <x:v>10800</x:v>
      </x:c>
      <x:c r="I148" s="21" t="n">
        <x:v>0</x:v>
      </x:c>
    </x:row>
    <x:row r="149" ht="48" customHeight="1">
      <x:c r="A149" s="16" t="str">
        <x:v>完工时间权重放大</x:v>
      </x:c>
      <x:c r="B149" s="16" t="str">
        <x:v>S011-WAT-01</x:v>
      </x:c>
      <x:c r="C149" s="16" t="str">
        <x:v>S011</x:v>
      </x:c>
      <x:c r="D149" s="16" t="str">
        <x:v>Q2-018</x:v>
      </x:c>
      <x:c r="E149" s="13" t="n">
        <x:v>1</x:v>
      </x:c>
      <x:c r="F149" s="22" t="n">
        <x:v>4275.633</x:v>
      </x:c>
      <x:c r="G149" s="22" t="n">
        <x:v>10800</x:v>
      </x:c>
      <x:c r="H149" s="22" t="n">
        <x:v>10800</x:v>
      </x:c>
      <x:c r="I149" s="22" t="n">
        <x:v>0</x:v>
      </x:c>
    </x:row>
    <x:row r="150" ht="48" customHeight="1">
      <x:c r="A150" s="12" t="str">
        <x:v>完工时间权重放大</x:v>
      </x:c>
      <x:c r="B150" s="12" t="str">
        <x:v>S012-FOD-01</x:v>
      </x:c>
      <x:c r="C150" s="12" t="str">
        <x:v>S012</x:v>
      </x:c>
      <x:c r="D150" s="12" t="str">
        <x:v>Q2-009</x:v>
      </x:c>
      <x:c r="E150" s="5" t="n">
        <x:v>3</x:v>
      </x:c>
      <x:c r="F150" s="21" t="n">
        <x:v>2781.857</x:v>
      </x:c>
      <x:c r="G150" s="21" t="n">
        <x:v>7200</x:v>
      </x:c>
      <x:c r="H150" s="21"/>
      <x:c r="I150" s="21" t="n">
        <x:v>0</x:v>
      </x:c>
    </x:row>
    <x:row r="151" ht="48" customHeight="1">
      <x:c r="A151" s="16" t="str">
        <x:v>完工时间权重放大</x:v>
      </x:c>
      <x:c r="B151" s="16" t="str">
        <x:v>S012-MED-01</x:v>
      </x:c>
      <x:c r="C151" s="16" t="str">
        <x:v>S012</x:v>
      </x:c>
      <x:c r="D151" s="16" t="str">
        <x:v>Q2-009</x:v>
      </x:c>
      <x:c r="E151" s="13" t="n">
        <x:v>2</x:v>
      </x:c>
      <x:c r="F151" s="22" t="n">
        <x:v>2751.857</x:v>
      </x:c>
      <x:c r="G151" s="22" t="n">
        <x:v>7200</x:v>
      </x:c>
      <x:c r="H151" s="22" t="n">
        <x:v>3600</x:v>
      </x:c>
      <x:c r="I151" s="22" t="n">
        <x:v>0</x:v>
      </x:c>
    </x:row>
    <x:row r="152" ht="48" customHeight="1">
      <x:c r="A152" s="12" t="str">
        <x:v>完工时间权重放大</x:v>
      </x:c>
      <x:c r="B152" s="12" t="str">
        <x:v>S012-WAT-01</x:v>
      </x:c>
      <x:c r="C152" s="12" t="str">
        <x:v>S012</x:v>
      </x:c>
      <x:c r="D152" s="12" t="str">
        <x:v>Q2-009</x:v>
      </x:c>
      <x:c r="E152" s="5" t="n">
        <x:v>1</x:v>
      </x:c>
      <x:c r="F152" s="21" t="n">
        <x:v>2721.857</x:v>
      </x:c>
      <x:c r="G152" s="21" t="n">
        <x:v>3600</x:v>
      </x:c>
      <x:c r="H152" s="21" t="n">
        <x:v>3600</x:v>
      </x:c>
      <x:c r="I152" s="21" t="n">
        <x:v>0</x:v>
      </x:c>
    </x:row>
    <x:row r="153" ht="48" customHeight="1">
      <x:c r="A153" s="16" t="str">
        <x:v>完工时间权重放大</x:v>
      </x:c>
      <x:c r="B153" s="16" t="str">
        <x:v>S013-FOD-01</x:v>
      </x:c>
      <x:c r="C153" s="16" t="str">
        <x:v>S013</x:v>
      </x:c>
      <x:c r="D153" s="16" t="str">
        <x:v>Q2-002</x:v>
      </x:c>
      <x:c r="E153" s="13" t="n">
        <x:v>3</x:v>
      </x:c>
      <x:c r="F153" s="22" t="n">
        <x:v>1062.79</x:v>
      </x:c>
      <x:c r="G153" s="22" t="n">
        <x:v>7200</x:v>
      </x:c>
      <x:c r="H153" s="22"/>
      <x:c r="I153" s="22" t="n">
        <x:v>0</x:v>
      </x:c>
    </x:row>
    <x:row r="154" ht="48" customHeight="1">
      <x:c r="A154" s="12" t="str">
        <x:v>完工时间权重放大</x:v>
      </x:c>
      <x:c r="B154" s="12" t="str">
        <x:v>S013-MED-01</x:v>
      </x:c>
      <x:c r="C154" s="12" t="str">
        <x:v>S013</x:v>
      </x:c>
      <x:c r="D154" s="12" t="str">
        <x:v>Q2-002</x:v>
      </x:c>
      <x:c r="E154" s="5" t="n">
        <x:v>1</x:v>
      </x:c>
      <x:c r="F154" s="21" t="n">
        <x:v>1002.79</x:v>
      </x:c>
      <x:c r="G154" s="21" t="n">
        <x:v>3600</x:v>
      </x:c>
      <x:c r="H154" s="21" t="n">
        <x:v>3600</x:v>
      </x:c>
      <x:c r="I154" s="21" t="n">
        <x:v>0</x:v>
      </x:c>
    </x:row>
    <x:row r="155" ht="48" customHeight="1">
      <x:c r="A155" s="16" t="str">
        <x:v>完工时间权重放大</x:v>
      </x:c>
      <x:c r="B155" s="16" t="str">
        <x:v>S013-WAT-01</x:v>
      </x:c>
      <x:c r="C155" s="16" t="str">
        <x:v>S013</x:v>
      </x:c>
      <x:c r="D155" s="16" t="str">
        <x:v>Q2-002</x:v>
      </x:c>
      <x:c r="E155" s="13" t="n">
        <x:v>2</x:v>
      </x:c>
      <x:c r="F155" s="22" t="n">
        <x:v>1032.79</x:v>
      </x:c>
      <x:c r="G155" s="22" t="n">
        <x:v>3600</x:v>
      </x:c>
      <x:c r="H155" s="22" t="n">
        <x:v>3600</x:v>
      </x:c>
      <x:c r="I155" s="22" t="n">
        <x:v>0</x:v>
      </x:c>
    </x:row>
    <x:row r="156" ht="48" customHeight="1">
      <x:c r="A156" s="12" t="str">
        <x:v>完工时间权重放大</x:v>
      </x:c>
      <x:c r="B156" s="12" t="str">
        <x:v>S014-FOD-01</x:v>
      </x:c>
      <x:c r="C156" s="12" t="str">
        <x:v>S014</x:v>
      </x:c>
      <x:c r="D156" s="12" t="str">
        <x:v>Q2-006</x:v>
      </x:c>
      <x:c r="E156" s="5" t="n">
        <x:v>2</x:v>
      </x:c>
      <x:c r="F156" s="21" t="n">
        <x:v>1272.757</x:v>
      </x:c>
      <x:c r="G156" s="21" t="n">
        <x:v>7200</x:v>
      </x:c>
      <x:c r="H156" s="21"/>
      <x:c r="I156" s="21" t="n">
        <x:v>0</x:v>
      </x:c>
    </x:row>
    <x:row r="157" ht="48" customHeight="1">
      <x:c r="A157" s="16" t="str">
        <x:v>完工时间权重放大</x:v>
      </x:c>
      <x:c r="B157" s="16" t="str">
        <x:v>S014-MED-01</x:v>
      </x:c>
      <x:c r="C157" s="16" t="str">
        <x:v>S014</x:v>
      </x:c>
      <x:c r="D157" s="16" t="str">
        <x:v>Q2-006</x:v>
      </x:c>
      <x:c r="E157" s="13" t="n">
        <x:v>1</x:v>
      </x:c>
      <x:c r="F157" s="22" t="n">
        <x:v>1242.757</x:v>
      </x:c>
      <x:c r="G157" s="22" t="n">
        <x:v>7200</x:v>
      </x:c>
      <x:c r="H157" s="22" t="n">
        <x:v>3600</x:v>
      </x:c>
      <x:c r="I157" s="22" t="n">
        <x:v>0</x:v>
      </x:c>
    </x:row>
    <x:row r="158" ht="48" customHeight="1">
      <x:c r="A158" s="12" t="str">
        <x:v>完工时间权重放大</x:v>
      </x:c>
      <x:c r="B158" s="12" t="str">
        <x:v>S014-WAT-01</x:v>
      </x:c>
      <x:c r="C158" s="12" t="str">
        <x:v>S014</x:v>
      </x:c>
      <x:c r="D158" s="12" t="str">
        <x:v>Q2-003</x:v>
      </x:c>
      <x:c r="E158" s="5" t="n">
        <x:v>1</x:v>
      </x:c>
      <x:c r="F158" s="21" t="n">
        <x:v>1212.757</x:v>
      </x:c>
      <x:c r="G158" s="21" t="n">
        <x:v>3600</x:v>
      </x:c>
      <x:c r="H158" s="21" t="n">
        <x:v>3600</x:v>
      </x:c>
      <x:c r="I158" s="21" t="n">
        <x:v>0</x:v>
      </x:c>
    </x:row>
    <x:row r="159" ht="48" customHeight="1">
      <x:c r="A159" s="16" t="str">
        <x:v>完工时间权重放大</x:v>
      </x:c>
      <x:c r="B159" s="16" t="str">
        <x:v>S015-FOD-01</x:v>
      </x:c>
      <x:c r="C159" s="16" t="str">
        <x:v>S015</x:v>
      </x:c>
      <x:c r="D159" s="16" t="str">
        <x:v>Q2-019</x:v>
      </x:c>
      <x:c r="E159" s="13" t="n">
        <x:v>3</x:v>
      </x:c>
      <x:c r="F159" s="22" t="n">
        <x:v>4650.945</x:v>
      </x:c>
      <x:c r="G159" s="22" t="n">
        <x:v>14400</x:v>
      </x:c>
      <x:c r="H159" s="22"/>
      <x:c r="I159" s="22" t="n">
        <x:v>0</x:v>
      </x:c>
    </x:row>
    <x:row r="160" ht="48" customHeight="1">
      <x:c r="A160" s="12" t="str">
        <x:v>完工时间权重放大</x:v>
      </x:c>
      <x:c r="B160" s="12" t="str">
        <x:v>S015-MED-01</x:v>
      </x:c>
      <x:c r="C160" s="12" t="str">
        <x:v>S015</x:v>
      </x:c>
      <x:c r="D160" s="12" t="str">
        <x:v>Q2-019</x:v>
      </x:c>
      <x:c r="E160" s="5" t="n">
        <x:v>1</x:v>
      </x:c>
      <x:c r="F160" s="21" t="n">
        <x:v>4590.945</x:v>
      </x:c>
      <x:c r="G160" s="21" t="n">
        <x:v>7200</x:v>
      </x:c>
      <x:c r="H160" s="21" t="n">
        <x:v>7200</x:v>
      </x:c>
      <x:c r="I160" s="21" t="n">
        <x:v>0</x:v>
      </x:c>
    </x:row>
    <x:row r="161" ht="48" customHeight="1">
      <x:c r="A161" s="16" t="str">
        <x:v>完工时间权重放大</x:v>
      </x:c>
      <x:c r="B161" s="16" t="str">
        <x:v>S015-WAT-01</x:v>
      </x:c>
      <x:c r="C161" s="16" t="str">
        <x:v>S015</x:v>
      </x:c>
      <x:c r="D161" s="16" t="str">
        <x:v>Q2-019</x:v>
      </x:c>
      <x:c r="E161" s="13" t="n">
        <x:v>2</x:v>
      </x:c>
      <x:c r="F161" s="22" t="n">
        <x:v>4620.945</x:v>
      </x:c>
      <x:c r="G161" s="22" t="n">
        <x:v>10800</x:v>
      </x:c>
      <x:c r="H161" s="22" t="n">
        <x:v>10800</x:v>
      </x:c>
      <x:c r="I161" s="22" t="n">
        <x:v>0</x:v>
      </x:c>
    </x:row>
    <x:row r="162" ht="30" customHeight="1">
      <x:c r="A162" s="12" t="str">
        <x:v>能耗权重放大</x:v>
      </x:c>
      <x:c r="B162" s="12" t="str">
        <x:v>S001-FOD-01</x:v>
      </x:c>
      <x:c r="C162" s="12" t="str">
        <x:v>S001</x:v>
      </x:c>
      <x:c r="D162" s="12" t="str">
        <x:v>Q2-009</x:v>
      </x:c>
      <x:c r="E162" s="5" t="n">
        <x:v>7</x:v>
      </x:c>
      <x:c r="F162" s="21" t="n">
        <x:v>2869.827</x:v>
      </x:c>
      <x:c r="G162" s="21" t="n">
        <x:v>7200</x:v>
      </x:c>
      <x:c r="H162" s="21"/>
      <x:c r="I162" s="21" t="n">
        <x:v>0</x:v>
      </x:c>
    </x:row>
    <x:row r="163" ht="30" customHeight="1">
      <x:c r="A163" s="16" t="str">
        <x:v>能耗权重放大</x:v>
      </x:c>
      <x:c r="B163" s="16" t="str">
        <x:v>S001-FOD-02</x:v>
      </x:c>
      <x:c r="C163" s="16" t="str">
        <x:v>S001</x:v>
      </x:c>
      <x:c r="D163" s="16" t="str">
        <x:v>Q2-009</x:v>
      </x:c>
      <x:c r="E163" s="13" t="n">
        <x:v>9</x:v>
      </x:c>
      <x:c r="F163" s="22" t="n">
        <x:v>2941.827</x:v>
      </x:c>
      <x:c r="G163" s="22" t="n">
        <x:v>7200</x:v>
      </x:c>
      <x:c r="H163" s="22"/>
      <x:c r="I163" s="22" t="n">
        <x:v>0</x:v>
      </x:c>
    </x:row>
    <x:row r="164" ht="30" customHeight="1">
      <x:c r="A164" s="12" t="str">
        <x:v>能耗权重放大</x:v>
      </x:c>
      <x:c r="B164" s="12" t="str">
        <x:v>S001-FOD-03</x:v>
      </x:c>
      <x:c r="C164" s="12" t="str">
        <x:v>S001</x:v>
      </x:c>
      <x:c r="D164" s="12" t="str">
        <x:v>Q2-006</x:v>
      </x:c>
      <x:c r="E164" s="5" t="n">
        <x:v>6</x:v>
      </x:c>
      <x:c r="F164" s="21" t="n">
        <x:v>1182.274</x:v>
      </x:c>
      <x:c r="G164" s="21" t="n">
        <x:v>7200</x:v>
      </x:c>
      <x:c r="H164" s="21"/>
      <x:c r="I164" s="21" t="n">
        <x:v>0</x:v>
      </x:c>
    </x:row>
    <x:row r="165" ht="30" customHeight="1">
      <x:c r="A165" s="16" t="str">
        <x:v>能耗权重放大</x:v>
      </x:c>
      <x:c r="B165" s="16" t="str">
        <x:v>S001-HYG-01</x:v>
      </x:c>
      <x:c r="C165" s="16" t="str">
        <x:v>S001</x:v>
      </x:c>
      <x:c r="D165" s="16" t="str">
        <x:v>Q2-009</x:v>
      </x:c>
      <x:c r="E165" s="13" t="n">
        <x:v>6</x:v>
      </x:c>
      <x:c r="F165" s="22" t="n">
        <x:v>2833.827</x:v>
      </x:c>
      <x:c r="G165" s="22" t="n">
        <x:v>10800</x:v>
      </x:c>
      <x:c r="H165" s="22"/>
      <x:c r="I165" s="22" t="n">
        <x:v>0</x:v>
      </x:c>
    </x:row>
    <x:row r="166" ht="30" customHeight="1">
      <x:c r="A166" s="12" t="str">
        <x:v>能耗权重放大</x:v>
      </x:c>
      <x:c r="B166" s="12" t="str">
        <x:v>S001-HYG-02</x:v>
      </x:c>
      <x:c r="C166" s="12" t="str">
        <x:v>S001</x:v>
      </x:c>
      <x:c r="D166" s="12" t="str">
        <x:v>Q2-009</x:v>
      </x:c>
      <x:c r="E166" s="5" t="n">
        <x:v>8</x:v>
      </x:c>
      <x:c r="F166" s="21" t="n">
        <x:v>2905.827</x:v>
      </x:c>
      <x:c r="G166" s="21" t="n">
        <x:v>10800</x:v>
      </x:c>
      <x:c r="H166" s="21"/>
      <x:c r="I166" s="21" t="n">
        <x:v>0</x:v>
      </x:c>
    </x:row>
    <x:row r="167" ht="30" customHeight="1">
      <x:c r="A167" s="16" t="str">
        <x:v>能耗权重放大</x:v>
      </x:c>
      <x:c r="B167" s="16" t="str">
        <x:v>S001-MED-01</x:v>
      </x:c>
      <x:c r="C167" s="16" t="str">
        <x:v>S001</x:v>
      </x:c>
      <x:c r="D167" s="16" t="str">
        <x:v>Q2-009</x:v>
      </x:c>
      <x:c r="E167" s="13" t="n">
        <x:v>1</x:v>
      </x:c>
      <x:c r="F167" s="22" t="n">
        <x:v>2653.827</x:v>
      </x:c>
      <x:c r="G167" s="22" t="n">
        <x:v>3600</x:v>
      </x:c>
      <x:c r="H167" s="22" t="n">
        <x:v>3600</x:v>
      </x:c>
      <x:c r="I167" s="22" t="n">
        <x:v>0</x:v>
      </x:c>
    </x:row>
    <x:row r="168" ht="30" customHeight="1">
      <x:c r="A168" s="12" t="str">
        <x:v>能耗权重放大</x:v>
      </x:c>
      <x:c r="B168" s="12" t="str">
        <x:v>S001-MED-02</x:v>
      </x:c>
      <x:c r="C168" s="12" t="str">
        <x:v>S001</x:v>
      </x:c>
      <x:c r="D168" s="12" t="str">
        <x:v>Q2-009</x:v>
      </x:c>
      <x:c r="E168" s="5" t="n">
        <x:v>2</x:v>
      </x:c>
      <x:c r="F168" s="21" t="n">
        <x:v>2689.827</x:v>
      </x:c>
      <x:c r="G168" s="21" t="n">
        <x:v>3600</x:v>
      </x:c>
      <x:c r="H168" s="21" t="n">
        <x:v>3600</x:v>
      </x:c>
      <x:c r="I168" s="21" t="n">
        <x:v>0</x:v>
      </x:c>
    </x:row>
    <x:row r="169" ht="30" customHeight="1">
      <x:c r="A169" s="16" t="str">
        <x:v>能耗权重放大</x:v>
      </x:c>
      <x:c r="B169" s="16" t="str">
        <x:v>S001-WAT-01</x:v>
      </x:c>
      <x:c r="C169" s="16" t="str">
        <x:v>S001</x:v>
      </x:c>
      <x:c r="D169" s="16" t="str">
        <x:v>Q2-006</x:v>
      </x:c>
      <x:c r="E169" s="13" t="n">
        <x:v>1</x:v>
      </x:c>
      <x:c r="F169" s="22" t="n">
        <x:v>1002.274</x:v>
      </x:c>
      <x:c r="G169" s="22" t="n">
        <x:v>3600</x:v>
      </x:c>
      <x:c r="H169" s="22" t="n">
        <x:v>3600</x:v>
      </x:c>
      <x:c r="I169" s="22" t="n">
        <x:v>0</x:v>
      </x:c>
    </x:row>
    <x:row r="170" ht="30" customHeight="1">
      <x:c r="A170" s="12" t="str">
        <x:v>能耗权重放大</x:v>
      </x:c>
      <x:c r="B170" s="12" t="str">
        <x:v>S001-WAT-02</x:v>
      </x:c>
      <x:c r="C170" s="12" t="str">
        <x:v>S001</x:v>
      </x:c>
      <x:c r="D170" s="12" t="str">
        <x:v>Q2-006</x:v>
      </x:c>
      <x:c r="E170" s="5" t="n">
        <x:v>2</x:v>
      </x:c>
      <x:c r="F170" s="21" t="n">
        <x:v>1038.274</x:v>
      </x:c>
      <x:c r="G170" s="21" t="n">
        <x:v>3600</x:v>
      </x:c>
      <x:c r="H170" s="21"/>
      <x:c r="I170" s="21" t="n">
        <x:v>0</x:v>
      </x:c>
    </x:row>
    <x:row r="171" ht="30" customHeight="1">
      <x:c r="A171" s="16" t="str">
        <x:v>能耗权重放大</x:v>
      </x:c>
      <x:c r="B171" s="16" t="str">
        <x:v>S001-WAT-03</x:v>
      </x:c>
      <x:c r="C171" s="16" t="str">
        <x:v>S001</x:v>
      </x:c>
      <x:c r="D171" s="16" t="str">
        <x:v>Q2-006</x:v>
      </x:c>
      <x:c r="E171" s="13" t="n">
        <x:v>3</x:v>
      </x:c>
      <x:c r="F171" s="22" t="n">
        <x:v>1074.274</x:v>
      </x:c>
      <x:c r="G171" s="22" t="n">
        <x:v>3600</x:v>
      </x:c>
      <x:c r="H171" s="22"/>
      <x:c r="I171" s="22" t="n">
        <x:v>0</x:v>
      </x:c>
    </x:row>
    <x:row r="172" ht="30" customHeight="1">
      <x:c r="A172" s="12" t="str">
        <x:v>能耗权重放大</x:v>
      </x:c>
      <x:c r="B172" s="12" t="str">
        <x:v>S001-WAT-04</x:v>
      </x:c>
      <x:c r="C172" s="12" t="str">
        <x:v>S001</x:v>
      </x:c>
      <x:c r="D172" s="12" t="str">
        <x:v>Q2-009</x:v>
      </x:c>
      <x:c r="E172" s="5" t="n">
        <x:v>3</x:v>
      </x:c>
      <x:c r="F172" s="21" t="n">
        <x:v>2725.827</x:v>
      </x:c>
      <x:c r="G172" s="21" t="n">
        <x:v>3600</x:v>
      </x:c>
      <x:c r="H172" s="21"/>
      <x:c r="I172" s="21" t="n">
        <x:v>0</x:v>
      </x:c>
    </x:row>
    <x:row r="173" ht="30" customHeight="1">
      <x:c r="A173" s="16" t="str">
        <x:v>能耗权重放大</x:v>
      </x:c>
      <x:c r="B173" s="16" t="str">
        <x:v>S001-WAT-05</x:v>
      </x:c>
      <x:c r="C173" s="16" t="str">
        <x:v>S001</x:v>
      </x:c>
      <x:c r="D173" s="16" t="str">
        <x:v>Q2-009</x:v>
      </x:c>
      <x:c r="E173" s="13" t="n">
        <x:v>4</x:v>
      </x:c>
      <x:c r="F173" s="22" t="n">
        <x:v>2761.827</x:v>
      </x:c>
      <x:c r="G173" s="22" t="n">
        <x:v>3600</x:v>
      </x:c>
      <x:c r="H173" s="22"/>
      <x:c r="I173" s="22" t="n">
        <x:v>0</x:v>
      </x:c>
    </x:row>
    <x:row r="174" ht="30" customHeight="1">
      <x:c r="A174" s="12" t="str">
        <x:v>能耗权重放大</x:v>
      </x:c>
      <x:c r="B174" s="12" t="str">
        <x:v>S001-WAT-06</x:v>
      </x:c>
      <x:c r="C174" s="12" t="str">
        <x:v>S001</x:v>
      </x:c>
      <x:c r="D174" s="12" t="str">
        <x:v>Q2-009</x:v>
      </x:c>
      <x:c r="E174" s="5" t="n">
        <x:v>5</x:v>
      </x:c>
      <x:c r="F174" s="21" t="n">
        <x:v>2797.827</x:v>
      </x:c>
      <x:c r="G174" s="21" t="n">
        <x:v>3600</x:v>
      </x:c>
      <x:c r="H174" s="21"/>
      <x:c r="I174" s="21" t="n">
        <x:v>0</x:v>
      </x:c>
    </x:row>
    <x:row r="175" ht="30" customHeight="1">
      <x:c r="A175" s="16" t="str">
        <x:v>能耗权重放大</x:v>
      </x:c>
      <x:c r="B175" s="16" t="str">
        <x:v>S001-WAT-07</x:v>
      </x:c>
      <x:c r="C175" s="16" t="str">
        <x:v>S001</x:v>
      </x:c>
      <x:c r="D175" s="16" t="str">
        <x:v>Q2-006</x:v>
      </x:c>
      <x:c r="E175" s="13" t="n">
        <x:v>4</x:v>
      </x:c>
      <x:c r="F175" s="22" t="n">
        <x:v>1110.274</x:v>
      </x:c>
      <x:c r="G175" s="22" t="n">
        <x:v>3600</x:v>
      </x:c>
      <x:c r="H175" s="22"/>
      <x:c r="I175" s="22" t="n">
        <x:v>0</x:v>
      </x:c>
    </x:row>
    <x:row r="176" ht="30" customHeight="1">
      <x:c r="A176" s="12" t="str">
        <x:v>能耗权重放大</x:v>
      </x:c>
      <x:c r="B176" s="12" t="str">
        <x:v>S001-WAT-08</x:v>
      </x:c>
      <x:c r="C176" s="12" t="str">
        <x:v>S001</x:v>
      </x:c>
      <x:c r="D176" s="12" t="str">
        <x:v>Q2-006</x:v>
      </x:c>
      <x:c r="E176" s="5" t="n">
        <x:v>5</x:v>
      </x:c>
      <x:c r="F176" s="21" t="n">
        <x:v>1146.274</x:v>
      </x:c>
      <x:c r="G176" s="21" t="n">
        <x:v>3600</x:v>
      </x:c>
      <x:c r="H176" s="21"/>
      <x:c r="I176" s="21" t="n">
        <x:v>0</x:v>
      </x:c>
    </x:row>
    <x:row r="177" ht="30" customHeight="1">
      <x:c r="A177" s="16" t="str">
        <x:v>能耗权重放大</x:v>
      </x:c>
      <x:c r="B177" s="16" t="str">
        <x:v>S002-FOD-01</x:v>
      </x:c>
      <x:c r="C177" s="16" t="str">
        <x:v>S002</x:v>
      </x:c>
      <x:c r="D177" s="16" t="str">
        <x:v>Q2-007</x:v>
      </x:c>
      <x:c r="E177" s="13" t="n">
        <x:v>3</x:v>
      </x:c>
      <x:c r="F177" s="22" t="n">
        <x:v>2873.509</x:v>
      </x:c>
      <x:c r="G177" s="22" t="n">
        <x:v>7200</x:v>
      </x:c>
      <x:c r="H177" s="22"/>
      <x:c r="I177" s="22" t="n">
        <x:v>0</x:v>
      </x:c>
    </x:row>
    <x:row r="178" ht="30" customHeight="1">
      <x:c r="A178" s="12" t="str">
        <x:v>能耗权重放大</x:v>
      </x:c>
      <x:c r="B178" s="12" t="str">
        <x:v>S002-FOD-02</x:v>
      </x:c>
      <x:c r="C178" s="12" t="str">
        <x:v>S002</x:v>
      </x:c>
      <x:c r="D178" s="12" t="str">
        <x:v>Q2-007</x:v>
      </x:c>
      <x:c r="E178" s="5" t="n">
        <x:v>2</x:v>
      </x:c>
      <x:c r="F178" s="21" t="n">
        <x:v>2837.509</x:v>
      </x:c>
      <x:c r="G178" s="21" t="n">
        <x:v>7200</x:v>
      </x:c>
      <x:c r="H178" s="21"/>
      <x:c r="I178" s="21" t="n">
        <x:v>0</x:v>
      </x:c>
    </x:row>
    <x:row r="179" ht="30" customHeight="1">
      <x:c r="A179" s="16" t="str">
        <x:v>能耗权重放大</x:v>
      </x:c>
      <x:c r="B179" s="16" t="str">
        <x:v>S002-HYG-01</x:v>
      </x:c>
      <x:c r="C179" s="16" t="str">
        <x:v>S002</x:v>
      </x:c>
      <x:c r="D179" s="16" t="str">
        <x:v>Q2-007</x:v>
      </x:c>
      <x:c r="E179" s="13" t="n">
        <x:v>1</x:v>
      </x:c>
      <x:c r="F179" s="22" t="n">
        <x:v>2801.509</x:v>
      </x:c>
      <x:c r="G179" s="22" t="n">
        <x:v>10800</x:v>
      </x:c>
      <x:c r="H179" s="22"/>
      <x:c r="I179" s="22" t="n">
        <x:v>0</x:v>
      </x:c>
    </x:row>
    <x:row r="180" ht="30" customHeight="1">
      <x:c r="A180" s="12" t="str">
        <x:v>能耗权重放大</x:v>
      </x:c>
      <x:c r="B180" s="12" t="str">
        <x:v>S002-MED-01</x:v>
      </x:c>
      <x:c r="C180" s="12" t="str">
        <x:v>S002</x:v>
      </x:c>
      <x:c r="D180" s="12" t="str">
        <x:v>Q2-007</x:v>
      </x:c>
      <x:c r="E180" s="5" t="n">
        <x:v>4</x:v>
      </x:c>
      <x:c r="F180" s="21" t="n">
        <x:v>2909.509</x:v>
      </x:c>
      <x:c r="G180" s="21" t="n">
        <x:v>3600</x:v>
      </x:c>
      <x:c r="H180" s="21" t="n">
        <x:v>3600</x:v>
      </x:c>
      <x:c r="I180" s="21" t="n">
        <x:v>0</x:v>
      </x:c>
    </x:row>
    <x:row r="181" ht="30" customHeight="1">
      <x:c r="A181" s="16" t="str">
        <x:v>能耗权重放大</x:v>
      </x:c>
      <x:c r="B181" s="16" t="str">
        <x:v>S002-WAT-01</x:v>
      </x:c>
      <x:c r="C181" s="16" t="str">
        <x:v>S002</x:v>
      </x:c>
      <x:c r="D181" s="16" t="str">
        <x:v>Q2-007</x:v>
      </x:c>
      <x:c r="E181" s="13" t="n">
        <x:v>5</x:v>
      </x:c>
      <x:c r="F181" s="22" t="n">
        <x:v>2945.509</x:v>
      </x:c>
      <x:c r="G181" s="22" t="n">
        <x:v>3600</x:v>
      </x:c>
      <x:c r="H181" s="22" t="n">
        <x:v>3600</x:v>
      </x:c>
      <x:c r="I181" s="22" t="n">
        <x:v>0</x:v>
      </x:c>
    </x:row>
    <x:row r="182" ht="30" customHeight="1">
      <x:c r="A182" s="12" t="str">
        <x:v>能耗权重放大</x:v>
      </x:c>
      <x:c r="B182" s="12" t="str">
        <x:v>S002-WAT-02</x:v>
      </x:c>
      <x:c r="C182" s="12" t="str">
        <x:v>S002</x:v>
      </x:c>
      <x:c r="D182" s="12" t="str">
        <x:v>Q2-007</x:v>
      </x:c>
      <x:c r="E182" s="5" t="n">
        <x:v>6</x:v>
      </x:c>
      <x:c r="F182" s="21" t="n">
        <x:v>2981.509</x:v>
      </x:c>
      <x:c r="G182" s="21" t="n">
        <x:v>3600</x:v>
      </x:c>
      <x:c r="H182" s="21"/>
      <x:c r="I182" s="21" t="n">
        <x:v>0</x:v>
      </x:c>
    </x:row>
    <x:row r="183" ht="30" customHeight="1">
      <x:c r="A183" s="16" t="str">
        <x:v>能耗权重放大</x:v>
      </x:c>
      <x:c r="B183" s="16" t="str">
        <x:v>S002-WAT-03</x:v>
      </x:c>
      <x:c r="C183" s="16" t="str">
        <x:v>S002</x:v>
      </x:c>
      <x:c r="D183" s="16" t="str">
        <x:v>Q2-011</x:v>
      </x:c>
      <x:c r="E183" s="13" t="n">
        <x:v>1</x:v>
      </x:c>
      <x:c r="F183" s="22" t="n">
        <x:v>4196.221</x:v>
      </x:c>
      <x:c r="G183" s="22" t="n">
        <x:v>3600</x:v>
      </x:c>
      <x:c r="H183" s="22"/>
      <x:c r="I183" s="22" t="n">
        <x:v>596.2209999999995</x:v>
      </x:c>
    </x:row>
    <x:row r="184" ht="30" customHeight="1">
      <x:c r="A184" s="12" t="str">
        <x:v>能耗权重放大</x:v>
      </x:c>
      <x:c r="B184" s="12" t="str">
        <x:v>S002-WAT-04</x:v>
      </x:c>
      <x:c r="C184" s="12" t="str">
        <x:v>S002</x:v>
      </x:c>
      <x:c r="D184" s="12" t="str">
        <x:v>Q2-011</x:v>
      </x:c>
      <x:c r="E184" s="5" t="n">
        <x:v>2</x:v>
      </x:c>
      <x:c r="F184" s="21" t="n">
        <x:v>4226.221</x:v>
      </x:c>
      <x:c r="G184" s="21" t="n">
        <x:v>3600</x:v>
      </x:c>
      <x:c r="H184" s="21"/>
      <x:c r="I184" s="21" t="n">
        <x:v>626.2209999999995</x:v>
      </x:c>
    </x:row>
    <x:row r="185" ht="30" customHeight="1">
      <x:c r="A185" s="16" t="str">
        <x:v>能耗权重放大</x:v>
      </x:c>
      <x:c r="B185" s="16" t="str">
        <x:v>S003-FOD-01</x:v>
      </x:c>
      <x:c r="C185" s="16" t="str">
        <x:v>S003</x:v>
      </x:c>
      <x:c r="D185" s="16" t="str">
        <x:v>Q2-016</x:v>
      </x:c>
      <x:c r="E185" s="13" t="n">
        <x:v>5</x:v>
      </x:c>
      <x:c r="F185" s="22" t="n">
        <x:v>7066.957</x:v>
      </x:c>
      <x:c r="G185" s="22" t="n">
        <x:v>10800</x:v>
      </x:c>
      <x:c r="H185" s="22"/>
      <x:c r="I185" s="22" t="n">
        <x:v>0</x:v>
      </x:c>
    </x:row>
    <x:row r="186" ht="30" customHeight="1">
      <x:c r="A186" s="12" t="str">
        <x:v>能耗权重放大</x:v>
      </x:c>
      <x:c r="B186" s="12" t="str">
        <x:v>S003-FOD-02</x:v>
      </x:c>
      <x:c r="C186" s="12" t="str">
        <x:v>S003</x:v>
      </x:c>
      <x:c r="D186" s="12" t="str">
        <x:v>Q2-016</x:v>
      </x:c>
      <x:c r="E186" s="5" t="n">
        <x:v>7</x:v>
      </x:c>
      <x:c r="F186" s="21" t="n">
        <x:v>7138.957</x:v>
      </x:c>
      <x:c r="G186" s="21" t="n">
        <x:v>10800</x:v>
      </x:c>
      <x:c r="H186" s="21"/>
      <x:c r="I186" s="21" t="n">
        <x:v>0</x:v>
      </x:c>
    </x:row>
    <x:row r="187" ht="30" customHeight="1">
      <x:c r="A187" s="16" t="str">
        <x:v>能耗权重放大</x:v>
      </x:c>
      <x:c r="B187" s="16" t="str">
        <x:v>S003-HYG-01</x:v>
      </x:c>
      <x:c r="C187" s="16" t="str">
        <x:v>S003</x:v>
      </x:c>
      <x:c r="D187" s="16" t="str">
        <x:v>Q2-016</x:v>
      </x:c>
      <x:c r="E187" s="13" t="n">
        <x:v>1</x:v>
      </x:c>
      <x:c r="F187" s="22" t="n">
        <x:v>6922.957</x:v>
      </x:c>
      <x:c r="G187" s="22" t="n">
        <x:v>14400</x:v>
      </x:c>
      <x:c r="H187" s="22"/>
      <x:c r="I187" s="22" t="n">
        <x:v>0</x:v>
      </x:c>
    </x:row>
    <x:row r="188" ht="30" customHeight="1">
      <x:c r="A188" s="12" t="str">
        <x:v>能耗权重放大</x:v>
      </x:c>
      <x:c r="B188" s="12" t="str">
        <x:v>S003-MED-01</x:v>
      </x:c>
      <x:c r="C188" s="12" t="str">
        <x:v>S003</x:v>
      </x:c>
      <x:c r="D188" s="12" t="str">
        <x:v>Q2-016</x:v>
      </x:c>
      <x:c r="E188" s="5" t="n">
        <x:v>6</x:v>
      </x:c>
      <x:c r="F188" s="21" t="n">
        <x:v>7102.957</x:v>
      </x:c>
      <x:c r="G188" s="21" t="n">
        <x:v>7200</x:v>
      </x:c>
      <x:c r="H188" s="21" t="n">
        <x:v>7200</x:v>
      </x:c>
      <x:c r="I188" s="21" t="n">
        <x:v>0</x:v>
      </x:c>
    </x:row>
    <x:row r="189" ht="30" customHeight="1">
      <x:c r="A189" s="16" t="str">
        <x:v>能耗权重放大</x:v>
      </x:c>
      <x:c r="B189" s="16" t="str">
        <x:v>S003-WAT-01</x:v>
      </x:c>
      <x:c r="C189" s="16" t="str">
        <x:v>S003</x:v>
      </x:c>
      <x:c r="D189" s="16" t="str">
        <x:v>Q2-016</x:v>
      </x:c>
      <x:c r="E189" s="13" t="n">
        <x:v>2</x:v>
      </x:c>
      <x:c r="F189" s="22" t="n">
        <x:v>6958.957</x:v>
      </x:c>
      <x:c r="G189" s="22" t="n">
        <x:v>7200</x:v>
      </x:c>
      <x:c r="H189" s="22" t="n">
        <x:v>7200</x:v>
      </x:c>
      <x:c r="I189" s="22" t="n">
        <x:v>0</x:v>
      </x:c>
    </x:row>
    <x:row r="190" ht="30" customHeight="1">
      <x:c r="A190" s="12" t="str">
        <x:v>能耗权重放大</x:v>
      </x:c>
      <x:c r="B190" s="12" t="str">
        <x:v>S003-WAT-02</x:v>
      </x:c>
      <x:c r="C190" s="12" t="str">
        <x:v>S003</x:v>
      </x:c>
      <x:c r="D190" s="12" t="str">
        <x:v>Q2-016</x:v>
      </x:c>
      <x:c r="E190" s="5" t="n">
        <x:v>3</x:v>
      </x:c>
      <x:c r="F190" s="21" t="n">
        <x:v>6994.957</x:v>
      </x:c>
      <x:c r="G190" s="21" t="n">
        <x:v>7200</x:v>
      </x:c>
      <x:c r="H190" s="21"/>
      <x:c r="I190" s="21" t="n">
        <x:v>0</x:v>
      </x:c>
    </x:row>
    <x:row r="191" ht="30" customHeight="1">
      <x:c r="A191" s="16" t="str">
        <x:v>能耗权重放大</x:v>
      </x:c>
      <x:c r="B191" s="16" t="str">
        <x:v>S003-WAT-03</x:v>
      </x:c>
      <x:c r="C191" s="16" t="str">
        <x:v>S003</x:v>
      </x:c>
      <x:c r="D191" s="16" t="str">
        <x:v>Q2-013</x:v>
      </x:c>
      <x:c r="E191" s="13" t="n">
        <x:v>1</x:v>
      </x:c>
      <x:c r="F191" s="22" t="n">
        <x:v>5437.486</x:v>
      </x:c>
      <x:c r="G191" s="22" t="n">
        <x:v>7200</x:v>
      </x:c>
      <x:c r="H191" s="22"/>
      <x:c r="I191" s="22" t="n">
        <x:v>0</x:v>
      </x:c>
    </x:row>
    <x:row r="192" ht="30" customHeight="1">
      <x:c r="A192" s="12" t="str">
        <x:v>能耗权重放大</x:v>
      </x:c>
      <x:c r="B192" s="12" t="str">
        <x:v>S003-WAT-04</x:v>
      </x:c>
      <x:c r="C192" s="12" t="str">
        <x:v>S003</x:v>
      </x:c>
      <x:c r="D192" s="12" t="str">
        <x:v>Q2-016</x:v>
      </x:c>
      <x:c r="E192" s="5" t="n">
        <x:v>4</x:v>
      </x:c>
      <x:c r="F192" s="21" t="n">
        <x:v>7030.957</x:v>
      </x:c>
      <x:c r="G192" s="21" t="n">
        <x:v>7200</x:v>
      </x:c>
      <x:c r="H192" s="21"/>
      <x:c r="I192" s="21" t="n">
        <x:v>0</x:v>
      </x:c>
    </x:row>
    <x:row r="193" ht="30" customHeight="1">
      <x:c r="A193" s="16" t="str">
        <x:v>能耗权重放大</x:v>
      </x:c>
      <x:c r="B193" s="16" t="str">
        <x:v>S004-FOD-01</x:v>
      </x:c>
      <x:c r="C193" s="16" t="str">
        <x:v>S004</x:v>
      </x:c>
      <x:c r="D193" s="16" t="str">
        <x:v>Q2-015</x:v>
      </x:c>
      <x:c r="E193" s="13" t="n">
        <x:v>2</x:v>
      </x:c>
      <x:c r="F193" s="22" t="n">
        <x:v>6359.31</x:v>
      </x:c>
      <x:c r="G193" s="22" t="n">
        <x:v>10800</x:v>
      </x:c>
      <x:c r="H193" s="22"/>
      <x:c r="I193" s="22" t="n">
        <x:v>0</x:v>
      </x:c>
    </x:row>
    <x:row r="194" ht="30" customHeight="1">
      <x:c r="A194" s="12" t="str">
        <x:v>能耗权重放大</x:v>
      </x:c>
      <x:c r="B194" s="12" t="str">
        <x:v>S004-HYG-01</x:v>
      </x:c>
      <x:c r="C194" s="12" t="str">
        <x:v>S004</x:v>
      </x:c>
      <x:c r="D194" s="12" t="str">
        <x:v>Q2-012</x:v>
      </x:c>
      <x:c r="E194" s="5" t="n">
        <x:v>2</x:v>
      </x:c>
      <x:c r="F194" s="21" t="n">
        <x:v>4637.85</x:v>
      </x:c>
      <x:c r="G194" s="21" t="n">
        <x:v>14400</x:v>
      </x:c>
      <x:c r="H194" s="21"/>
      <x:c r="I194" s="21" t="n">
        <x:v>0</x:v>
      </x:c>
    </x:row>
    <x:row r="195" ht="30" customHeight="1">
      <x:c r="A195" s="16" t="str">
        <x:v>能耗权重放大</x:v>
      </x:c>
      <x:c r="B195" s="16" t="str">
        <x:v>S004-MED-01</x:v>
      </x:c>
      <x:c r="C195" s="16" t="str">
        <x:v>S004</x:v>
      </x:c>
      <x:c r="D195" s="16" t="str">
        <x:v>Q2-015</x:v>
      </x:c>
      <x:c r="E195" s="13" t="n">
        <x:v>1</x:v>
      </x:c>
      <x:c r="F195" s="22" t="n">
        <x:v>6329.31</x:v>
      </x:c>
      <x:c r="G195" s="22" t="n">
        <x:v>7200</x:v>
      </x:c>
      <x:c r="H195" s="22" t="n">
        <x:v>7200</x:v>
      </x:c>
      <x:c r="I195" s="22" t="n">
        <x:v>0</x:v>
      </x:c>
    </x:row>
    <x:row r="196" ht="30" customHeight="1">
      <x:c r="A196" s="12" t="str">
        <x:v>能耗权重放大</x:v>
      </x:c>
      <x:c r="B196" s="12" t="str">
        <x:v>S004-WAT-01</x:v>
      </x:c>
      <x:c r="C196" s="12" t="str">
        <x:v>S004</x:v>
      </x:c>
      <x:c r="D196" s="12" t="str">
        <x:v>Q2-012</x:v>
      </x:c>
      <x:c r="E196" s="5" t="n">
        <x:v>1</x:v>
      </x:c>
      <x:c r="F196" s="21" t="n">
        <x:v>4601.85</x:v>
      </x:c>
      <x:c r="G196" s="21" t="n">
        <x:v>7200</x:v>
      </x:c>
      <x:c r="H196" s="21" t="n">
        <x:v>7200</x:v>
      </x:c>
      <x:c r="I196" s="21" t="n">
        <x:v>0</x:v>
      </x:c>
    </x:row>
    <x:row r="197" ht="30" customHeight="1">
      <x:c r="A197" s="16" t="str">
        <x:v>能耗权重放大</x:v>
      </x:c>
      <x:c r="B197" s="16" t="str">
        <x:v>S004-WAT-02</x:v>
      </x:c>
      <x:c r="C197" s="16" t="str">
        <x:v>S004</x:v>
      </x:c>
      <x:c r="D197" s="16" t="str">
        <x:v>Q2-012</x:v>
      </x:c>
      <x:c r="E197" s="13" t="n">
        <x:v>4</x:v>
      </x:c>
      <x:c r="F197" s="22" t="n">
        <x:v>4709.85</x:v>
      </x:c>
      <x:c r="G197" s="22" t="n">
        <x:v>7200</x:v>
      </x:c>
      <x:c r="H197" s="22"/>
      <x:c r="I197" s="22" t="n">
        <x:v>0</x:v>
      </x:c>
    </x:row>
    <x:row r="198" ht="30" customHeight="1">
      <x:c r="A198" s="12" t="str">
        <x:v>能耗权重放大</x:v>
      </x:c>
      <x:c r="B198" s="12" t="str">
        <x:v>S004-WAT-03</x:v>
      </x:c>
      <x:c r="C198" s="12" t="str">
        <x:v>S004</x:v>
      </x:c>
      <x:c r="D198" s="12" t="str">
        <x:v>Q2-012</x:v>
      </x:c>
      <x:c r="E198" s="5" t="n">
        <x:v>3</x:v>
      </x:c>
      <x:c r="F198" s="21" t="n">
        <x:v>4673.85</x:v>
      </x:c>
      <x:c r="G198" s="21" t="n">
        <x:v>7200</x:v>
      </x:c>
      <x:c r="H198" s="21"/>
      <x:c r="I198" s="21" t="n">
        <x:v>0</x:v>
      </x:c>
    </x:row>
    <x:row r="199" ht="30" customHeight="1">
      <x:c r="A199" s="16" t="str">
        <x:v>能耗权重放大</x:v>
      </x:c>
      <x:c r="B199" s="16" t="str">
        <x:v>S005-FOD-01</x:v>
      </x:c>
      <x:c r="C199" s="16" t="str">
        <x:v>S005</x:v>
      </x:c>
      <x:c r="D199" s="16" t="str">
        <x:v>Q2-018</x:v>
      </x:c>
      <x:c r="E199" s="13" t="n">
        <x:v>4</x:v>
      </x:c>
      <x:c r="F199" s="22" t="n">
        <x:v>8220.827</x:v>
      </x:c>
      <x:c r="G199" s="22" t="n">
        <x:v>14400</x:v>
      </x:c>
      <x:c r="H199" s="22"/>
      <x:c r="I199" s="22" t="n">
        <x:v>0</x:v>
      </x:c>
    </x:row>
    <x:row r="200" ht="30" customHeight="1">
      <x:c r="A200" s="12" t="str">
        <x:v>能耗权重放大</x:v>
      </x:c>
      <x:c r="B200" s="12" t="str">
        <x:v>S005-HYG-01</x:v>
      </x:c>
      <x:c r="C200" s="12" t="str">
        <x:v>S005</x:v>
      </x:c>
      <x:c r="D200" s="12" t="str">
        <x:v>Q2-018</x:v>
      </x:c>
      <x:c r="E200" s="5" t="n">
        <x:v>5</x:v>
      </x:c>
      <x:c r="F200" s="21" t="n">
        <x:v>8256.827</x:v>
      </x:c>
      <x:c r="G200" s="21" t="n">
        <x:v>18000</x:v>
      </x:c>
      <x:c r="H200" s="21"/>
      <x:c r="I200" s="21" t="n">
        <x:v>0</x:v>
      </x:c>
    </x:row>
    <x:row r="201" ht="30" customHeight="1">
      <x:c r="A201" s="16" t="str">
        <x:v>能耗权重放大</x:v>
      </x:c>
      <x:c r="B201" s="16" t="str">
        <x:v>S005-MED-01</x:v>
      </x:c>
      <x:c r="C201" s="16" t="str">
        <x:v>S005</x:v>
      </x:c>
      <x:c r="D201" s="16" t="str">
        <x:v>Q2-018</x:v>
      </x:c>
      <x:c r="E201" s="13" t="n">
        <x:v>1</x:v>
      </x:c>
      <x:c r="F201" s="22" t="n">
        <x:v>8112.827</x:v>
      </x:c>
      <x:c r="G201" s="22" t="n">
        <x:v>10800</x:v>
      </x:c>
      <x:c r="H201" s="22" t="n">
        <x:v>10800</x:v>
      </x:c>
      <x:c r="I201" s="22" t="n">
        <x:v>0</x:v>
      </x:c>
    </x:row>
    <x:row r="202" ht="30" customHeight="1">
      <x:c r="A202" s="12" t="str">
        <x:v>能耗权重放大</x:v>
      </x:c>
      <x:c r="B202" s="12" t="str">
        <x:v>S005-WAT-01</x:v>
      </x:c>
      <x:c r="C202" s="12" t="str">
        <x:v>S005</x:v>
      </x:c>
      <x:c r="D202" s="12" t="str">
        <x:v>Q2-018</x:v>
      </x:c>
      <x:c r="E202" s="5" t="n">
        <x:v>2</x:v>
      </x:c>
      <x:c r="F202" s="21" t="n">
        <x:v>8148.827</x:v>
      </x:c>
      <x:c r="G202" s="21" t="n">
        <x:v>10800</x:v>
      </x:c>
      <x:c r="H202" s="21" t="n">
        <x:v>10800</x:v>
      </x:c>
      <x:c r="I202" s="21" t="n">
        <x:v>0</x:v>
      </x:c>
    </x:row>
    <x:row r="203" ht="30" customHeight="1">
      <x:c r="A203" s="16" t="str">
        <x:v>能耗权重放大</x:v>
      </x:c>
      <x:c r="B203" s="16" t="str">
        <x:v>S005-WAT-02</x:v>
      </x:c>
      <x:c r="C203" s="16" t="str">
        <x:v>S005</x:v>
      </x:c>
      <x:c r="D203" s="16" t="str">
        <x:v>Q2-018</x:v>
      </x:c>
      <x:c r="E203" s="13" t="n">
        <x:v>3</x:v>
      </x:c>
      <x:c r="F203" s="22" t="n">
        <x:v>8184.827</x:v>
      </x:c>
      <x:c r="G203" s="22" t="n">
        <x:v>10800</x:v>
      </x:c>
      <x:c r="H203" s="22"/>
      <x:c r="I203" s="22" t="n">
        <x:v>0</x:v>
      </x:c>
    </x:row>
    <x:row r="204" ht="30" customHeight="1">
      <x:c r="A204" s="12" t="str">
        <x:v>能耗权重放大</x:v>
      </x:c>
      <x:c r="B204" s="12" t="str">
        <x:v>S005-WAT-03</x:v>
      </x:c>
      <x:c r="C204" s="12" t="str">
        <x:v>S005</x:v>
      </x:c>
      <x:c r="D204" s="12" t="str">
        <x:v>Q2-015</x:v>
      </x:c>
      <x:c r="E204" s="5" t="n">
        <x:v>1</x:v>
      </x:c>
      <x:c r="F204" s="21" t="n">
        <x:v>5863.485</x:v>
      </x:c>
      <x:c r="G204" s="21" t="n">
        <x:v>10800</x:v>
      </x:c>
      <x:c r="H204" s="21"/>
      <x:c r="I204" s="21" t="n">
        <x:v>0</x:v>
      </x:c>
    </x:row>
    <x:row r="205" ht="30" customHeight="1">
      <x:c r="A205" s="16" t="str">
        <x:v>能耗权重放大</x:v>
      </x:c>
      <x:c r="B205" s="16" t="str">
        <x:v>S006-FOD-01</x:v>
      </x:c>
      <x:c r="C205" s="16" t="str">
        <x:v>S006</x:v>
      </x:c>
      <x:c r="D205" s="16" t="str">
        <x:v>Q2-005</x:v>
      </x:c>
      <x:c r="E205" s="13" t="n">
        <x:v>5</x:v>
      </x:c>
      <x:c r="F205" s="22" t="n">
        <x:v>1173.422</x:v>
      </x:c>
      <x:c r="G205" s="22" t="n">
        <x:v>7200</x:v>
      </x:c>
      <x:c r="H205" s="22"/>
      <x:c r="I205" s="22" t="n">
        <x:v>0</x:v>
      </x:c>
    </x:row>
    <x:row r="206" ht="30" customHeight="1">
      <x:c r="A206" s="12" t="str">
        <x:v>能耗权重放大</x:v>
      </x:c>
      <x:c r="B206" s="12" t="str">
        <x:v>S006-HYG-01</x:v>
      </x:c>
      <x:c r="C206" s="12" t="str">
        <x:v>S006</x:v>
      </x:c>
      <x:c r="D206" s="12" t="str">
        <x:v>Q2-005</x:v>
      </x:c>
      <x:c r="E206" s="5" t="n">
        <x:v>6</x:v>
      </x:c>
      <x:c r="F206" s="21" t="n">
        <x:v>1209.422</x:v>
      </x:c>
      <x:c r="G206" s="21" t="n">
        <x:v>10800</x:v>
      </x:c>
      <x:c r="H206" s="21"/>
      <x:c r="I206" s="21" t="n">
        <x:v>0</x:v>
      </x:c>
    </x:row>
    <x:row r="207" ht="30" customHeight="1">
      <x:c r="A207" s="16" t="str">
        <x:v>能耗权重放大</x:v>
      </x:c>
      <x:c r="B207" s="16" t="str">
        <x:v>S006-MED-01</x:v>
      </x:c>
      <x:c r="C207" s="16" t="str">
        <x:v>S006</x:v>
      </x:c>
      <x:c r="D207" s="16" t="str">
        <x:v>Q2-005</x:v>
      </x:c>
      <x:c r="E207" s="13" t="n">
        <x:v>1</x:v>
      </x:c>
      <x:c r="F207" s="22" t="n">
        <x:v>1029.422</x:v>
      </x:c>
      <x:c r="G207" s="22" t="n">
        <x:v>3600</x:v>
      </x:c>
      <x:c r="H207" s="22" t="n">
        <x:v>3600</x:v>
      </x:c>
      <x:c r="I207" s="22" t="n">
        <x:v>0</x:v>
      </x:c>
    </x:row>
    <x:row r="208" ht="30" customHeight="1">
      <x:c r="A208" s="12" t="str">
        <x:v>能耗权重放大</x:v>
      </x:c>
      <x:c r="B208" s="12" t="str">
        <x:v>S006-WAT-01</x:v>
      </x:c>
      <x:c r="C208" s="12" t="str">
        <x:v>S006</x:v>
      </x:c>
      <x:c r="D208" s="12" t="str">
        <x:v>Q2-005</x:v>
      </x:c>
      <x:c r="E208" s="5" t="n">
        <x:v>2</x:v>
      </x:c>
      <x:c r="F208" s="21" t="n">
        <x:v>1065.422</x:v>
      </x:c>
      <x:c r="G208" s="21" t="n">
        <x:v>3600</x:v>
      </x:c>
      <x:c r="H208" s="21" t="n">
        <x:v>3600</x:v>
      </x:c>
      <x:c r="I208" s="21" t="n">
        <x:v>0</x:v>
      </x:c>
    </x:row>
    <x:row r="209" ht="30" customHeight="1">
      <x:c r="A209" s="16" t="str">
        <x:v>能耗权重放大</x:v>
      </x:c>
      <x:c r="B209" s="16" t="str">
        <x:v>S006-WAT-02</x:v>
      </x:c>
      <x:c r="C209" s="16" t="str">
        <x:v>S006</x:v>
      </x:c>
      <x:c r="D209" s="16" t="str">
        <x:v>Q2-005</x:v>
      </x:c>
      <x:c r="E209" s="13" t="n">
        <x:v>3</x:v>
      </x:c>
      <x:c r="F209" s="22" t="n">
        <x:v>1101.422</x:v>
      </x:c>
      <x:c r="G209" s="22" t="n">
        <x:v>3600</x:v>
      </x:c>
      <x:c r="H209" s="22"/>
      <x:c r="I209" s="22" t="n">
        <x:v>0</x:v>
      </x:c>
    </x:row>
    <x:row r="210" ht="30" customHeight="1">
      <x:c r="A210" s="12" t="str">
        <x:v>能耗权重放大</x:v>
      </x:c>
      <x:c r="B210" s="12" t="str">
        <x:v>S006-WAT-03</x:v>
      </x:c>
      <x:c r="C210" s="12" t="str">
        <x:v>S006</x:v>
      </x:c>
      <x:c r="D210" s="12" t="str">
        <x:v>Q2-005</x:v>
      </x:c>
      <x:c r="E210" s="5" t="n">
        <x:v>4</x:v>
      </x:c>
      <x:c r="F210" s="21" t="n">
        <x:v>1137.422</x:v>
      </x:c>
      <x:c r="G210" s="21" t="n">
        <x:v>3600</x:v>
      </x:c>
      <x:c r="H210" s="21"/>
      <x:c r="I210" s="21" t="n">
        <x:v>0</x:v>
      </x:c>
    </x:row>
    <x:row r="211" ht="30" customHeight="1">
      <x:c r="A211" s="16" t="str">
        <x:v>能耗权重放大</x:v>
      </x:c>
      <x:c r="B211" s="16" t="str">
        <x:v>S007-FOD-01</x:v>
      </x:c>
      <x:c r="C211" s="16" t="str">
        <x:v>S007</x:v>
      </x:c>
      <x:c r="D211" s="16" t="str">
        <x:v>Q2-002</x:v>
      </x:c>
      <x:c r="E211" s="13" t="n">
        <x:v>2</x:v>
      </x:c>
      <x:c r="F211" s="22" t="n">
        <x:v>1141.374</x:v>
      </x:c>
      <x:c r="G211" s="22" t="n">
        <x:v>7200</x:v>
      </x:c>
      <x:c r="H211" s="22"/>
      <x:c r="I211" s="22" t="n">
        <x:v>0</x:v>
      </x:c>
    </x:row>
    <x:row r="212" ht="30" customHeight="1">
      <x:c r="A212" s="12" t="str">
        <x:v>能耗权重放大</x:v>
      </x:c>
      <x:c r="B212" s="12" t="str">
        <x:v>S007-HYG-01</x:v>
      </x:c>
      <x:c r="C212" s="12" t="str">
        <x:v>S007</x:v>
      </x:c>
      <x:c r="D212" s="12" t="str">
        <x:v>Q2-004</x:v>
      </x:c>
      <x:c r="E212" s="5" t="n">
        <x:v>2</x:v>
      </x:c>
      <x:c r="F212" s="21" t="n">
        <x:v>1141.374</x:v>
      </x:c>
      <x:c r="G212" s="21" t="n">
        <x:v>10800</x:v>
      </x:c>
      <x:c r="H212" s="21"/>
      <x:c r="I212" s="21" t="n">
        <x:v>0</x:v>
      </x:c>
    </x:row>
    <x:row r="213" ht="30" customHeight="1">
      <x:c r="A213" s="16" t="str">
        <x:v>能耗权重放大</x:v>
      </x:c>
      <x:c r="B213" s="16" t="str">
        <x:v>S007-MED-01</x:v>
      </x:c>
      <x:c r="C213" s="16" t="str">
        <x:v>S007</x:v>
      </x:c>
      <x:c r="D213" s="16" t="str">
        <x:v>Q2-004</x:v>
      </x:c>
      <x:c r="E213" s="13" t="n">
        <x:v>1</x:v>
      </x:c>
      <x:c r="F213" s="22" t="n">
        <x:v>1111.374</x:v>
      </x:c>
      <x:c r="G213" s="22" t="n">
        <x:v>3600</x:v>
      </x:c>
      <x:c r="H213" s="22" t="n">
        <x:v>3600</x:v>
      </x:c>
      <x:c r="I213" s="22" t="n">
        <x:v>0</x:v>
      </x:c>
    </x:row>
    <x:row r="214" ht="30" customHeight="1">
      <x:c r="A214" s="12" t="str">
        <x:v>能耗权重放大</x:v>
      </x:c>
      <x:c r="B214" s="12" t="str">
        <x:v>S007-WAT-01</x:v>
      </x:c>
      <x:c r="C214" s="12" t="str">
        <x:v>S007</x:v>
      </x:c>
      <x:c r="D214" s="12" t="str">
        <x:v>Q2-002</x:v>
      </x:c>
      <x:c r="E214" s="5" t="n">
        <x:v>1</x:v>
      </x:c>
      <x:c r="F214" s="21" t="n">
        <x:v>1111.374</x:v>
      </x:c>
      <x:c r="G214" s="21" t="n">
        <x:v>3600</x:v>
      </x:c>
      <x:c r="H214" s="21" t="n">
        <x:v>3600</x:v>
      </x:c>
      <x:c r="I214" s="21" t="n">
        <x:v>0</x:v>
      </x:c>
    </x:row>
    <x:row r="215" ht="30" customHeight="1">
      <x:c r="A215" s="16" t="str">
        <x:v>能耗权重放大</x:v>
      </x:c>
      <x:c r="B215" s="16" t="str">
        <x:v>S007-WAT-02</x:v>
      </x:c>
      <x:c r="C215" s="16" t="str">
        <x:v>S007</x:v>
      </x:c>
      <x:c r="D215" s="16" t="str">
        <x:v>Q2-013</x:v>
      </x:c>
      <x:c r="E215" s="13" t="n">
        <x:v>1</x:v>
      </x:c>
      <x:c r="F215" s="22" t="n">
        <x:v>5895.778</x:v>
      </x:c>
      <x:c r="G215" s="22" t="n">
        <x:v>3600</x:v>
      </x:c>
      <x:c r="H215" s="22"/>
      <x:c r="I215" s="22" t="n">
        <x:v>2295.7780000000002</x:v>
      </x:c>
    </x:row>
    <x:row r="216" ht="30" customHeight="1">
      <x:c r="A216" s="12" t="str">
        <x:v>能耗权重放大</x:v>
      </x:c>
      <x:c r="B216" s="12" t="str">
        <x:v>S008-FOD-01</x:v>
      </x:c>
      <x:c r="C216" s="12" t="str">
        <x:v>S008</x:v>
      </x:c>
      <x:c r="D216" s="12" t="str">
        <x:v>Q2-017</x:v>
      </x:c>
      <x:c r="E216" s="5" t="n">
        <x:v>3</x:v>
      </x:c>
      <x:c r="F216" s="21" t="n">
        <x:v>6985.568</x:v>
      </x:c>
      <x:c r="G216" s="21" t="n">
        <x:v>10800</x:v>
      </x:c>
      <x:c r="H216" s="21"/>
      <x:c r="I216" s="21" t="n">
        <x:v>0</x:v>
      </x:c>
    </x:row>
    <x:row r="217" ht="30" customHeight="1">
      <x:c r="A217" s="16" t="str">
        <x:v>能耗权重放大</x:v>
      </x:c>
      <x:c r="B217" s="16" t="str">
        <x:v>S008-HYG-01</x:v>
      </x:c>
      <x:c r="C217" s="16" t="str">
        <x:v>S008</x:v>
      </x:c>
      <x:c r="D217" s="16" t="str">
        <x:v>Q2-014</x:v>
      </x:c>
      <x:c r="E217" s="13" t="n">
        <x:v>2</x:v>
      </x:c>
      <x:c r="F217" s="22" t="n">
        <x:v>5023.725</x:v>
      </x:c>
      <x:c r="G217" s="22" t="n">
        <x:v>14400</x:v>
      </x:c>
      <x:c r="H217" s="22"/>
      <x:c r="I217" s="22" t="n">
        <x:v>0</x:v>
      </x:c>
    </x:row>
    <x:row r="218" ht="30" customHeight="1">
      <x:c r="A218" s="12" t="str">
        <x:v>能耗权重放大</x:v>
      </x:c>
      <x:c r="B218" s="12" t="str">
        <x:v>S008-MED-01</x:v>
      </x:c>
      <x:c r="C218" s="12" t="str">
        <x:v>S008</x:v>
      </x:c>
      <x:c r="D218" s="12" t="str">
        <x:v>Q2-017</x:v>
      </x:c>
      <x:c r="E218" s="5" t="n">
        <x:v>1</x:v>
      </x:c>
      <x:c r="F218" s="21" t="n">
        <x:v>6925.568</x:v>
      </x:c>
      <x:c r="G218" s="21" t="n">
        <x:v>7200</x:v>
      </x:c>
      <x:c r="H218" s="21" t="n">
        <x:v>7200</x:v>
      </x:c>
      <x:c r="I218" s="21" t="n">
        <x:v>0</x:v>
      </x:c>
    </x:row>
    <x:row r="219" ht="30" customHeight="1">
      <x:c r="A219" s="16" t="str">
        <x:v>能耗权重放大</x:v>
      </x:c>
      <x:c r="B219" s="16" t="str">
        <x:v>S008-WAT-01</x:v>
      </x:c>
      <x:c r="C219" s="16" t="str">
        <x:v>S008</x:v>
      </x:c>
      <x:c r="D219" s="16" t="str">
        <x:v>Q2-017</x:v>
      </x:c>
      <x:c r="E219" s="13" t="n">
        <x:v>2</x:v>
      </x:c>
      <x:c r="F219" s="22" t="n">
        <x:v>6955.568</x:v>
      </x:c>
      <x:c r="G219" s="22" t="n">
        <x:v>7200</x:v>
      </x:c>
      <x:c r="H219" s="22" t="n">
        <x:v>7200</x:v>
      </x:c>
      <x:c r="I219" s="22" t="n">
        <x:v>0</x:v>
      </x:c>
    </x:row>
    <x:row r="220" ht="30" customHeight="1">
      <x:c r="A220" s="12" t="str">
        <x:v>能耗权重放大</x:v>
      </x:c>
      <x:c r="B220" s="12" t="str">
        <x:v>S008-WAT-02</x:v>
      </x:c>
      <x:c r="C220" s="12" t="str">
        <x:v>S008</x:v>
      </x:c>
      <x:c r="D220" s="12" t="str">
        <x:v>Q2-014</x:v>
      </x:c>
      <x:c r="E220" s="5" t="n">
        <x:v>1</x:v>
      </x:c>
      <x:c r="F220" s="21" t="n">
        <x:v>4993.725</x:v>
      </x:c>
      <x:c r="G220" s="21" t="n">
        <x:v>7200</x:v>
      </x:c>
      <x:c r="H220" s="21"/>
      <x:c r="I220" s="21" t="n">
        <x:v>0</x:v>
      </x:c>
    </x:row>
    <x:row r="221" ht="30" customHeight="1">
      <x:c r="A221" s="16" t="str">
        <x:v>能耗权重放大</x:v>
      </x:c>
      <x:c r="B221" s="16" t="str">
        <x:v>S009-FOD-01</x:v>
      </x:c>
      <x:c r="C221" s="16" t="str">
        <x:v>S009</x:v>
      </x:c>
      <x:c r="D221" s="16" t="str">
        <x:v>Q2-019</x:v>
      </x:c>
      <x:c r="E221" s="13" t="n">
        <x:v>3</x:v>
      </x:c>
      <x:c r="F221" s="22" t="n">
        <x:v>8129.307</x:v>
      </x:c>
      <x:c r="G221" s="22" t="n">
        <x:v>14400</x:v>
      </x:c>
      <x:c r="H221" s="22"/>
      <x:c r="I221" s="22" t="n">
        <x:v>0</x:v>
      </x:c>
    </x:row>
    <x:row r="222" ht="30" customHeight="1">
      <x:c r="A222" s="12" t="str">
        <x:v>能耗权重放大</x:v>
      </x:c>
      <x:c r="B222" s="12" t="str">
        <x:v>S009-MED-01</x:v>
      </x:c>
      <x:c r="C222" s="12" t="str">
        <x:v>S009</x:v>
      </x:c>
      <x:c r="D222" s="12" t="str">
        <x:v>Q2-019</x:v>
      </x:c>
      <x:c r="E222" s="5" t="n">
        <x:v>1</x:v>
      </x:c>
      <x:c r="F222" s="21" t="n">
        <x:v>8069.307</x:v>
      </x:c>
      <x:c r="G222" s="21" t="n">
        <x:v>10800</x:v>
      </x:c>
      <x:c r="H222" s="21" t="n">
        <x:v>10800</x:v>
      </x:c>
      <x:c r="I222" s="21" t="n">
        <x:v>0</x:v>
      </x:c>
    </x:row>
    <x:row r="223" ht="30" customHeight="1">
      <x:c r="A223" s="16" t="str">
        <x:v>能耗权重放大</x:v>
      </x:c>
      <x:c r="B223" s="16" t="str">
        <x:v>S009-WAT-01</x:v>
      </x:c>
      <x:c r="C223" s="16" t="str">
        <x:v>S009</x:v>
      </x:c>
      <x:c r="D223" s="16" t="str">
        <x:v>Q2-019</x:v>
      </x:c>
      <x:c r="E223" s="13" t="n">
        <x:v>2</x:v>
      </x:c>
      <x:c r="F223" s="22" t="n">
        <x:v>8099.307</x:v>
      </x:c>
      <x:c r="G223" s="22" t="n">
        <x:v>10800</x:v>
      </x:c>
      <x:c r="H223" s="22" t="n">
        <x:v>10800</x:v>
      </x:c>
      <x:c r="I223" s="22" t="n">
        <x:v>0</x:v>
      </x:c>
    </x:row>
    <x:row r="224" ht="30" customHeight="1">
      <x:c r="A224" s="12" t="str">
        <x:v>能耗权重放大</x:v>
      </x:c>
      <x:c r="B224" s="12" t="str">
        <x:v>S010-FOD-01</x:v>
      </x:c>
      <x:c r="C224" s="12" t="str">
        <x:v>S010</x:v>
      </x:c>
      <x:c r="D224" s="12" t="str">
        <x:v>Q2-008</x:v>
      </x:c>
      <x:c r="E224" s="5" t="n">
        <x:v>2</x:v>
      </x:c>
      <x:c r="F224" s="21" t="n">
        <x:v>2565.752</x:v>
      </x:c>
      <x:c r="G224" s="21" t="n">
        <x:v>7200</x:v>
      </x:c>
      <x:c r="H224" s="21"/>
      <x:c r="I224" s="21" t="n">
        <x:v>0</x:v>
      </x:c>
    </x:row>
    <x:row r="225" ht="30" customHeight="1">
      <x:c r="A225" s="16" t="str">
        <x:v>能耗权重放大</x:v>
      </x:c>
      <x:c r="B225" s="16" t="str">
        <x:v>S010-MED-01</x:v>
      </x:c>
      <x:c r="C225" s="16" t="str">
        <x:v>S010</x:v>
      </x:c>
      <x:c r="D225" s="16" t="str">
        <x:v>Q2-008</x:v>
      </x:c>
      <x:c r="E225" s="13" t="n">
        <x:v>1</x:v>
      </x:c>
      <x:c r="F225" s="22" t="n">
        <x:v>2535.752</x:v>
      </x:c>
      <x:c r="G225" s="22" t="n">
        <x:v>3600</x:v>
      </x:c>
      <x:c r="H225" s="22" t="n">
        <x:v>3600</x:v>
      </x:c>
      <x:c r="I225" s="22" t="n">
        <x:v>0</x:v>
      </x:c>
    </x:row>
    <x:row r="226" ht="30" customHeight="1">
      <x:c r="A226" s="12" t="str">
        <x:v>能耗权重放大</x:v>
      </x:c>
      <x:c r="B226" s="12" t="str">
        <x:v>S010-WAT-01</x:v>
      </x:c>
      <x:c r="C226" s="12" t="str">
        <x:v>S010</x:v>
      </x:c>
      <x:c r="D226" s="12" t="str">
        <x:v>Q2-008</x:v>
      </x:c>
      <x:c r="E226" s="5" t="n">
        <x:v>3</x:v>
      </x:c>
      <x:c r="F226" s="21" t="n">
        <x:v>2595.752</x:v>
      </x:c>
      <x:c r="G226" s="21" t="n">
        <x:v>3600</x:v>
      </x:c>
      <x:c r="H226" s="21" t="n">
        <x:v>3600</x:v>
      </x:c>
      <x:c r="I226" s="21" t="n">
        <x:v>0</x:v>
      </x:c>
    </x:row>
    <x:row r="227" ht="30" customHeight="1">
      <x:c r="A227" s="16" t="str">
        <x:v>能耗权重放大</x:v>
      </x:c>
      <x:c r="B227" s="16" t="str">
        <x:v>S011-FOD-01</x:v>
      </x:c>
      <x:c r="C227" s="16" t="str">
        <x:v>S011</x:v>
      </x:c>
      <x:c r="D227" s="16" t="str">
        <x:v>Q2-018</x:v>
      </x:c>
      <x:c r="E227" s="13" t="n">
        <x:v>3</x:v>
      </x:c>
      <x:c r="F227" s="22" t="n">
        <x:v>7579.522</x:v>
      </x:c>
      <x:c r="G227" s="22" t="n">
        <x:v>14400</x:v>
      </x:c>
      <x:c r="H227" s="22"/>
      <x:c r="I227" s="22" t="n">
        <x:v>0</x:v>
      </x:c>
    </x:row>
    <x:row r="228" ht="30" customHeight="1">
      <x:c r="A228" s="12" t="str">
        <x:v>能耗权重放大</x:v>
      </x:c>
      <x:c r="B228" s="12" t="str">
        <x:v>S011-MED-01</x:v>
      </x:c>
      <x:c r="C228" s="12" t="str">
        <x:v>S011</x:v>
      </x:c>
      <x:c r="D228" s="12" t="str">
        <x:v>Q2-018</x:v>
      </x:c>
      <x:c r="E228" s="5" t="n">
        <x:v>1</x:v>
      </x:c>
      <x:c r="F228" s="21" t="n">
        <x:v>7507.522</x:v>
      </x:c>
      <x:c r="G228" s="21" t="n">
        <x:v>10800</x:v>
      </x:c>
      <x:c r="H228" s="21" t="n">
        <x:v>10800</x:v>
      </x:c>
      <x:c r="I228" s="21" t="n">
        <x:v>0</x:v>
      </x:c>
    </x:row>
    <x:row r="229" ht="30" customHeight="1">
      <x:c r="A229" s="16" t="str">
        <x:v>能耗权重放大</x:v>
      </x:c>
      <x:c r="B229" s="16" t="str">
        <x:v>S011-WAT-01</x:v>
      </x:c>
      <x:c r="C229" s="16" t="str">
        <x:v>S011</x:v>
      </x:c>
      <x:c r="D229" s="16" t="str">
        <x:v>Q2-018</x:v>
      </x:c>
      <x:c r="E229" s="13" t="n">
        <x:v>2</x:v>
      </x:c>
      <x:c r="F229" s="22" t="n">
        <x:v>7543.522</x:v>
      </x:c>
      <x:c r="G229" s="22" t="n">
        <x:v>10800</x:v>
      </x:c>
      <x:c r="H229" s="22" t="n">
        <x:v>10800</x:v>
      </x:c>
      <x:c r="I229" s="22" t="n">
        <x:v>0</x:v>
      </x:c>
    </x:row>
    <x:row r="230" ht="30" customHeight="1">
      <x:c r="A230" s="12" t="str">
        <x:v>能耗权重放大</x:v>
      </x:c>
      <x:c r="B230" s="12" t="str">
        <x:v>S012-FOD-01</x:v>
      </x:c>
      <x:c r="C230" s="12" t="str">
        <x:v>S012</x:v>
      </x:c>
      <x:c r="D230" s="12" t="str">
        <x:v>Q2-010</x:v>
      </x:c>
      <x:c r="E230" s="5" t="n">
        <x:v>3</x:v>
      </x:c>
      <x:c r="F230" s="21" t="n">
        <x:v>3141.093</x:v>
      </x:c>
      <x:c r="G230" s="21" t="n">
        <x:v>7200</x:v>
      </x:c>
      <x:c r="H230" s="21"/>
      <x:c r="I230" s="21" t="n">
        <x:v>0</x:v>
      </x:c>
    </x:row>
    <x:row r="231" ht="30" customHeight="1">
      <x:c r="A231" s="16" t="str">
        <x:v>能耗权重放大</x:v>
      </x:c>
      <x:c r="B231" s="16" t="str">
        <x:v>S012-MED-01</x:v>
      </x:c>
      <x:c r="C231" s="16" t="str">
        <x:v>S012</x:v>
      </x:c>
      <x:c r="D231" s="16" t="str">
        <x:v>Q2-010</x:v>
      </x:c>
      <x:c r="E231" s="13" t="n">
        <x:v>2</x:v>
      </x:c>
      <x:c r="F231" s="22" t="n">
        <x:v>3111.093</x:v>
      </x:c>
      <x:c r="G231" s="22" t="n">
        <x:v>7200</x:v>
      </x:c>
      <x:c r="H231" s="22" t="n">
        <x:v>3600</x:v>
      </x:c>
      <x:c r="I231" s="22" t="n">
        <x:v>0</x:v>
      </x:c>
    </x:row>
    <x:row r="232" ht="30" customHeight="1">
      <x:c r="A232" s="12" t="str">
        <x:v>能耗权重放大</x:v>
      </x:c>
      <x:c r="B232" s="12" t="str">
        <x:v>S012-WAT-01</x:v>
      </x:c>
      <x:c r="C232" s="12" t="str">
        <x:v>S012</x:v>
      </x:c>
      <x:c r="D232" s="12" t="str">
        <x:v>Q2-010</x:v>
      </x:c>
      <x:c r="E232" s="5" t="n">
        <x:v>1</x:v>
      </x:c>
      <x:c r="F232" s="21" t="n">
        <x:v>3081.093</x:v>
      </x:c>
      <x:c r="G232" s="21" t="n">
        <x:v>3600</x:v>
      </x:c>
      <x:c r="H232" s="21" t="n">
        <x:v>3600</x:v>
      </x:c>
      <x:c r="I232" s="21" t="n">
        <x:v>0</x:v>
      </x:c>
    </x:row>
    <x:row r="233" ht="30" customHeight="1">
      <x:c r="A233" s="16" t="str">
        <x:v>能耗权重放大</x:v>
      </x:c>
      <x:c r="B233" s="16" t="str">
        <x:v>S013-FOD-01</x:v>
      </x:c>
      <x:c r="C233" s="16" t="str">
        <x:v>S013</x:v>
      </x:c>
      <x:c r="D233" s="16" t="str">
        <x:v>Q2-001</x:v>
      </x:c>
      <x:c r="E233" s="13" t="n">
        <x:v>3</x:v>
      </x:c>
      <x:c r="F233" s="22" t="n">
        <x:v>1062.79</x:v>
      </x:c>
      <x:c r="G233" s="22" t="n">
        <x:v>7200</x:v>
      </x:c>
      <x:c r="H233" s="22"/>
      <x:c r="I233" s="22" t="n">
        <x:v>0</x:v>
      </x:c>
    </x:row>
    <x:row r="234" ht="30" customHeight="1">
      <x:c r="A234" s="12" t="str">
        <x:v>能耗权重放大</x:v>
      </x:c>
      <x:c r="B234" s="12" t="str">
        <x:v>S013-MED-01</x:v>
      </x:c>
      <x:c r="C234" s="12" t="str">
        <x:v>S013</x:v>
      </x:c>
      <x:c r="D234" s="12" t="str">
        <x:v>Q2-001</x:v>
      </x:c>
      <x:c r="E234" s="5" t="n">
        <x:v>1</x:v>
      </x:c>
      <x:c r="F234" s="21" t="n">
        <x:v>1002.79</x:v>
      </x:c>
      <x:c r="G234" s="21" t="n">
        <x:v>3600</x:v>
      </x:c>
      <x:c r="H234" s="21" t="n">
        <x:v>3600</x:v>
      </x:c>
      <x:c r="I234" s="21" t="n">
        <x:v>0</x:v>
      </x:c>
    </x:row>
    <x:row r="235" ht="30" customHeight="1">
      <x:c r="A235" s="16" t="str">
        <x:v>能耗权重放大</x:v>
      </x:c>
      <x:c r="B235" s="16" t="str">
        <x:v>S013-WAT-01</x:v>
      </x:c>
      <x:c r="C235" s="16" t="str">
        <x:v>S013</x:v>
      </x:c>
      <x:c r="D235" s="16" t="str">
        <x:v>Q2-001</x:v>
      </x:c>
      <x:c r="E235" s="13" t="n">
        <x:v>2</x:v>
      </x:c>
      <x:c r="F235" s="22" t="n">
        <x:v>1032.79</x:v>
      </x:c>
      <x:c r="G235" s="22" t="n">
        <x:v>3600</x:v>
      </x:c>
      <x:c r="H235" s="22" t="n">
        <x:v>3600</x:v>
      </x:c>
      <x:c r="I235" s="22" t="n">
        <x:v>0</x:v>
      </x:c>
    </x:row>
    <x:row r="236" ht="30" customHeight="1">
      <x:c r="A236" s="12" t="str">
        <x:v>能耗权重放大</x:v>
      </x:c>
      <x:c r="B236" s="12" t="str">
        <x:v>S014-FOD-01</x:v>
      </x:c>
      <x:c r="C236" s="12" t="str">
        <x:v>S014</x:v>
      </x:c>
      <x:c r="D236" s="12" t="str">
        <x:v>Q2-003</x:v>
      </x:c>
      <x:c r="E236" s="5" t="n">
        <x:v>3</x:v>
      </x:c>
      <x:c r="F236" s="21" t="n">
        <x:v>1242.431</x:v>
      </x:c>
      <x:c r="G236" s="21" t="n">
        <x:v>7200</x:v>
      </x:c>
      <x:c r="H236" s="21"/>
      <x:c r="I236" s="21" t="n">
        <x:v>0</x:v>
      </x:c>
    </x:row>
    <x:row r="237" ht="30" customHeight="1">
      <x:c r="A237" s="16" t="str">
        <x:v>能耗权重放大</x:v>
      </x:c>
      <x:c r="B237" s="16" t="str">
        <x:v>S014-MED-01</x:v>
      </x:c>
      <x:c r="C237" s="16" t="str">
        <x:v>S014</x:v>
      </x:c>
      <x:c r="D237" s="16" t="str">
        <x:v>Q2-003</x:v>
      </x:c>
      <x:c r="E237" s="13" t="n">
        <x:v>2</x:v>
      </x:c>
      <x:c r="F237" s="22" t="n">
        <x:v>1212.431</x:v>
      </x:c>
      <x:c r="G237" s="22" t="n">
        <x:v>7200</x:v>
      </x:c>
      <x:c r="H237" s="22" t="n">
        <x:v>3600</x:v>
      </x:c>
      <x:c r="I237" s="22" t="n">
        <x:v>0</x:v>
      </x:c>
    </x:row>
    <x:row r="238" ht="30" customHeight="1">
      <x:c r="A238" s="12" t="str">
        <x:v>能耗权重放大</x:v>
      </x:c>
      <x:c r="B238" s="12" t="str">
        <x:v>S014-WAT-01</x:v>
      </x:c>
      <x:c r="C238" s="12" t="str">
        <x:v>S014</x:v>
      </x:c>
      <x:c r="D238" s="12" t="str">
        <x:v>Q2-003</x:v>
      </x:c>
      <x:c r="E238" s="5" t="n">
        <x:v>1</x:v>
      </x:c>
      <x:c r="F238" s="21" t="n">
        <x:v>1182.431</x:v>
      </x:c>
      <x:c r="G238" s="21" t="n">
        <x:v>3600</x:v>
      </x:c>
      <x:c r="H238" s="21" t="n">
        <x:v>3600</x:v>
      </x:c>
      <x:c r="I238" s="21" t="n">
        <x:v>0</x:v>
      </x:c>
    </x:row>
    <x:row r="239" ht="30" customHeight="1">
      <x:c r="A239" s="16" t="str">
        <x:v>能耗权重放大</x:v>
      </x:c>
      <x:c r="B239" s="16" t="str">
        <x:v>S015-FOD-01</x:v>
      </x:c>
      <x:c r="C239" s="16" t="str">
        <x:v>S015</x:v>
      </x:c>
      <x:c r="D239" s="16" t="str">
        <x:v>Q2-013</x:v>
      </x:c>
      <x:c r="E239" s="13" t="n">
        <x:v>3</x:v>
      </x:c>
      <x:c r="F239" s="22" t="n">
        <x:v>4966.962</x:v>
      </x:c>
      <x:c r="G239" s="22" t="n">
        <x:v>14400</x:v>
      </x:c>
      <x:c r="H239" s="22"/>
      <x:c r="I239" s="22" t="n">
        <x:v>0</x:v>
      </x:c>
    </x:row>
    <x:row r="240" ht="30" customHeight="1">
      <x:c r="A240" s="12" t="str">
        <x:v>能耗权重放大</x:v>
      </x:c>
      <x:c r="B240" s="12" t="str">
        <x:v>S015-MED-01</x:v>
      </x:c>
      <x:c r="C240" s="12" t="str">
        <x:v>S015</x:v>
      </x:c>
      <x:c r="D240" s="12" t="str">
        <x:v>Q2-013</x:v>
      </x:c>
      <x:c r="E240" s="5" t="n">
        <x:v>1</x:v>
      </x:c>
      <x:c r="F240" s="21" t="n">
        <x:v>4894.962</x:v>
      </x:c>
      <x:c r="G240" s="21" t="n">
        <x:v>7200</x:v>
      </x:c>
      <x:c r="H240" s="21" t="n">
        <x:v>7200</x:v>
      </x:c>
      <x:c r="I240" s="21" t="n">
        <x:v>0</x:v>
      </x:c>
    </x:row>
    <x:row r="241" ht="30" customHeight="1">
      <x:c r="A241" s="16" t="str">
        <x:v>能耗权重放大</x:v>
      </x:c>
      <x:c r="B241" s="16" t="str">
        <x:v>S015-WAT-01</x:v>
      </x:c>
      <x:c r="C241" s="16" t="str">
        <x:v>S015</x:v>
      </x:c>
      <x:c r="D241" s="16" t="str">
        <x:v>Q2-013</x:v>
      </x:c>
      <x:c r="E241" s="13" t="n">
        <x:v>2</x:v>
      </x:c>
      <x:c r="F241" s="22" t="n">
        <x:v>4930.962</x:v>
      </x:c>
      <x:c r="G241" s="22" t="n">
        <x:v>10800</x:v>
      </x:c>
      <x:c r="H241" s="22" t="n">
        <x:v>10800</x:v>
      </x:c>
      <x:c r="I241" s="22" t="n">
        <x:v>0</x:v>
      </x:c>
    </x:row>
    <x:row r="242" ht="30" customHeight="1">
      <x:c r="A242" s="12" t="str">
        <x:v>架次权重放大</x:v>
      </x:c>
      <x:c r="B242" s="12" t="str">
        <x:v>S001-FOD-01</x:v>
      </x:c>
      <x:c r="C242" s="12" t="str">
        <x:v>S001</x:v>
      </x:c>
      <x:c r="D242" s="12" t="str">
        <x:v>Q2-009</x:v>
      </x:c>
      <x:c r="E242" s="5" t="n">
        <x:v>7</x:v>
      </x:c>
      <x:c r="F242" s="21" t="n">
        <x:v>2869.827</x:v>
      </x:c>
      <x:c r="G242" s="21" t="n">
        <x:v>7200</x:v>
      </x:c>
      <x:c r="H242" s="21"/>
      <x:c r="I242" s="21" t="n">
        <x:v>0</x:v>
      </x:c>
    </x:row>
    <x:row r="243" ht="30" customHeight="1">
      <x:c r="A243" s="16" t="str">
        <x:v>架次权重放大</x:v>
      </x:c>
      <x:c r="B243" s="16" t="str">
        <x:v>S001-FOD-02</x:v>
      </x:c>
      <x:c r="C243" s="16" t="str">
        <x:v>S001</x:v>
      </x:c>
      <x:c r="D243" s="16" t="str">
        <x:v>Q2-009</x:v>
      </x:c>
      <x:c r="E243" s="13" t="n">
        <x:v>9</x:v>
      </x:c>
      <x:c r="F243" s="22" t="n">
        <x:v>2941.827</x:v>
      </x:c>
      <x:c r="G243" s="22" t="n">
        <x:v>7200</x:v>
      </x:c>
      <x:c r="H243" s="22"/>
      <x:c r="I243" s="22" t="n">
        <x:v>0</x:v>
      </x:c>
    </x:row>
    <x:row r="244" ht="30" customHeight="1">
      <x:c r="A244" s="12" t="str">
        <x:v>架次权重放大</x:v>
      </x:c>
      <x:c r="B244" s="12" t="str">
        <x:v>S001-FOD-03</x:v>
      </x:c>
      <x:c r="C244" s="12" t="str">
        <x:v>S001</x:v>
      </x:c>
      <x:c r="D244" s="12" t="str">
        <x:v>Q2-006</x:v>
      </x:c>
      <x:c r="E244" s="5" t="n">
        <x:v>6</x:v>
      </x:c>
      <x:c r="F244" s="21" t="n">
        <x:v>1182.274</x:v>
      </x:c>
      <x:c r="G244" s="21" t="n">
        <x:v>7200</x:v>
      </x:c>
      <x:c r="H244" s="21"/>
      <x:c r="I244" s="21" t="n">
        <x:v>0</x:v>
      </x:c>
    </x:row>
    <x:row r="245" ht="30" customHeight="1">
      <x:c r="A245" s="16" t="str">
        <x:v>架次权重放大</x:v>
      </x:c>
      <x:c r="B245" s="16" t="str">
        <x:v>S001-HYG-01</x:v>
      </x:c>
      <x:c r="C245" s="16" t="str">
        <x:v>S001</x:v>
      </x:c>
      <x:c r="D245" s="16" t="str">
        <x:v>Q2-009</x:v>
      </x:c>
      <x:c r="E245" s="13" t="n">
        <x:v>6</x:v>
      </x:c>
      <x:c r="F245" s="22" t="n">
        <x:v>2833.827</x:v>
      </x:c>
      <x:c r="G245" s="22" t="n">
        <x:v>10800</x:v>
      </x:c>
      <x:c r="H245" s="22"/>
      <x:c r="I245" s="22" t="n">
        <x:v>0</x:v>
      </x:c>
    </x:row>
    <x:row r="246" ht="30" customHeight="1">
      <x:c r="A246" s="12" t="str">
        <x:v>架次权重放大</x:v>
      </x:c>
      <x:c r="B246" s="12" t="str">
        <x:v>S001-HYG-02</x:v>
      </x:c>
      <x:c r="C246" s="12" t="str">
        <x:v>S001</x:v>
      </x:c>
      <x:c r="D246" s="12" t="str">
        <x:v>Q2-009</x:v>
      </x:c>
      <x:c r="E246" s="5" t="n">
        <x:v>8</x:v>
      </x:c>
      <x:c r="F246" s="21" t="n">
        <x:v>2905.827</x:v>
      </x:c>
      <x:c r="G246" s="21" t="n">
        <x:v>10800</x:v>
      </x:c>
      <x:c r="H246" s="21"/>
      <x:c r="I246" s="21" t="n">
        <x:v>0</x:v>
      </x:c>
    </x:row>
    <x:row r="247" ht="30" customHeight="1">
      <x:c r="A247" s="16" t="str">
        <x:v>架次权重放大</x:v>
      </x:c>
      <x:c r="B247" s="16" t="str">
        <x:v>S001-MED-01</x:v>
      </x:c>
      <x:c r="C247" s="16" t="str">
        <x:v>S001</x:v>
      </x:c>
      <x:c r="D247" s="16" t="str">
        <x:v>Q2-009</x:v>
      </x:c>
      <x:c r="E247" s="13" t="n">
        <x:v>1</x:v>
      </x:c>
      <x:c r="F247" s="22" t="n">
        <x:v>2653.827</x:v>
      </x:c>
      <x:c r="G247" s="22" t="n">
        <x:v>3600</x:v>
      </x:c>
      <x:c r="H247" s="22" t="n">
        <x:v>3600</x:v>
      </x:c>
      <x:c r="I247" s="22" t="n">
        <x:v>0</x:v>
      </x:c>
    </x:row>
    <x:row r="248" ht="30" customHeight="1">
      <x:c r="A248" s="12" t="str">
        <x:v>架次权重放大</x:v>
      </x:c>
      <x:c r="B248" s="12" t="str">
        <x:v>S001-MED-02</x:v>
      </x:c>
      <x:c r="C248" s="12" t="str">
        <x:v>S001</x:v>
      </x:c>
      <x:c r="D248" s="12" t="str">
        <x:v>Q2-009</x:v>
      </x:c>
      <x:c r="E248" s="5" t="n">
        <x:v>2</x:v>
      </x:c>
      <x:c r="F248" s="21" t="n">
        <x:v>2689.827</x:v>
      </x:c>
      <x:c r="G248" s="21" t="n">
        <x:v>3600</x:v>
      </x:c>
      <x:c r="H248" s="21" t="n">
        <x:v>3600</x:v>
      </x:c>
      <x:c r="I248" s="21" t="n">
        <x:v>0</x:v>
      </x:c>
    </x:row>
    <x:row r="249" ht="30" customHeight="1">
      <x:c r="A249" s="16" t="str">
        <x:v>架次权重放大</x:v>
      </x:c>
      <x:c r="B249" s="16" t="str">
        <x:v>S001-WAT-01</x:v>
      </x:c>
      <x:c r="C249" s="16" t="str">
        <x:v>S001</x:v>
      </x:c>
      <x:c r="D249" s="16" t="str">
        <x:v>Q2-006</x:v>
      </x:c>
      <x:c r="E249" s="13" t="n">
        <x:v>1</x:v>
      </x:c>
      <x:c r="F249" s="22" t="n">
        <x:v>1002.274</x:v>
      </x:c>
      <x:c r="G249" s="22" t="n">
        <x:v>3600</x:v>
      </x:c>
      <x:c r="H249" s="22" t="n">
        <x:v>3600</x:v>
      </x:c>
      <x:c r="I249" s="22" t="n">
        <x:v>0</x:v>
      </x:c>
    </x:row>
    <x:row r="250" ht="30" customHeight="1">
      <x:c r="A250" s="12" t="str">
        <x:v>架次权重放大</x:v>
      </x:c>
      <x:c r="B250" s="12" t="str">
        <x:v>S001-WAT-02</x:v>
      </x:c>
      <x:c r="C250" s="12" t="str">
        <x:v>S001</x:v>
      </x:c>
      <x:c r="D250" s="12" t="str">
        <x:v>Q2-006</x:v>
      </x:c>
      <x:c r="E250" s="5" t="n">
        <x:v>2</x:v>
      </x:c>
      <x:c r="F250" s="21" t="n">
        <x:v>1038.274</x:v>
      </x:c>
      <x:c r="G250" s="21" t="n">
        <x:v>3600</x:v>
      </x:c>
      <x:c r="H250" s="21"/>
      <x:c r="I250" s="21" t="n">
        <x:v>0</x:v>
      </x:c>
    </x:row>
    <x:row r="251" ht="30" customHeight="1">
      <x:c r="A251" s="16" t="str">
        <x:v>架次权重放大</x:v>
      </x:c>
      <x:c r="B251" s="16" t="str">
        <x:v>S001-WAT-03</x:v>
      </x:c>
      <x:c r="C251" s="16" t="str">
        <x:v>S001</x:v>
      </x:c>
      <x:c r="D251" s="16" t="str">
        <x:v>Q2-006</x:v>
      </x:c>
      <x:c r="E251" s="13" t="n">
        <x:v>3</x:v>
      </x:c>
      <x:c r="F251" s="22" t="n">
        <x:v>1074.274</x:v>
      </x:c>
      <x:c r="G251" s="22" t="n">
        <x:v>3600</x:v>
      </x:c>
      <x:c r="H251" s="22"/>
      <x:c r="I251" s="22" t="n">
        <x:v>0</x:v>
      </x:c>
    </x:row>
    <x:row r="252" ht="30" customHeight="1">
      <x:c r="A252" s="12" t="str">
        <x:v>架次权重放大</x:v>
      </x:c>
      <x:c r="B252" s="12" t="str">
        <x:v>S001-WAT-04</x:v>
      </x:c>
      <x:c r="C252" s="12" t="str">
        <x:v>S001</x:v>
      </x:c>
      <x:c r="D252" s="12" t="str">
        <x:v>Q2-009</x:v>
      </x:c>
      <x:c r="E252" s="5" t="n">
        <x:v>3</x:v>
      </x:c>
      <x:c r="F252" s="21" t="n">
        <x:v>2725.827</x:v>
      </x:c>
      <x:c r="G252" s="21" t="n">
        <x:v>3600</x:v>
      </x:c>
      <x:c r="H252" s="21"/>
      <x:c r="I252" s="21" t="n">
        <x:v>0</x:v>
      </x:c>
    </x:row>
    <x:row r="253" ht="30" customHeight="1">
      <x:c r="A253" s="16" t="str">
        <x:v>架次权重放大</x:v>
      </x:c>
      <x:c r="B253" s="16" t="str">
        <x:v>S001-WAT-05</x:v>
      </x:c>
      <x:c r="C253" s="16" t="str">
        <x:v>S001</x:v>
      </x:c>
      <x:c r="D253" s="16" t="str">
        <x:v>Q2-009</x:v>
      </x:c>
      <x:c r="E253" s="13" t="n">
        <x:v>4</x:v>
      </x:c>
      <x:c r="F253" s="22" t="n">
        <x:v>2761.827</x:v>
      </x:c>
      <x:c r="G253" s="22" t="n">
        <x:v>3600</x:v>
      </x:c>
      <x:c r="H253" s="22"/>
      <x:c r="I253" s="22" t="n">
        <x:v>0</x:v>
      </x:c>
    </x:row>
    <x:row r="254" ht="30" customHeight="1">
      <x:c r="A254" s="12" t="str">
        <x:v>架次权重放大</x:v>
      </x:c>
      <x:c r="B254" s="12" t="str">
        <x:v>S001-WAT-06</x:v>
      </x:c>
      <x:c r="C254" s="12" t="str">
        <x:v>S001</x:v>
      </x:c>
      <x:c r="D254" s="12" t="str">
        <x:v>Q2-009</x:v>
      </x:c>
      <x:c r="E254" s="5" t="n">
        <x:v>5</x:v>
      </x:c>
      <x:c r="F254" s="21" t="n">
        <x:v>2797.827</x:v>
      </x:c>
      <x:c r="G254" s="21" t="n">
        <x:v>3600</x:v>
      </x:c>
      <x:c r="H254" s="21"/>
      <x:c r="I254" s="21" t="n">
        <x:v>0</x:v>
      </x:c>
    </x:row>
    <x:row r="255" ht="30" customHeight="1">
      <x:c r="A255" s="16" t="str">
        <x:v>架次权重放大</x:v>
      </x:c>
      <x:c r="B255" s="16" t="str">
        <x:v>S001-WAT-07</x:v>
      </x:c>
      <x:c r="C255" s="16" t="str">
        <x:v>S001</x:v>
      </x:c>
      <x:c r="D255" s="16" t="str">
        <x:v>Q2-006</x:v>
      </x:c>
      <x:c r="E255" s="13" t="n">
        <x:v>4</x:v>
      </x:c>
      <x:c r="F255" s="22" t="n">
        <x:v>1110.274</x:v>
      </x:c>
      <x:c r="G255" s="22" t="n">
        <x:v>3600</x:v>
      </x:c>
      <x:c r="H255" s="22"/>
      <x:c r="I255" s="22" t="n">
        <x:v>0</x:v>
      </x:c>
    </x:row>
    <x:row r="256" ht="30" customHeight="1">
      <x:c r="A256" s="12" t="str">
        <x:v>架次权重放大</x:v>
      </x:c>
      <x:c r="B256" s="12" t="str">
        <x:v>S001-WAT-08</x:v>
      </x:c>
      <x:c r="C256" s="12" t="str">
        <x:v>S001</x:v>
      </x:c>
      <x:c r="D256" s="12" t="str">
        <x:v>Q2-006</x:v>
      </x:c>
      <x:c r="E256" s="5" t="n">
        <x:v>5</x:v>
      </x:c>
      <x:c r="F256" s="21" t="n">
        <x:v>1146.274</x:v>
      </x:c>
      <x:c r="G256" s="21" t="n">
        <x:v>3600</x:v>
      </x:c>
      <x:c r="H256" s="21"/>
      <x:c r="I256" s="21" t="n">
        <x:v>0</x:v>
      </x:c>
    </x:row>
    <x:row r="257" ht="30" customHeight="1">
      <x:c r="A257" s="16" t="str">
        <x:v>架次权重放大</x:v>
      </x:c>
      <x:c r="B257" s="16" t="str">
        <x:v>S002-FOD-01</x:v>
      </x:c>
      <x:c r="C257" s="16" t="str">
        <x:v>S002</x:v>
      </x:c>
      <x:c r="D257" s="16" t="str">
        <x:v>Q2-007</x:v>
      </x:c>
      <x:c r="E257" s="13" t="n">
        <x:v>3</x:v>
      </x:c>
      <x:c r="F257" s="22" t="n">
        <x:v>2873.509</x:v>
      </x:c>
      <x:c r="G257" s="22" t="n">
        <x:v>7200</x:v>
      </x:c>
      <x:c r="H257" s="22"/>
      <x:c r="I257" s="22" t="n">
        <x:v>0</x:v>
      </x:c>
    </x:row>
    <x:row r="258" ht="30" customHeight="1">
      <x:c r="A258" s="12" t="str">
        <x:v>架次权重放大</x:v>
      </x:c>
      <x:c r="B258" s="12" t="str">
        <x:v>S002-FOD-02</x:v>
      </x:c>
      <x:c r="C258" s="12" t="str">
        <x:v>S002</x:v>
      </x:c>
      <x:c r="D258" s="12" t="str">
        <x:v>Q2-007</x:v>
      </x:c>
      <x:c r="E258" s="5" t="n">
        <x:v>2</x:v>
      </x:c>
      <x:c r="F258" s="21" t="n">
        <x:v>2837.509</x:v>
      </x:c>
      <x:c r="G258" s="21" t="n">
        <x:v>7200</x:v>
      </x:c>
      <x:c r="H258" s="21"/>
      <x:c r="I258" s="21" t="n">
        <x:v>0</x:v>
      </x:c>
    </x:row>
    <x:row r="259" ht="30" customHeight="1">
      <x:c r="A259" s="16" t="str">
        <x:v>架次权重放大</x:v>
      </x:c>
      <x:c r="B259" s="16" t="str">
        <x:v>S002-HYG-01</x:v>
      </x:c>
      <x:c r="C259" s="16" t="str">
        <x:v>S002</x:v>
      </x:c>
      <x:c r="D259" s="16" t="str">
        <x:v>Q2-007</x:v>
      </x:c>
      <x:c r="E259" s="13" t="n">
        <x:v>1</x:v>
      </x:c>
      <x:c r="F259" s="22" t="n">
        <x:v>2801.509</x:v>
      </x:c>
      <x:c r="G259" s="22" t="n">
        <x:v>10800</x:v>
      </x:c>
      <x:c r="H259" s="22"/>
      <x:c r="I259" s="22" t="n">
        <x:v>0</x:v>
      </x:c>
    </x:row>
    <x:row r="260" ht="30" customHeight="1">
      <x:c r="A260" s="12" t="str">
        <x:v>架次权重放大</x:v>
      </x:c>
      <x:c r="B260" s="12" t="str">
        <x:v>S002-MED-01</x:v>
      </x:c>
      <x:c r="C260" s="12" t="str">
        <x:v>S002</x:v>
      </x:c>
      <x:c r="D260" s="12" t="str">
        <x:v>Q2-007</x:v>
      </x:c>
      <x:c r="E260" s="5" t="n">
        <x:v>4</x:v>
      </x:c>
      <x:c r="F260" s="21" t="n">
        <x:v>2909.509</x:v>
      </x:c>
      <x:c r="G260" s="21" t="n">
        <x:v>3600</x:v>
      </x:c>
      <x:c r="H260" s="21" t="n">
        <x:v>3600</x:v>
      </x:c>
      <x:c r="I260" s="21" t="n">
        <x:v>0</x:v>
      </x:c>
    </x:row>
    <x:row r="261" ht="30" customHeight="1">
      <x:c r="A261" s="16" t="str">
        <x:v>架次权重放大</x:v>
      </x:c>
      <x:c r="B261" s="16" t="str">
        <x:v>S002-WAT-01</x:v>
      </x:c>
      <x:c r="C261" s="16" t="str">
        <x:v>S002</x:v>
      </x:c>
      <x:c r="D261" s="16" t="str">
        <x:v>Q2-007</x:v>
      </x:c>
      <x:c r="E261" s="13" t="n">
        <x:v>5</x:v>
      </x:c>
      <x:c r="F261" s="22" t="n">
        <x:v>2945.509</x:v>
      </x:c>
      <x:c r="G261" s="22" t="n">
        <x:v>3600</x:v>
      </x:c>
      <x:c r="H261" s="22" t="n">
        <x:v>3600</x:v>
      </x:c>
      <x:c r="I261" s="22" t="n">
        <x:v>0</x:v>
      </x:c>
    </x:row>
    <x:row r="262" ht="30" customHeight="1">
      <x:c r="A262" s="12" t="str">
        <x:v>架次权重放大</x:v>
      </x:c>
      <x:c r="B262" s="12" t="str">
        <x:v>S002-WAT-02</x:v>
      </x:c>
      <x:c r="C262" s="12" t="str">
        <x:v>S002</x:v>
      </x:c>
      <x:c r="D262" s="12" t="str">
        <x:v>Q2-007</x:v>
      </x:c>
      <x:c r="E262" s="5" t="n">
        <x:v>6</x:v>
      </x:c>
      <x:c r="F262" s="21" t="n">
        <x:v>2981.509</x:v>
      </x:c>
      <x:c r="G262" s="21" t="n">
        <x:v>3600</x:v>
      </x:c>
      <x:c r="H262" s="21"/>
      <x:c r="I262" s="21" t="n">
        <x:v>0</x:v>
      </x:c>
    </x:row>
    <x:row r="263" ht="30" customHeight="1">
      <x:c r="A263" s="16" t="str">
        <x:v>架次权重放大</x:v>
      </x:c>
      <x:c r="B263" s="16" t="str">
        <x:v>S002-WAT-03</x:v>
      </x:c>
      <x:c r="C263" s="16" t="str">
        <x:v>S002</x:v>
      </x:c>
      <x:c r="D263" s="16" t="str">
        <x:v>Q2-011</x:v>
      </x:c>
      <x:c r="E263" s="13" t="n">
        <x:v>1</x:v>
      </x:c>
      <x:c r="F263" s="22" t="n">
        <x:v>4196.221</x:v>
      </x:c>
      <x:c r="G263" s="22" t="n">
        <x:v>3600</x:v>
      </x:c>
      <x:c r="H263" s="22"/>
      <x:c r="I263" s="22" t="n">
        <x:v>596.2209999999995</x:v>
      </x:c>
    </x:row>
    <x:row r="264" ht="30" customHeight="1">
      <x:c r="A264" s="12" t="str">
        <x:v>架次权重放大</x:v>
      </x:c>
      <x:c r="B264" s="12" t="str">
        <x:v>S002-WAT-04</x:v>
      </x:c>
      <x:c r="C264" s="12" t="str">
        <x:v>S002</x:v>
      </x:c>
      <x:c r="D264" s="12" t="str">
        <x:v>Q2-011</x:v>
      </x:c>
      <x:c r="E264" s="5" t="n">
        <x:v>2</x:v>
      </x:c>
      <x:c r="F264" s="21" t="n">
        <x:v>4226.221</x:v>
      </x:c>
      <x:c r="G264" s="21" t="n">
        <x:v>3600</x:v>
      </x:c>
      <x:c r="H264" s="21"/>
      <x:c r="I264" s="21" t="n">
        <x:v>626.2209999999995</x:v>
      </x:c>
    </x:row>
    <x:row r="265" ht="30" customHeight="1">
      <x:c r="A265" s="16" t="str">
        <x:v>架次权重放大</x:v>
      </x:c>
      <x:c r="B265" s="16" t="str">
        <x:v>S003-FOD-01</x:v>
      </x:c>
      <x:c r="C265" s="16" t="str">
        <x:v>S003</x:v>
      </x:c>
      <x:c r="D265" s="16" t="str">
        <x:v>Q2-016</x:v>
      </x:c>
      <x:c r="E265" s="13" t="n">
        <x:v>5</x:v>
      </x:c>
      <x:c r="F265" s="22" t="n">
        <x:v>7066.957</x:v>
      </x:c>
      <x:c r="G265" s="22" t="n">
        <x:v>10800</x:v>
      </x:c>
      <x:c r="H265" s="22"/>
      <x:c r="I265" s="22" t="n">
        <x:v>0</x:v>
      </x:c>
    </x:row>
    <x:row r="266" ht="30" customHeight="1">
      <x:c r="A266" s="12" t="str">
        <x:v>架次权重放大</x:v>
      </x:c>
      <x:c r="B266" s="12" t="str">
        <x:v>S003-FOD-02</x:v>
      </x:c>
      <x:c r="C266" s="12" t="str">
        <x:v>S003</x:v>
      </x:c>
      <x:c r="D266" s="12" t="str">
        <x:v>Q2-016</x:v>
      </x:c>
      <x:c r="E266" s="5" t="n">
        <x:v>7</x:v>
      </x:c>
      <x:c r="F266" s="21" t="n">
        <x:v>7138.957</x:v>
      </x:c>
      <x:c r="G266" s="21" t="n">
        <x:v>10800</x:v>
      </x:c>
      <x:c r="H266" s="21"/>
      <x:c r="I266" s="21" t="n">
        <x:v>0</x:v>
      </x:c>
    </x:row>
    <x:row r="267" ht="30" customHeight="1">
      <x:c r="A267" s="16" t="str">
        <x:v>架次权重放大</x:v>
      </x:c>
      <x:c r="B267" s="16" t="str">
        <x:v>S003-HYG-01</x:v>
      </x:c>
      <x:c r="C267" s="16" t="str">
        <x:v>S003</x:v>
      </x:c>
      <x:c r="D267" s="16" t="str">
        <x:v>Q2-016</x:v>
      </x:c>
      <x:c r="E267" s="13" t="n">
        <x:v>1</x:v>
      </x:c>
      <x:c r="F267" s="22" t="n">
        <x:v>6922.957</x:v>
      </x:c>
      <x:c r="G267" s="22" t="n">
        <x:v>14400</x:v>
      </x:c>
      <x:c r="H267" s="22"/>
      <x:c r="I267" s="22" t="n">
        <x:v>0</x:v>
      </x:c>
    </x:row>
    <x:row r="268" ht="30" customHeight="1">
      <x:c r="A268" s="12" t="str">
        <x:v>架次权重放大</x:v>
      </x:c>
      <x:c r="B268" s="12" t="str">
        <x:v>S003-MED-01</x:v>
      </x:c>
      <x:c r="C268" s="12" t="str">
        <x:v>S003</x:v>
      </x:c>
      <x:c r="D268" s="12" t="str">
        <x:v>Q2-016</x:v>
      </x:c>
      <x:c r="E268" s="5" t="n">
        <x:v>6</x:v>
      </x:c>
      <x:c r="F268" s="21" t="n">
        <x:v>7102.957</x:v>
      </x:c>
      <x:c r="G268" s="21" t="n">
        <x:v>7200</x:v>
      </x:c>
      <x:c r="H268" s="21" t="n">
        <x:v>7200</x:v>
      </x:c>
      <x:c r="I268" s="21" t="n">
        <x:v>0</x:v>
      </x:c>
    </x:row>
    <x:row r="269" ht="30" customHeight="1">
      <x:c r="A269" s="16" t="str">
        <x:v>架次权重放大</x:v>
      </x:c>
      <x:c r="B269" s="16" t="str">
        <x:v>S003-WAT-01</x:v>
      </x:c>
      <x:c r="C269" s="16" t="str">
        <x:v>S003</x:v>
      </x:c>
      <x:c r="D269" s="16" t="str">
        <x:v>Q2-016</x:v>
      </x:c>
      <x:c r="E269" s="13" t="n">
        <x:v>2</x:v>
      </x:c>
      <x:c r="F269" s="22" t="n">
        <x:v>6958.957</x:v>
      </x:c>
      <x:c r="G269" s="22" t="n">
        <x:v>7200</x:v>
      </x:c>
      <x:c r="H269" s="22" t="n">
        <x:v>7200</x:v>
      </x:c>
      <x:c r="I269" s="22" t="n">
        <x:v>0</x:v>
      </x:c>
    </x:row>
    <x:row r="270" ht="30" customHeight="1">
      <x:c r="A270" s="12" t="str">
        <x:v>架次权重放大</x:v>
      </x:c>
      <x:c r="B270" s="12" t="str">
        <x:v>S003-WAT-02</x:v>
      </x:c>
      <x:c r="C270" s="12" t="str">
        <x:v>S003</x:v>
      </x:c>
      <x:c r="D270" s="12" t="str">
        <x:v>Q2-016</x:v>
      </x:c>
      <x:c r="E270" s="5" t="n">
        <x:v>3</x:v>
      </x:c>
      <x:c r="F270" s="21" t="n">
        <x:v>6994.957</x:v>
      </x:c>
      <x:c r="G270" s="21" t="n">
        <x:v>7200</x:v>
      </x:c>
      <x:c r="H270" s="21"/>
      <x:c r="I270" s="21" t="n">
        <x:v>0</x:v>
      </x:c>
    </x:row>
    <x:row r="271" ht="30" customHeight="1">
      <x:c r="A271" s="16" t="str">
        <x:v>架次权重放大</x:v>
      </x:c>
      <x:c r="B271" s="16" t="str">
        <x:v>S003-WAT-03</x:v>
      </x:c>
      <x:c r="C271" s="16" t="str">
        <x:v>S003</x:v>
      </x:c>
      <x:c r="D271" s="16" t="str">
        <x:v>Q2-013</x:v>
      </x:c>
      <x:c r="E271" s="13" t="n">
        <x:v>1</x:v>
      </x:c>
      <x:c r="F271" s="22" t="n">
        <x:v>5437.486</x:v>
      </x:c>
      <x:c r="G271" s="22" t="n">
        <x:v>7200</x:v>
      </x:c>
      <x:c r="H271" s="22"/>
      <x:c r="I271" s="22" t="n">
        <x:v>0</x:v>
      </x:c>
    </x:row>
    <x:row r="272" ht="30" customHeight="1">
      <x:c r="A272" s="12" t="str">
        <x:v>架次权重放大</x:v>
      </x:c>
      <x:c r="B272" s="12" t="str">
        <x:v>S003-WAT-04</x:v>
      </x:c>
      <x:c r="C272" s="12" t="str">
        <x:v>S003</x:v>
      </x:c>
      <x:c r="D272" s="12" t="str">
        <x:v>Q2-016</x:v>
      </x:c>
      <x:c r="E272" s="5" t="n">
        <x:v>4</x:v>
      </x:c>
      <x:c r="F272" s="21" t="n">
        <x:v>7030.957</x:v>
      </x:c>
      <x:c r="G272" s="21" t="n">
        <x:v>7200</x:v>
      </x:c>
      <x:c r="H272" s="21"/>
      <x:c r="I272" s="21" t="n">
        <x:v>0</x:v>
      </x:c>
    </x:row>
    <x:row r="273" ht="30" customHeight="1">
      <x:c r="A273" s="16" t="str">
        <x:v>架次权重放大</x:v>
      </x:c>
      <x:c r="B273" s="16" t="str">
        <x:v>S004-FOD-01</x:v>
      </x:c>
      <x:c r="C273" s="16" t="str">
        <x:v>S004</x:v>
      </x:c>
      <x:c r="D273" s="16" t="str">
        <x:v>Q2-015</x:v>
      </x:c>
      <x:c r="E273" s="13" t="n">
        <x:v>2</x:v>
      </x:c>
      <x:c r="F273" s="22" t="n">
        <x:v>6359.31</x:v>
      </x:c>
      <x:c r="G273" s="22" t="n">
        <x:v>10800</x:v>
      </x:c>
      <x:c r="H273" s="22"/>
      <x:c r="I273" s="22" t="n">
        <x:v>0</x:v>
      </x:c>
    </x:row>
    <x:row r="274" ht="30" customHeight="1">
      <x:c r="A274" s="12" t="str">
        <x:v>架次权重放大</x:v>
      </x:c>
      <x:c r="B274" s="12" t="str">
        <x:v>S004-HYG-01</x:v>
      </x:c>
      <x:c r="C274" s="12" t="str">
        <x:v>S004</x:v>
      </x:c>
      <x:c r="D274" s="12" t="str">
        <x:v>Q2-012</x:v>
      </x:c>
      <x:c r="E274" s="5" t="n">
        <x:v>2</x:v>
      </x:c>
      <x:c r="F274" s="21" t="n">
        <x:v>4637.85</x:v>
      </x:c>
      <x:c r="G274" s="21" t="n">
        <x:v>14400</x:v>
      </x:c>
      <x:c r="H274" s="21"/>
      <x:c r="I274" s="21" t="n">
        <x:v>0</x:v>
      </x:c>
    </x:row>
    <x:row r="275" ht="30" customHeight="1">
      <x:c r="A275" s="16" t="str">
        <x:v>架次权重放大</x:v>
      </x:c>
      <x:c r="B275" s="16" t="str">
        <x:v>S004-MED-01</x:v>
      </x:c>
      <x:c r="C275" s="16" t="str">
        <x:v>S004</x:v>
      </x:c>
      <x:c r="D275" s="16" t="str">
        <x:v>Q2-015</x:v>
      </x:c>
      <x:c r="E275" s="13" t="n">
        <x:v>1</x:v>
      </x:c>
      <x:c r="F275" s="22" t="n">
        <x:v>6329.31</x:v>
      </x:c>
      <x:c r="G275" s="22" t="n">
        <x:v>7200</x:v>
      </x:c>
      <x:c r="H275" s="22" t="n">
        <x:v>7200</x:v>
      </x:c>
      <x:c r="I275" s="22" t="n">
        <x:v>0</x:v>
      </x:c>
    </x:row>
    <x:row r="276" ht="30" customHeight="1">
      <x:c r="A276" s="12" t="str">
        <x:v>架次权重放大</x:v>
      </x:c>
      <x:c r="B276" s="12" t="str">
        <x:v>S004-WAT-01</x:v>
      </x:c>
      <x:c r="C276" s="12" t="str">
        <x:v>S004</x:v>
      </x:c>
      <x:c r="D276" s="12" t="str">
        <x:v>Q2-012</x:v>
      </x:c>
      <x:c r="E276" s="5" t="n">
        <x:v>1</x:v>
      </x:c>
      <x:c r="F276" s="21" t="n">
        <x:v>4601.85</x:v>
      </x:c>
      <x:c r="G276" s="21" t="n">
        <x:v>7200</x:v>
      </x:c>
      <x:c r="H276" s="21" t="n">
        <x:v>7200</x:v>
      </x:c>
      <x:c r="I276" s="21" t="n">
        <x:v>0</x:v>
      </x:c>
    </x:row>
    <x:row r="277" ht="30" customHeight="1">
      <x:c r="A277" s="16" t="str">
        <x:v>架次权重放大</x:v>
      </x:c>
      <x:c r="B277" s="16" t="str">
        <x:v>S004-WAT-02</x:v>
      </x:c>
      <x:c r="C277" s="16" t="str">
        <x:v>S004</x:v>
      </x:c>
      <x:c r="D277" s="16" t="str">
        <x:v>Q2-012</x:v>
      </x:c>
      <x:c r="E277" s="13" t="n">
        <x:v>4</x:v>
      </x:c>
      <x:c r="F277" s="22" t="n">
        <x:v>4709.85</x:v>
      </x:c>
      <x:c r="G277" s="22" t="n">
        <x:v>7200</x:v>
      </x:c>
      <x:c r="H277" s="22"/>
      <x:c r="I277" s="22" t="n">
        <x:v>0</x:v>
      </x:c>
    </x:row>
    <x:row r="278" ht="30" customHeight="1">
      <x:c r="A278" s="12" t="str">
        <x:v>架次权重放大</x:v>
      </x:c>
      <x:c r="B278" s="12" t="str">
        <x:v>S004-WAT-03</x:v>
      </x:c>
      <x:c r="C278" s="12" t="str">
        <x:v>S004</x:v>
      </x:c>
      <x:c r="D278" s="12" t="str">
        <x:v>Q2-012</x:v>
      </x:c>
      <x:c r="E278" s="5" t="n">
        <x:v>3</x:v>
      </x:c>
      <x:c r="F278" s="21" t="n">
        <x:v>4673.85</x:v>
      </x:c>
      <x:c r="G278" s="21" t="n">
        <x:v>7200</x:v>
      </x:c>
      <x:c r="H278" s="21"/>
      <x:c r="I278" s="21" t="n">
        <x:v>0</x:v>
      </x:c>
    </x:row>
    <x:row r="279" ht="30" customHeight="1">
      <x:c r="A279" s="16" t="str">
        <x:v>架次权重放大</x:v>
      </x:c>
      <x:c r="B279" s="16" t="str">
        <x:v>S005-FOD-01</x:v>
      </x:c>
      <x:c r="C279" s="16" t="str">
        <x:v>S005</x:v>
      </x:c>
      <x:c r="D279" s="16" t="str">
        <x:v>Q2-018</x:v>
      </x:c>
      <x:c r="E279" s="13" t="n">
        <x:v>4</x:v>
      </x:c>
      <x:c r="F279" s="22" t="n">
        <x:v>8220.827</x:v>
      </x:c>
      <x:c r="G279" s="22" t="n">
        <x:v>14400</x:v>
      </x:c>
      <x:c r="H279" s="22"/>
      <x:c r="I279" s="22" t="n">
        <x:v>0</x:v>
      </x:c>
    </x:row>
    <x:row r="280" ht="30" customHeight="1">
      <x:c r="A280" s="12" t="str">
        <x:v>架次权重放大</x:v>
      </x:c>
      <x:c r="B280" s="12" t="str">
        <x:v>S005-HYG-01</x:v>
      </x:c>
      <x:c r="C280" s="12" t="str">
        <x:v>S005</x:v>
      </x:c>
      <x:c r="D280" s="12" t="str">
        <x:v>Q2-018</x:v>
      </x:c>
      <x:c r="E280" s="5" t="n">
        <x:v>5</x:v>
      </x:c>
      <x:c r="F280" s="21" t="n">
        <x:v>8256.827</x:v>
      </x:c>
      <x:c r="G280" s="21" t="n">
        <x:v>18000</x:v>
      </x:c>
      <x:c r="H280" s="21"/>
      <x:c r="I280" s="21" t="n">
        <x:v>0</x:v>
      </x:c>
    </x:row>
    <x:row r="281" ht="30" customHeight="1">
      <x:c r="A281" s="16" t="str">
        <x:v>架次权重放大</x:v>
      </x:c>
      <x:c r="B281" s="16" t="str">
        <x:v>S005-MED-01</x:v>
      </x:c>
      <x:c r="C281" s="16" t="str">
        <x:v>S005</x:v>
      </x:c>
      <x:c r="D281" s="16" t="str">
        <x:v>Q2-018</x:v>
      </x:c>
      <x:c r="E281" s="13" t="n">
        <x:v>1</x:v>
      </x:c>
      <x:c r="F281" s="22" t="n">
        <x:v>8112.827</x:v>
      </x:c>
      <x:c r="G281" s="22" t="n">
        <x:v>10800</x:v>
      </x:c>
      <x:c r="H281" s="22" t="n">
        <x:v>10800</x:v>
      </x:c>
      <x:c r="I281" s="22" t="n">
        <x:v>0</x:v>
      </x:c>
    </x:row>
    <x:row r="282" ht="30" customHeight="1">
      <x:c r="A282" s="12" t="str">
        <x:v>架次权重放大</x:v>
      </x:c>
      <x:c r="B282" s="12" t="str">
        <x:v>S005-WAT-01</x:v>
      </x:c>
      <x:c r="C282" s="12" t="str">
        <x:v>S005</x:v>
      </x:c>
      <x:c r="D282" s="12" t="str">
        <x:v>Q2-018</x:v>
      </x:c>
      <x:c r="E282" s="5" t="n">
        <x:v>2</x:v>
      </x:c>
      <x:c r="F282" s="21" t="n">
        <x:v>8148.827</x:v>
      </x:c>
      <x:c r="G282" s="21" t="n">
        <x:v>10800</x:v>
      </x:c>
      <x:c r="H282" s="21" t="n">
        <x:v>10800</x:v>
      </x:c>
      <x:c r="I282" s="21" t="n">
        <x:v>0</x:v>
      </x:c>
    </x:row>
    <x:row r="283" ht="30" customHeight="1">
      <x:c r="A283" s="16" t="str">
        <x:v>架次权重放大</x:v>
      </x:c>
      <x:c r="B283" s="16" t="str">
        <x:v>S005-WAT-02</x:v>
      </x:c>
      <x:c r="C283" s="16" t="str">
        <x:v>S005</x:v>
      </x:c>
      <x:c r="D283" s="16" t="str">
        <x:v>Q2-018</x:v>
      </x:c>
      <x:c r="E283" s="13" t="n">
        <x:v>3</x:v>
      </x:c>
      <x:c r="F283" s="22" t="n">
        <x:v>8184.827</x:v>
      </x:c>
      <x:c r="G283" s="22" t="n">
        <x:v>10800</x:v>
      </x:c>
      <x:c r="H283" s="22"/>
      <x:c r="I283" s="22" t="n">
        <x:v>0</x:v>
      </x:c>
    </x:row>
    <x:row r="284" ht="30" customHeight="1">
      <x:c r="A284" s="12" t="str">
        <x:v>架次权重放大</x:v>
      </x:c>
      <x:c r="B284" s="12" t="str">
        <x:v>S005-WAT-03</x:v>
      </x:c>
      <x:c r="C284" s="12" t="str">
        <x:v>S005</x:v>
      </x:c>
      <x:c r="D284" s="12" t="str">
        <x:v>Q2-015</x:v>
      </x:c>
      <x:c r="E284" s="5" t="n">
        <x:v>1</x:v>
      </x:c>
      <x:c r="F284" s="21" t="n">
        <x:v>5863.485</x:v>
      </x:c>
      <x:c r="G284" s="21" t="n">
        <x:v>10800</x:v>
      </x:c>
      <x:c r="H284" s="21"/>
      <x:c r="I284" s="21" t="n">
        <x:v>0</x:v>
      </x:c>
    </x:row>
    <x:row r="285" ht="30" customHeight="1">
      <x:c r="A285" s="16" t="str">
        <x:v>架次权重放大</x:v>
      </x:c>
      <x:c r="B285" s="16" t="str">
        <x:v>S006-FOD-01</x:v>
      </x:c>
      <x:c r="C285" s="16" t="str">
        <x:v>S006</x:v>
      </x:c>
      <x:c r="D285" s="16" t="str">
        <x:v>Q2-005</x:v>
      </x:c>
      <x:c r="E285" s="13" t="n">
        <x:v>5</x:v>
      </x:c>
      <x:c r="F285" s="22" t="n">
        <x:v>1173.422</x:v>
      </x:c>
      <x:c r="G285" s="22" t="n">
        <x:v>7200</x:v>
      </x:c>
      <x:c r="H285" s="22"/>
      <x:c r="I285" s="22" t="n">
        <x:v>0</x:v>
      </x:c>
    </x:row>
    <x:row r="286" ht="30" customHeight="1">
      <x:c r="A286" s="12" t="str">
        <x:v>架次权重放大</x:v>
      </x:c>
      <x:c r="B286" s="12" t="str">
        <x:v>S006-HYG-01</x:v>
      </x:c>
      <x:c r="C286" s="12" t="str">
        <x:v>S006</x:v>
      </x:c>
      <x:c r="D286" s="12" t="str">
        <x:v>Q2-005</x:v>
      </x:c>
      <x:c r="E286" s="5" t="n">
        <x:v>6</x:v>
      </x:c>
      <x:c r="F286" s="21" t="n">
        <x:v>1209.422</x:v>
      </x:c>
      <x:c r="G286" s="21" t="n">
        <x:v>10800</x:v>
      </x:c>
      <x:c r="H286" s="21"/>
      <x:c r="I286" s="21" t="n">
        <x:v>0</x:v>
      </x:c>
    </x:row>
    <x:row r="287" ht="30" customHeight="1">
      <x:c r="A287" s="16" t="str">
        <x:v>架次权重放大</x:v>
      </x:c>
      <x:c r="B287" s="16" t="str">
        <x:v>S006-MED-01</x:v>
      </x:c>
      <x:c r="C287" s="16" t="str">
        <x:v>S006</x:v>
      </x:c>
      <x:c r="D287" s="16" t="str">
        <x:v>Q2-005</x:v>
      </x:c>
      <x:c r="E287" s="13" t="n">
        <x:v>1</x:v>
      </x:c>
      <x:c r="F287" s="22" t="n">
        <x:v>1029.422</x:v>
      </x:c>
      <x:c r="G287" s="22" t="n">
        <x:v>3600</x:v>
      </x:c>
      <x:c r="H287" s="22" t="n">
        <x:v>3600</x:v>
      </x:c>
      <x:c r="I287" s="22" t="n">
        <x:v>0</x:v>
      </x:c>
    </x:row>
    <x:row r="288" ht="30" customHeight="1">
      <x:c r="A288" s="12" t="str">
        <x:v>架次权重放大</x:v>
      </x:c>
      <x:c r="B288" s="12" t="str">
        <x:v>S006-WAT-01</x:v>
      </x:c>
      <x:c r="C288" s="12" t="str">
        <x:v>S006</x:v>
      </x:c>
      <x:c r="D288" s="12" t="str">
        <x:v>Q2-005</x:v>
      </x:c>
      <x:c r="E288" s="5" t="n">
        <x:v>2</x:v>
      </x:c>
      <x:c r="F288" s="21" t="n">
        <x:v>1065.422</x:v>
      </x:c>
      <x:c r="G288" s="21" t="n">
        <x:v>3600</x:v>
      </x:c>
      <x:c r="H288" s="21" t="n">
        <x:v>3600</x:v>
      </x:c>
      <x:c r="I288" s="21" t="n">
        <x:v>0</x:v>
      </x:c>
    </x:row>
    <x:row r="289" ht="30" customHeight="1">
      <x:c r="A289" s="16" t="str">
        <x:v>架次权重放大</x:v>
      </x:c>
      <x:c r="B289" s="16" t="str">
        <x:v>S006-WAT-02</x:v>
      </x:c>
      <x:c r="C289" s="16" t="str">
        <x:v>S006</x:v>
      </x:c>
      <x:c r="D289" s="16" t="str">
        <x:v>Q2-005</x:v>
      </x:c>
      <x:c r="E289" s="13" t="n">
        <x:v>3</x:v>
      </x:c>
      <x:c r="F289" s="22" t="n">
        <x:v>1101.422</x:v>
      </x:c>
      <x:c r="G289" s="22" t="n">
        <x:v>3600</x:v>
      </x:c>
      <x:c r="H289" s="22"/>
      <x:c r="I289" s="22" t="n">
        <x:v>0</x:v>
      </x:c>
    </x:row>
    <x:row r="290" ht="30" customHeight="1">
      <x:c r="A290" s="12" t="str">
        <x:v>架次权重放大</x:v>
      </x:c>
      <x:c r="B290" s="12" t="str">
        <x:v>S006-WAT-03</x:v>
      </x:c>
      <x:c r="C290" s="12" t="str">
        <x:v>S006</x:v>
      </x:c>
      <x:c r="D290" s="12" t="str">
        <x:v>Q2-005</x:v>
      </x:c>
      <x:c r="E290" s="5" t="n">
        <x:v>4</x:v>
      </x:c>
      <x:c r="F290" s="21" t="n">
        <x:v>1137.422</x:v>
      </x:c>
      <x:c r="G290" s="21" t="n">
        <x:v>3600</x:v>
      </x:c>
      <x:c r="H290" s="21"/>
      <x:c r="I290" s="21" t="n">
        <x:v>0</x:v>
      </x:c>
    </x:row>
    <x:row r="291" ht="30" customHeight="1">
      <x:c r="A291" s="16" t="str">
        <x:v>架次权重放大</x:v>
      </x:c>
      <x:c r="B291" s="16" t="str">
        <x:v>S007-FOD-01</x:v>
      </x:c>
      <x:c r="C291" s="16" t="str">
        <x:v>S007</x:v>
      </x:c>
      <x:c r="D291" s="16" t="str">
        <x:v>Q2-002</x:v>
      </x:c>
      <x:c r="E291" s="13" t="n">
        <x:v>2</x:v>
      </x:c>
      <x:c r="F291" s="22" t="n">
        <x:v>1141.374</x:v>
      </x:c>
      <x:c r="G291" s="22" t="n">
        <x:v>7200</x:v>
      </x:c>
      <x:c r="H291" s="22"/>
      <x:c r="I291" s="22" t="n">
        <x:v>0</x:v>
      </x:c>
    </x:row>
    <x:row r="292" ht="30" customHeight="1">
      <x:c r="A292" s="12" t="str">
        <x:v>架次权重放大</x:v>
      </x:c>
      <x:c r="B292" s="12" t="str">
        <x:v>S007-HYG-01</x:v>
      </x:c>
      <x:c r="C292" s="12" t="str">
        <x:v>S007</x:v>
      </x:c>
      <x:c r="D292" s="12" t="str">
        <x:v>Q2-004</x:v>
      </x:c>
      <x:c r="E292" s="5" t="n">
        <x:v>2</x:v>
      </x:c>
      <x:c r="F292" s="21" t="n">
        <x:v>1141.374</x:v>
      </x:c>
      <x:c r="G292" s="21" t="n">
        <x:v>10800</x:v>
      </x:c>
      <x:c r="H292" s="21"/>
      <x:c r="I292" s="21" t="n">
        <x:v>0</x:v>
      </x:c>
    </x:row>
    <x:row r="293" ht="30" customHeight="1">
      <x:c r="A293" s="16" t="str">
        <x:v>架次权重放大</x:v>
      </x:c>
      <x:c r="B293" s="16" t="str">
        <x:v>S007-MED-01</x:v>
      </x:c>
      <x:c r="C293" s="16" t="str">
        <x:v>S007</x:v>
      </x:c>
      <x:c r="D293" s="16" t="str">
        <x:v>Q2-004</x:v>
      </x:c>
      <x:c r="E293" s="13" t="n">
        <x:v>1</x:v>
      </x:c>
      <x:c r="F293" s="22" t="n">
        <x:v>1111.374</x:v>
      </x:c>
      <x:c r="G293" s="22" t="n">
        <x:v>3600</x:v>
      </x:c>
      <x:c r="H293" s="22" t="n">
        <x:v>3600</x:v>
      </x:c>
      <x:c r="I293" s="22" t="n">
        <x:v>0</x:v>
      </x:c>
    </x:row>
    <x:row r="294" ht="30" customHeight="1">
      <x:c r="A294" s="12" t="str">
        <x:v>架次权重放大</x:v>
      </x:c>
      <x:c r="B294" s="12" t="str">
        <x:v>S007-WAT-01</x:v>
      </x:c>
      <x:c r="C294" s="12" t="str">
        <x:v>S007</x:v>
      </x:c>
      <x:c r="D294" s="12" t="str">
        <x:v>Q2-002</x:v>
      </x:c>
      <x:c r="E294" s="5" t="n">
        <x:v>1</x:v>
      </x:c>
      <x:c r="F294" s="21" t="n">
        <x:v>1111.374</x:v>
      </x:c>
      <x:c r="G294" s="21" t="n">
        <x:v>3600</x:v>
      </x:c>
      <x:c r="H294" s="21" t="n">
        <x:v>3600</x:v>
      </x:c>
      <x:c r="I294" s="21" t="n">
        <x:v>0</x:v>
      </x:c>
    </x:row>
    <x:row r="295" ht="30" customHeight="1">
      <x:c r="A295" s="16" t="str">
        <x:v>架次权重放大</x:v>
      </x:c>
      <x:c r="B295" s="16" t="str">
        <x:v>S007-WAT-02</x:v>
      </x:c>
      <x:c r="C295" s="16" t="str">
        <x:v>S007</x:v>
      </x:c>
      <x:c r="D295" s="16" t="str">
        <x:v>Q2-013</x:v>
      </x:c>
      <x:c r="E295" s="13" t="n">
        <x:v>1</x:v>
      </x:c>
      <x:c r="F295" s="22" t="n">
        <x:v>5895.778</x:v>
      </x:c>
      <x:c r="G295" s="22" t="n">
        <x:v>3600</x:v>
      </x:c>
      <x:c r="H295" s="22"/>
      <x:c r="I295" s="22" t="n">
        <x:v>2295.7780000000002</x:v>
      </x:c>
    </x:row>
    <x:row r="296" ht="30" customHeight="1">
      <x:c r="A296" s="12" t="str">
        <x:v>架次权重放大</x:v>
      </x:c>
      <x:c r="B296" s="12" t="str">
        <x:v>S008-FOD-01</x:v>
      </x:c>
      <x:c r="C296" s="12" t="str">
        <x:v>S008</x:v>
      </x:c>
      <x:c r="D296" s="12" t="str">
        <x:v>Q2-017</x:v>
      </x:c>
      <x:c r="E296" s="5" t="n">
        <x:v>3</x:v>
      </x:c>
      <x:c r="F296" s="21" t="n">
        <x:v>6985.568</x:v>
      </x:c>
      <x:c r="G296" s="21" t="n">
        <x:v>10800</x:v>
      </x:c>
      <x:c r="H296" s="21"/>
      <x:c r="I296" s="21" t="n">
        <x:v>0</x:v>
      </x:c>
    </x:row>
    <x:row r="297" ht="30" customHeight="1">
      <x:c r="A297" s="16" t="str">
        <x:v>架次权重放大</x:v>
      </x:c>
      <x:c r="B297" s="16" t="str">
        <x:v>S008-HYG-01</x:v>
      </x:c>
      <x:c r="C297" s="16" t="str">
        <x:v>S008</x:v>
      </x:c>
      <x:c r="D297" s="16" t="str">
        <x:v>Q2-014</x:v>
      </x:c>
      <x:c r="E297" s="13" t="n">
        <x:v>2</x:v>
      </x:c>
      <x:c r="F297" s="22" t="n">
        <x:v>5023.725</x:v>
      </x:c>
      <x:c r="G297" s="22" t="n">
        <x:v>14400</x:v>
      </x:c>
      <x:c r="H297" s="22"/>
      <x:c r="I297" s="22" t="n">
        <x:v>0</x:v>
      </x:c>
    </x:row>
    <x:row r="298" ht="30" customHeight="1">
      <x:c r="A298" s="12" t="str">
        <x:v>架次权重放大</x:v>
      </x:c>
      <x:c r="B298" s="12" t="str">
        <x:v>S008-MED-01</x:v>
      </x:c>
      <x:c r="C298" s="12" t="str">
        <x:v>S008</x:v>
      </x:c>
      <x:c r="D298" s="12" t="str">
        <x:v>Q2-017</x:v>
      </x:c>
      <x:c r="E298" s="5" t="n">
        <x:v>1</x:v>
      </x:c>
      <x:c r="F298" s="21" t="n">
        <x:v>6925.568</x:v>
      </x:c>
      <x:c r="G298" s="21" t="n">
        <x:v>7200</x:v>
      </x:c>
      <x:c r="H298" s="21" t="n">
        <x:v>7200</x:v>
      </x:c>
      <x:c r="I298" s="21" t="n">
        <x:v>0</x:v>
      </x:c>
    </x:row>
    <x:row r="299" ht="30" customHeight="1">
      <x:c r="A299" s="16" t="str">
        <x:v>架次权重放大</x:v>
      </x:c>
      <x:c r="B299" s="16" t="str">
        <x:v>S008-WAT-01</x:v>
      </x:c>
      <x:c r="C299" s="16" t="str">
        <x:v>S008</x:v>
      </x:c>
      <x:c r="D299" s="16" t="str">
        <x:v>Q2-017</x:v>
      </x:c>
      <x:c r="E299" s="13" t="n">
        <x:v>2</x:v>
      </x:c>
      <x:c r="F299" s="22" t="n">
        <x:v>6955.568</x:v>
      </x:c>
      <x:c r="G299" s="22" t="n">
        <x:v>7200</x:v>
      </x:c>
      <x:c r="H299" s="22" t="n">
        <x:v>7200</x:v>
      </x:c>
      <x:c r="I299" s="22" t="n">
        <x:v>0</x:v>
      </x:c>
    </x:row>
    <x:row r="300" ht="30" customHeight="1">
      <x:c r="A300" s="12" t="str">
        <x:v>架次权重放大</x:v>
      </x:c>
      <x:c r="B300" s="12" t="str">
        <x:v>S008-WAT-02</x:v>
      </x:c>
      <x:c r="C300" s="12" t="str">
        <x:v>S008</x:v>
      </x:c>
      <x:c r="D300" s="12" t="str">
        <x:v>Q2-014</x:v>
      </x:c>
      <x:c r="E300" s="5" t="n">
        <x:v>1</x:v>
      </x:c>
      <x:c r="F300" s="21" t="n">
        <x:v>4993.725</x:v>
      </x:c>
      <x:c r="G300" s="21" t="n">
        <x:v>7200</x:v>
      </x:c>
      <x:c r="H300" s="21"/>
      <x:c r="I300" s="21" t="n">
        <x:v>0</x:v>
      </x:c>
    </x:row>
    <x:row r="301" ht="30" customHeight="1">
      <x:c r="A301" s="16" t="str">
        <x:v>架次权重放大</x:v>
      </x:c>
      <x:c r="B301" s="16" t="str">
        <x:v>S009-FOD-01</x:v>
      </x:c>
      <x:c r="C301" s="16" t="str">
        <x:v>S009</x:v>
      </x:c>
      <x:c r="D301" s="16" t="str">
        <x:v>Q2-019</x:v>
      </x:c>
      <x:c r="E301" s="13" t="n">
        <x:v>3</x:v>
      </x:c>
      <x:c r="F301" s="22" t="n">
        <x:v>8129.307</x:v>
      </x:c>
      <x:c r="G301" s="22" t="n">
        <x:v>14400</x:v>
      </x:c>
      <x:c r="H301" s="22"/>
      <x:c r="I301" s="22" t="n">
        <x:v>0</x:v>
      </x:c>
    </x:row>
    <x:row r="302" ht="30" customHeight="1">
      <x:c r="A302" s="12" t="str">
        <x:v>架次权重放大</x:v>
      </x:c>
      <x:c r="B302" s="12" t="str">
        <x:v>S009-MED-01</x:v>
      </x:c>
      <x:c r="C302" s="12" t="str">
        <x:v>S009</x:v>
      </x:c>
      <x:c r="D302" s="12" t="str">
        <x:v>Q2-019</x:v>
      </x:c>
      <x:c r="E302" s="5" t="n">
        <x:v>1</x:v>
      </x:c>
      <x:c r="F302" s="21" t="n">
        <x:v>8069.307</x:v>
      </x:c>
      <x:c r="G302" s="21" t="n">
        <x:v>10800</x:v>
      </x:c>
      <x:c r="H302" s="21" t="n">
        <x:v>10800</x:v>
      </x:c>
      <x:c r="I302" s="21" t="n">
        <x:v>0</x:v>
      </x:c>
    </x:row>
    <x:row r="303" ht="30" customHeight="1">
      <x:c r="A303" s="16" t="str">
        <x:v>架次权重放大</x:v>
      </x:c>
      <x:c r="B303" s="16" t="str">
        <x:v>S009-WAT-01</x:v>
      </x:c>
      <x:c r="C303" s="16" t="str">
        <x:v>S009</x:v>
      </x:c>
      <x:c r="D303" s="16" t="str">
        <x:v>Q2-019</x:v>
      </x:c>
      <x:c r="E303" s="13" t="n">
        <x:v>2</x:v>
      </x:c>
      <x:c r="F303" s="22" t="n">
        <x:v>8099.307</x:v>
      </x:c>
      <x:c r="G303" s="22" t="n">
        <x:v>10800</x:v>
      </x:c>
      <x:c r="H303" s="22" t="n">
        <x:v>10800</x:v>
      </x:c>
      <x:c r="I303" s="22" t="n">
        <x:v>0</x:v>
      </x:c>
    </x:row>
    <x:row r="304" ht="30" customHeight="1">
      <x:c r="A304" s="12" t="str">
        <x:v>架次权重放大</x:v>
      </x:c>
      <x:c r="B304" s="12" t="str">
        <x:v>S010-FOD-01</x:v>
      </x:c>
      <x:c r="C304" s="12" t="str">
        <x:v>S010</x:v>
      </x:c>
      <x:c r="D304" s="12" t="str">
        <x:v>Q2-008</x:v>
      </x:c>
      <x:c r="E304" s="5" t="n">
        <x:v>2</x:v>
      </x:c>
      <x:c r="F304" s="21" t="n">
        <x:v>2565.752</x:v>
      </x:c>
      <x:c r="G304" s="21" t="n">
        <x:v>7200</x:v>
      </x:c>
      <x:c r="H304" s="21"/>
      <x:c r="I304" s="21" t="n">
        <x:v>0</x:v>
      </x:c>
    </x:row>
    <x:row r="305" ht="30" customHeight="1">
      <x:c r="A305" s="16" t="str">
        <x:v>架次权重放大</x:v>
      </x:c>
      <x:c r="B305" s="16" t="str">
        <x:v>S010-MED-01</x:v>
      </x:c>
      <x:c r="C305" s="16" t="str">
        <x:v>S010</x:v>
      </x:c>
      <x:c r="D305" s="16" t="str">
        <x:v>Q2-008</x:v>
      </x:c>
      <x:c r="E305" s="13" t="n">
        <x:v>1</x:v>
      </x:c>
      <x:c r="F305" s="22" t="n">
        <x:v>2535.752</x:v>
      </x:c>
      <x:c r="G305" s="22" t="n">
        <x:v>3600</x:v>
      </x:c>
      <x:c r="H305" s="22" t="n">
        <x:v>3600</x:v>
      </x:c>
      <x:c r="I305" s="22" t="n">
        <x:v>0</x:v>
      </x:c>
    </x:row>
    <x:row r="306" ht="30" customHeight="1">
      <x:c r="A306" s="12" t="str">
        <x:v>架次权重放大</x:v>
      </x:c>
      <x:c r="B306" s="12" t="str">
        <x:v>S010-WAT-01</x:v>
      </x:c>
      <x:c r="C306" s="12" t="str">
        <x:v>S010</x:v>
      </x:c>
      <x:c r="D306" s="12" t="str">
        <x:v>Q2-008</x:v>
      </x:c>
      <x:c r="E306" s="5" t="n">
        <x:v>3</x:v>
      </x:c>
      <x:c r="F306" s="21" t="n">
        <x:v>2595.752</x:v>
      </x:c>
      <x:c r="G306" s="21" t="n">
        <x:v>3600</x:v>
      </x:c>
      <x:c r="H306" s="21" t="n">
        <x:v>3600</x:v>
      </x:c>
      <x:c r="I306" s="21" t="n">
        <x:v>0</x:v>
      </x:c>
    </x:row>
    <x:row r="307" ht="30" customHeight="1">
      <x:c r="A307" s="16" t="str">
        <x:v>架次权重放大</x:v>
      </x:c>
      <x:c r="B307" s="16" t="str">
        <x:v>S011-FOD-01</x:v>
      </x:c>
      <x:c r="C307" s="16" t="str">
        <x:v>S011</x:v>
      </x:c>
      <x:c r="D307" s="16" t="str">
        <x:v>Q2-018</x:v>
      </x:c>
      <x:c r="E307" s="13" t="n">
        <x:v>3</x:v>
      </x:c>
      <x:c r="F307" s="22" t="n">
        <x:v>7579.522</x:v>
      </x:c>
      <x:c r="G307" s="22" t="n">
        <x:v>14400</x:v>
      </x:c>
      <x:c r="H307" s="22"/>
      <x:c r="I307" s="22" t="n">
        <x:v>0</x:v>
      </x:c>
    </x:row>
    <x:row r="308" ht="30" customHeight="1">
      <x:c r="A308" s="12" t="str">
        <x:v>架次权重放大</x:v>
      </x:c>
      <x:c r="B308" s="12" t="str">
        <x:v>S011-MED-01</x:v>
      </x:c>
      <x:c r="C308" s="12" t="str">
        <x:v>S011</x:v>
      </x:c>
      <x:c r="D308" s="12" t="str">
        <x:v>Q2-018</x:v>
      </x:c>
      <x:c r="E308" s="5" t="n">
        <x:v>1</x:v>
      </x:c>
      <x:c r="F308" s="21" t="n">
        <x:v>7507.522</x:v>
      </x:c>
      <x:c r="G308" s="21" t="n">
        <x:v>10800</x:v>
      </x:c>
      <x:c r="H308" s="21" t="n">
        <x:v>10800</x:v>
      </x:c>
      <x:c r="I308" s="21" t="n">
        <x:v>0</x:v>
      </x:c>
    </x:row>
    <x:row r="309" ht="30" customHeight="1">
      <x:c r="A309" s="16" t="str">
        <x:v>架次权重放大</x:v>
      </x:c>
      <x:c r="B309" s="16" t="str">
        <x:v>S011-WAT-01</x:v>
      </x:c>
      <x:c r="C309" s="16" t="str">
        <x:v>S011</x:v>
      </x:c>
      <x:c r="D309" s="16" t="str">
        <x:v>Q2-018</x:v>
      </x:c>
      <x:c r="E309" s="13" t="n">
        <x:v>2</x:v>
      </x:c>
      <x:c r="F309" s="22" t="n">
        <x:v>7543.522</x:v>
      </x:c>
      <x:c r="G309" s="22" t="n">
        <x:v>10800</x:v>
      </x:c>
      <x:c r="H309" s="22" t="n">
        <x:v>10800</x:v>
      </x:c>
      <x:c r="I309" s="22" t="n">
        <x:v>0</x:v>
      </x:c>
    </x:row>
    <x:row r="310" ht="30" customHeight="1">
      <x:c r="A310" s="12" t="str">
        <x:v>架次权重放大</x:v>
      </x:c>
      <x:c r="B310" s="12" t="str">
        <x:v>S012-FOD-01</x:v>
      </x:c>
      <x:c r="C310" s="12" t="str">
        <x:v>S012</x:v>
      </x:c>
      <x:c r="D310" s="12" t="str">
        <x:v>Q2-010</x:v>
      </x:c>
      <x:c r="E310" s="5" t="n">
        <x:v>3</x:v>
      </x:c>
      <x:c r="F310" s="21" t="n">
        <x:v>3141.093</x:v>
      </x:c>
      <x:c r="G310" s="21" t="n">
        <x:v>7200</x:v>
      </x:c>
      <x:c r="H310" s="21"/>
      <x:c r="I310" s="21" t="n">
        <x:v>0</x:v>
      </x:c>
    </x:row>
    <x:row r="311" ht="30" customHeight="1">
      <x:c r="A311" s="16" t="str">
        <x:v>架次权重放大</x:v>
      </x:c>
      <x:c r="B311" s="16" t="str">
        <x:v>S012-MED-01</x:v>
      </x:c>
      <x:c r="C311" s="16" t="str">
        <x:v>S012</x:v>
      </x:c>
      <x:c r="D311" s="16" t="str">
        <x:v>Q2-010</x:v>
      </x:c>
      <x:c r="E311" s="13" t="n">
        <x:v>2</x:v>
      </x:c>
      <x:c r="F311" s="22" t="n">
        <x:v>3111.093</x:v>
      </x:c>
      <x:c r="G311" s="22" t="n">
        <x:v>7200</x:v>
      </x:c>
      <x:c r="H311" s="22" t="n">
        <x:v>3600</x:v>
      </x:c>
      <x:c r="I311" s="22" t="n">
        <x:v>0</x:v>
      </x:c>
    </x:row>
    <x:row r="312" ht="30" customHeight="1">
      <x:c r="A312" s="12" t="str">
        <x:v>架次权重放大</x:v>
      </x:c>
      <x:c r="B312" s="12" t="str">
        <x:v>S012-WAT-01</x:v>
      </x:c>
      <x:c r="C312" s="12" t="str">
        <x:v>S012</x:v>
      </x:c>
      <x:c r="D312" s="12" t="str">
        <x:v>Q2-010</x:v>
      </x:c>
      <x:c r="E312" s="5" t="n">
        <x:v>1</x:v>
      </x:c>
      <x:c r="F312" s="21" t="n">
        <x:v>3081.093</x:v>
      </x:c>
      <x:c r="G312" s="21" t="n">
        <x:v>3600</x:v>
      </x:c>
      <x:c r="H312" s="21" t="n">
        <x:v>3600</x:v>
      </x:c>
      <x:c r="I312" s="21" t="n">
        <x:v>0</x:v>
      </x:c>
    </x:row>
    <x:row r="313" ht="30" customHeight="1">
      <x:c r="A313" s="16" t="str">
        <x:v>架次权重放大</x:v>
      </x:c>
      <x:c r="B313" s="16" t="str">
        <x:v>S013-FOD-01</x:v>
      </x:c>
      <x:c r="C313" s="16" t="str">
        <x:v>S013</x:v>
      </x:c>
      <x:c r="D313" s="16" t="str">
        <x:v>Q2-001</x:v>
      </x:c>
      <x:c r="E313" s="13" t="n">
        <x:v>3</x:v>
      </x:c>
      <x:c r="F313" s="22" t="n">
        <x:v>1062.79</x:v>
      </x:c>
      <x:c r="G313" s="22" t="n">
        <x:v>7200</x:v>
      </x:c>
      <x:c r="H313" s="22"/>
      <x:c r="I313" s="22" t="n">
        <x:v>0</x:v>
      </x:c>
    </x:row>
    <x:row r="314" ht="30" customHeight="1">
      <x:c r="A314" s="12" t="str">
        <x:v>架次权重放大</x:v>
      </x:c>
      <x:c r="B314" s="12" t="str">
        <x:v>S013-MED-01</x:v>
      </x:c>
      <x:c r="C314" s="12" t="str">
        <x:v>S013</x:v>
      </x:c>
      <x:c r="D314" s="12" t="str">
        <x:v>Q2-001</x:v>
      </x:c>
      <x:c r="E314" s="5" t="n">
        <x:v>1</x:v>
      </x:c>
      <x:c r="F314" s="21" t="n">
        <x:v>1002.79</x:v>
      </x:c>
      <x:c r="G314" s="21" t="n">
        <x:v>3600</x:v>
      </x:c>
      <x:c r="H314" s="21" t="n">
        <x:v>3600</x:v>
      </x:c>
      <x:c r="I314" s="21" t="n">
        <x:v>0</x:v>
      </x:c>
    </x:row>
    <x:row r="315" ht="30" customHeight="1">
      <x:c r="A315" s="16" t="str">
        <x:v>架次权重放大</x:v>
      </x:c>
      <x:c r="B315" s="16" t="str">
        <x:v>S013-WAT-01</x:v>
      </x:c>
      <x:c r="C315" s="16" t="str">
        <x:v>S013</x:v>
      </x:c>
      <x:c r="D315" s="16" t="str">
        <x:v>Q2-001</x:v>
      </x:c>
      <x:c r="E315" s="13" t="n">
        <x:v>2</x:v>
      </x:c>
      <x:c r="F315" s="22" t="n">
        <x:v>1032.79</x:v>
      </x:c>
      <x:c r="G315" s="22" t="n">
        <x:v>3600</x:v>
      </x:c>
      <x:c r="H315" s="22" t="n">
        <x:v>3600</x:v>
      </x:c>
      <x:c r="I315" s="22" t="n">
        <x:v>0</x:v>
      </x:c>
    </x:row>
    <x:row r="316" ht="30" customHeight="1">
      <x:c r="A316" s="12" t="str">
        <x:v>架次权重放大</x:v>
      </x:c>
      <x:c r="B316" s="12" t="str">
        <x:v>S014-FOD-01</x:v>
      </x:c>
      <x:c r="C316" s="12" t="str">
        <x:v>S014</x:v>
      </x:c>
      <x:c r="D316" s="12" t="str">
        <x:v>Q2-003</x:v>
      </x:c>
      <x:c r="E316" s="5" t="n">
        <x:v>3</x:v>
      </x:c>
      <x:c r="F316" s="21" t="n">
        <x:v>1242.431</x:v>
      </x:c>
      <x:c r="G316" s="21" t="n">
        <x:v>7200</x:v>
      </x:c>
      <x:c r="H316" s="21"/>
      <x:c r="I316" s="21" t="n">
        <x:v>0</x:v>
      </x:c>
    </x:row>
    <x:row r="317" ht="30" customHeight="1">
      <x:c r="A317" s="16" t="str">
        <x:v>架次权重放大</x:v>
      </x:c>
      <x:c r="B317" s="16" t="str">
        <x:v>S014-MED-01</x:v>
      </x:c>
      <x:c r="C317" s="16" t="str">
        <x:v>S014</x:v>
      </x:c>
      <x:c r="D317" s="16" t="str">
        <x:v>Q2-003</x:v>
      </x:c>
      <x:c r="E317" s="13" t="n">
        <x:v>2</x:v>
      </x:c>
      <x:c r="F317" s="22" t="n">
        <x:v>1212.431</x:v>
      </x:c>
      <x:c r="G317" s="22" t="n">
        <x:v>7200</x:v>
      </x:c>
      <x:c r="H317" s="22" t="n">
        <x:v>3600</x:v>
      </x:c>
      <x:c r="I317" s="22" t="n">
        <x:v>0</x:v>
      </x:c>
    </x:row>
    <x:row r="318" ht="30" customHeight="1">
      <x:c r="A318" s="12" t="str">
        <x:v>架次权重放大</x:v>
      </x:c>
      <x:c r="B318" s="12" t="str">
        <x:v>S014-WAT-01</x:v>
      </x:c>
      <x:c r="C318" s="12" t="str">
        <x:v>S014</x:v>
      </x:c>
      <x:c r="D318" s="12" t="str">
        <x:v>Q2-003</x:v>
      </x:c>
      <x:c r="E318" s="5" t="n">
        <x:v>1</x:v>
      </x:c>
      <x:c r="F318" s="21" t="n">
        <x:v>1182.431</x:v>
      </x:c>
      <x:c r="G318" s="21" t="n">
        <x:v>3600</x:v>
      </x:c>
      <x:c r="H318" s="21" t="n">
        <x:v>3600</x:v>
      </x:c>
      <x:c r="I318" s="21" t="n">
        <x:v>0</x:v>
      </x:c>
    </x:row>
    <x:row r="319" ht="30" customHeight="1">
      <x:c r="A319" s="16" t="str">
        <x:v>架次权重放大</x:v>
      </x:c>
      <x:c r="B319" s="16" t="str">
        <x:v>S015-FOD-01</x:v>
      </x:c>
      <x:c r="C319" s="16" t="str">
        <x:v>S015</x:v>
      </x:c>
      <x:c r="D319" s="16" t="str">
        <x:v>Q2-013</x:v>
      </x:c>
      <x:c r="E319" s="13" t="n">
        <x:v>3</x:v>
      </x:c>
      <x:c r="F319" s="22" t="n">
        <x:v>4966.962</x:v>
      </x:c>
      <x:c r="G319" s="22" t="n">
        <x:v>14400</x:v>
      </x:c>
      <x:c r="H319" s="22"/>
      <x:c r="I319" s="22" t="n">
        <x:v>0</x:v>
      </x:c>
    </x:row>
    <x:row r="320" ht="30" customHeight="1">
      <x:c r="A320" s="12" t="str">
        <x:v>架次权重放大</x:v>
      </x:c>
      <x:c r="B320" s="12" t="str">
        <x:v>S015-MED-01</x:v>
      </x:c>
      <x:c r="C320" s="12" t="str">
        <x:v>S015</x:v>
      </x:c>
      <x:c r="D320" s="12" t="str">
        <x:v>Q2-013</x:v>
      </x:c>
      <x:c r="E320" s="5" t="n">
        <x:v>1</x:v>
      </x:c>
      <x:c r="F320" s="21" t="n">
        <x:v>4894.962</x:v>
      </x:c>
      <x:c r="G320" s="21" t="n">
        <x:v>7200</x:v>
      </x:c>
      <x:c r="H320" s="21" t="n">
        <x:v>7200</x:v>
      </x:c>
      <x:c r="I320" s="21" t="n">
        <x:v>0</x:v>
      </x:c>
    </x:row>
    <x:row r="321" ht="30" customHeight="1">
      <x:c r="A321" s="16" t="str">
        <x:v>架次权重放大</x:v>
      </x:c>
      <x:c r="B321" s="16" t="str">
        <x:v>S015-WAT-01</x:v>
      </x:c>
      <x:c r="C321" s="16" t="str">
        <x:v>S015</x:v>
      </x:c>
      <x:c r="D321" s="16" t="str">
        <x:v>Q2-013</x:v>
      </x:c>
      <x:c r="E321" s="13" t="n">
        <x:v>2</x:v>
      </x:c>
      <x:c r="F321" s="22" t="n">
        <x:v>4930.962</x:v>
      </x:c>
      <x:c r="G321" s="22" t="n">
        <x:v>10800</x:v>
      </x:c>
      <x:c r="H321" s="22" t="n">
        <x:v>10800</x:v>
      </x:c>
      <x:c r="I321" s="22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42" customHeight="1">
      <x:c r="A1" s="9" t="str">
        <x:v>货箱</x:v>
      </x:c>
      <x:c r="B1" s="9" t="str">
        <x:v>服务区</x:v>
      </x:c>
      <x:c r="C1" s="9" t="str">
        <x:v>身份</x:v>
      </x:c>
      <x:c r="D1" s="9" t="str">
        <x:v>有效硬截止s</x:v>
      </x:c>
      <x:c r="E1" s="9" t="str">
        <x:v>交付完成s</x:v>
      </x:c>
      <x:c r="F1" s="9" t="str">
        <x:v>裕量s</x:v>
      </x:c>
      <x:c r="G1" s="9" t="str">
        <x:v>是否满足</x:v>
      </x:c>
    </x:row>
    <x:row r="2" ht="30" customHeight="1">
      <x:c r="A2" s="12" t="str">
        <x:v>S001-WAT-01</x:v>
      </x:c>
      <x:c r="B2" s="12" t="str">
        <x:v>S001</x:v>
      </x:c>
      <x:c r="C2" s="12" t="str">
        <x:v>首批</x:v>
      </x:c>
      <x:c r="D2" s="21" t="n">
        <x:v>3600</x:v>
      </x:c>
      <x:c r="E2" s="21" t="n">
        <x:v>3146.117</x:v>
      </x:c>
      <x:c r="F2" s="21" t="n">
        <x:v>453.8829999999998</x:v>
      </x:c>
      <x:c r="G2" s="12" t="str">
        <x:v>是</x:v>
      </x:c>
    </x:row>
    <x:row r="3" ht="30" customHeight="1">
      <x:c r="A3" s="16" t="str">
        <x:v>S001-MED-02</x:v>
      </x:c>
      <x:c r="B3" s="16" t="str">
        <x:v>S001</x:v>
      </x:c>
      <x:c r="C3" s="16" t="str">
        <x:v>医疗</x:v>
      </x:c>
      <x:c r="D3" s="22" t="n">
        <x:v>3600</x:v>
      </x:c>
      <x:c r="E3" s="22" t="n">
        <x:v>2689.827</x:v>
      </x:c>
      <x:c r="F3" s="22" t="n">
        <x:v>910.1729999999998</x:v>
      </x:c>
      <x:c r="G3" s="16" t="str">
        <x:v>是</x:v>
      </x:c>
    </x:row>
    <x:row r="4" ht="30" customHeight="1">
      <x:c r="A4" s="12" t="str">
        <x:v>S001-MED-01</x:v>
      </x:c>
      <x:c r="B4" s="12" t="str">
        <x:v>S001</x:v>
      </x:c>
      <x:c r="C4" s="12" t="str">
        <x:v>医疗+首批</x:v>
      </x:c>
      <x:c r="D4" s="21" t="n">
        <x:v>3600</x:v>
      </x:c>
      <x:c r="E4" s="21" t="n">
        <x:v>2653.827</x:v>
      </x:c>
      <x:c r="F4" s="21" t="n">
        <x:v>946.1729999999998</x:v>
      </x:c>
      <x:c r="G4" s="12" t="str">
        <x:v>是</x:v>
      </x:c>
    </x:row>
    <x:row r="5" ht="30" customHeight="1">
      <x:c r="A5" s="16" t="str">
        <x:v>S003-WAT-01</x:v>
      </x:c>
      <x:c r="B5" s="16" t="str">
        <x:v>S003</x:v>
      </x:c>
      <x:c r="C5" s="16" t="str">
        <x:v>首批</x:v>
      </x:c>
      <x:c r="D5" s="22" t="n">
        <x:v>7200</x:v>
      </x:c>
      <x:c r="E5" s="22" t="n">
        <x:v>6239.823</x:v>
      </x:c>
      <x:c r="F5" s="22" t="n">
        <x:v>960.1769999999997</x:v>
      </x:c>
      <x:c r="G5" s="16" t="str">
        <x:v>是</x:v>
      </x:c>
    </x:row>
    <x:row r="6" ht="30" customHeight="1">
      <x:c r="A6" s="12" t="str">
        <x:v>S003-MED-01</x:v>
      </x:c>
      <x:c r="B6" s="12" t="str">
        <x:v>S003</x:v>
      </x:c>
      <x:c r="C6" s="12" t="str">
        <x:v>医疗+首批</x:v>
      </x:c>
      <x:c r="D6" s="21" t="n">
        <x:v>7200</x:v>
      </x:c>
      <x:c r="E6" s="21" t="n">
        <x:v>6203.823</x:v>
      </x:c>
      <x:c r="F6" s="21" t="n">
        <x:v>996.1769999999997</x:v>
      </x:c>
      <x:c r="G6" s="12" t="str">
        <x:v>是</x:v>
      </x:c>
    </x:row>
    <x:row r="7" ht="30" customHeight="1">
      <x:c r="A7" s="16" t="str">
        <x:v>S013-WAT-01</x:v>
      </x:c>
      <x:c r="B7" s="16" t="str">
        <x:v>S013</x:v>
      </x:c>
      <x:c r="C7" s="16" t="str">
        <x:v>首批</x:v>
      </x:c>
      <x:c r="D7" s="22" t="n">
        <x:v>3600</x:v>
      </x:c>
      <x:c r="E7" s="22" t="n">
        <x:v>2588.195</x:v>
      </x:c>
      <x:c r="F7" s="22" t="n">
        <x:v>1011.8049999999998</x:v>
      </x:c>
      <x:c r="G7" s="16" t="str">
        <x:v>是</x:v>
      </x:c>
    </x:row>
    <x:row r="8" ht="30" customHeight="1">
      <x:c r="A8" s="12" t="str">
        <x:v>S013-MED-01</x:v>
      </x:c>
      <x:c r="B8" s="12" t="str">
        <x:v>S013</x:v>
      </x:c>
      <x:c r="C8" s="12" t="str">
        <x:v>医疗+首批</x:v>
      </x:c>
      <x:c r="D8" s="21" t="n">
        <x:v>3600</x:v>
      </x:c>
      <x:c r="E8" s="21" t="n">
        <x:v>2558.195</x:v>
      </x:c>
      <x:c r="F8" s="21" t="n">
        <x:v>1041.8049999999998</x:v>
      </x:c>
      <x:c r="G8" s="12" t="str">
        <x:v>是</x:v>
      </x:c>
    </x:row>
    <x:row r="9" ht="30" customHeight="1">
      <x:c r="A9" s="16" t="str">
        <x:v>S015-MED-01</x:v>
      </x:c>
      <x:c r="B9" s="16" t="str">
        <x:v>S015</x:v>
      </x:c>
      <x:c r="C9" s="16" t="str">
        <x:v>医疗+首批</x:v>
      </x:c>
      <x:c r="D9" s="22" t="n">
        <x:v>7200</x:v>
      </x:c>
      <x:c r="E9" s="22" t="n">
        <x:v>5296.273</x:v>
      </x:c>
      <x:c r="F9" s="22" t="n">
        <x:v>1903.7269999999999</x:v>
      </x:c>
      <x:c r="G9" s="16" t="str">
        <x:v>是</x:v>
      </x:c>
    </x:row>
    <x:row r="10" ht="30" customHeight="1">
      <x:c r="A10" s="12" t="str">
        <x:v>S002-WAT-01</x:v>
      </x:c>
      <x:c r="B10" s="12" t="str">
        <x:v>S002</x:v>
      </x:c>
      <x:c r="C10" s="12" t="str">
        <x:v>首批</x:v>
      </x:c>
      <x:c r="D10" s="21" t="n">
        <x:v>3600</x:v>
      </x:c>
      <x:c r="E10" s="21" t="n">
        <x:v>1373.332</x:v>
      </x:c>
      <x:c r="F10" s="21" t="n">
        <x:v>2226.6679999999997</x:v>
      </x:c>
      <x:c r="G10" s="12" t="str">
        <x:v>是</x:v>
      </x:c>
    </x:row>
    <x:row r="11" ht="30" customHeight="1">
      <x:c r="A11" s="16" t="str">
        <x:v>S002-MED-01</x:v>
      </x:c>
      <x:c r="B11" s="16" t="str">
        <x:v>S002</x:v>
      </x:c>
      <x:c r="C11" s="16" t="str">
        <x:v>医疗+首批</x:v>
      </x:c>
      <x:c r="D11" s="22" t="n">
        <x:v>3600</x:v>
      </x:c>
      <x:c r="E11" s="22" t="n">
        <x:v>1337.332</x:v>
      </x:c>
      <x:c r="F11" s="22" t="n">
        <x:v>2262.6679999999997</x:v>
      </x:c>
      <x:c r="G11" s="16" t="str">
        <x:v>是</x:v>
      </x:c>
    </x:row>
    <x:row r="12" ht="30" customHeight="1">
      <x:c r="A12" s="12" t="str">
        <x:v>S014-MED-01</x:v>
      </x:c>
      <x:c r="B12" s="12" t="str">
        <x:v>S014</x:v>
      </x:c>
      <x:c r="C12" s="12" t="str">
        <x:v>医疗+首批</x:v>
      </x:c>
      <x:c r="D12" s="21" t="n">
        <x:v>3600</x:v>
      </x:c>
      <x:c r="E12" s="21" t="n">
        <x:v>1242.757</x:v>
      </x:c>
      <x:c r="F12" s="21" t="n">
        <x:v>2357.243</x:v>
      </x:c>
      <x:c r="G12" s="12" t="str">
        <x:v>是</x:v>
      </x:c>
    </x:row>
    <x:row r="13" ht="30" customHeight="1">
      <x:c r="A13" s="16" t="str">
        <x:v>S012-MED-01</x:v>
      </x:c>
      <x:c r="B13" s="16" t="str">
        <x:v>S012</x:v>
      </x:c>
      <x:c r="C13" s="16" t="str">
        <x:v>医疗+首批</x:v>
      </x:c>
      <x:c r="D13" s="22" t="n">
        <x:v>3600</x:v>
      </x:c>
      <x:c r="E13" s="22" t="n">
        <x:v>1241.344</x:v>
      </x:c>
      <x:c r="F13" s="22" t="n">
        <x:v>2358.656</x:v>
      </x:c>
      <x:c r="G13" s="16" t="str">
        <x:v>是</x:v>
      </x:c>
    </x:row>
    <x:row r="14" ht="30" customHeight="1">
      <x:c r="A14" s="12" t="str">
        <x:v>S014-WAT-01</x:v>
      </x:c>
      <x:c r="B14" s="12" t="str">
        <x:v>S014</x:v>
      </x:c>
      <x:c r="C14" s="12" t="str">
        <x:v>首批</x:v>
      </x:c>
      <x:c r="D14" s="21" t="n">
        <x:v>3600</x:v>
      </x:c>
      <x:c r="E14" s="21" t="n">
        <x:v>1212.757</x:v>
      </x:c>
      <x:c r="F14" s="21" t="n">
        <x:v>2387.243</x:v>
      </x:c>
      <x:c r="G14" s="12" t="str">
        <x:v>是</x:v>
      </x:c>
    </x:row>
    <x:row r="15" ht="30" customHeight="1">
      <x:c r="A15" s="16" t="str">
        <x:v>S012-WAT-01</x:v>
      </x:c>
      <x:c r="B15" s="16" t="str">
        <x:v>S012</x:v>
      </x:c>
      <x:c r="C15" s="16" t="str">
        <x:v>首批</x:v>
      </x:c>
      <x:c r="D15" s="22" t="n">
        <x:v>3600</x:v>
      </x:c>
      <x:c r="E15" s="22" t="n">
        <x:v>1211.344</x:v>
      </x:c>
      <x:c r="F15" s="22" t="n">
        <x:v>2388.656</x:v>
      </x:c>
      <x:c r="G15" s="16" t="str">
        <x:v>是</x:v>
      </x:c>
    </x:row>
    <x:row r="16" ht="30" customHeight="1">
      <x:c r="A16" s="12" t="str">
        <x:v>S007-MED-01</x:v>
      </x:c>
      <x:c r="B16" s="12" t="str">
        <x:v>S007</x:v>
      </x:c>
      <x:c r="C16" s="12" t="str">
        <x:v>医疗+首批</x:v>
      </x:c>
      <x:c r="D16" s="21" t="n">
        <x:v>3600</x:v>
      </x:c>
      <x:c r="E16" s="21" t="n">
        <x:v>1111.374</x:v>
      </x:c>
      <x:c r="F16" s="21" t="n">
        <x:v>2488.626</x:v>
      </x:c>
      <x:c r="G16" s="12" t="str">
        <x:v>是</x:v>
      </x:c>
    </x:row>
    <x:row r="17" ht="30" customHeight="1">
      <x:c r="A17" s="16" t="str">
        <x:v>S007-WAT-01</x:v>
      </x:c>
      <x:c r="B17" s="16" t="str">
        <x:v>S007</x:v>
      </x:c>
      <x:c r="C17" s="16" t="str">
        <x:v>首批</x:v>
      </x:c>
      <x:c r="D17" s="22" t="n">
        <x:v>3600</x:v>
      </x:c>
      <x:c r="E17" s="22" t="n">
        <x:v>1111.374</x:v>
      </x:c>
      <x:c r="F17" s="22" t="n">
        <x:v>2488.626</x:v>
      </x:c>
      <x:c r="G17" s="16" t="str">
        <x:v>是</x:v>
      </x:c>
    </x:row>
    <x:row r="18" ht="30" customHeight="1">
      <x:c r="A18" s="12" t="str">
        <x:v>S006-WAT-01</x:v>
      </x:c>
      <x:c r="B18" s="12" t="str">
        <x:v>S006</x:v>
      </x:c>
      <x:c r="C18" s="12" t="str">
        <x:v>首批</x:v>
      </x:c>
      <x:c r="D18" s="21" t="n">
        <x:v>3600</x:v>
      </x:c>
      <x:c r="E18" s="21" t="n">
        <x:v>1065.422</x:v>
      </x:c>
      <x:c r="F18" s="21" t="n">
        <x:v>2534.578</x:v>
      </x:c>
      <x:c r="G18" s="12" t="str">
        <x:v>是</x:v>
      </x:c>
    </x:row>
    <x:row r="19" ht="30" customHeight="1">
      <x:c r="A19" s="16" t="str">
        <x:v>S010-WAT-01</x:v>
      </x:c>
      <x:c r="B19" s="16" t="str">
        <x:v>S010</x:v>
      </x:c>
      <x:c r="C19" s="16" t="str">
        <x:v>首批</x:v>
      </x:c>
      <x:c r="D19" s="22" t="n">
        <x:v>3600</x:v>
      </x:c>
      <x:c r="E19" s="22" t="n">
        <x:v>1055.239</x:v>
      </x:c>
      <x:c r="F19" s="22" t="n">
        <x:v>2544.761</x:v>
      </x:c>
      <x:c r="G19" s="16" t="str">
        <x:v>是</x:v>
      </x:c>
    </x:row>
    <x:row r="20" ht="30" customHeight="1">
      <x:c r="A20" s="12" t="str">
        <x:v>S006-MED-01</x:v>
      </x:c>
      <x:c r="B20" s="12" t="str">
        <x:v>S006</x:v>
      </x:c>
      <x:c r="C20" s="12" t="str">
        <x:v>医疗+首批</x:v>
      </x:c>
      <x:c r="D20" s="21" t="n">
        <x:v>3600</x:v>
      </x:c>
      <x:c r="E20" s="21" t="n">
        <x:v>1029.422</x:v>
      </x:c>
      <x:c r="F20" s="21" t="n">
        <x:v>2570.578</x:v>
      </x:c>
      <x:c r="G20" s="12" t="str">
        <x:v>是</x:v>
      </x:c>
    </x:row>
    <x:row r="21" ht="30" customHeight="1">
      <x:c r="A21" s="16" t="str">
        <x:v>S010-MED-01</x:v>
      </x:c>
      <x:c r="B21" s="16" t="str">
        <x:v>S010</x:v>
      </x:c>
      <x:c r="C21" s="16" t="str">
        <x:v>医疗+首批</x:v>
      </x:c>
      <x:c r="D21" s="22" t="n">
        <x:v>3600</x:v>
      </x:c>
      <x:c r="E21" s="22" t="n">
        <x:v>1025.239</x:v>
      </x:c>
      <x:c r="F21" s="22" t="n">
        <x:v>2574.761</x:v>
      </x:c>
      <x:c r="G21" s="16" t="str">
        <x:v>是</x:v>
      </x:c>
    </x:row>
    <x:row r="22" ht="30" customHeight="1">
      <x:c r="A22" s="12" t="str">
        <x:v>S004-WAT-01</x:v>
      </x:c>
      <x:c r="B22" s="12" t="str">
        <x:v>S004</x:v>
      </x:c>
      <x:c r="C22" s="12" t="str">
        <x:v>首批</x:v>
      </x:c>
      <x:c r="D22" s="21" t="n">
        <x:v>7200</x:v>
      </x:c>
      <x:c r="E22" s="21" t="n">
        <x:v>4597.228</x:v>
      </x:c>
      <x:c r="F22" s="21" t="n">
        <x:v>2602.772</x:v>
      </x:c>
      <x:c r="G22" s="12" t="str">
        <x:v>是</x:v>
      </x:c>
    </x:row>
    <x:row r="23" ht="30" customHeight="1">
      <x:c r="A23" s="16" t="str">
        <x:v>S008-WAT-01</x:v>
      </x:c>
      <x:c r="B23" s="16" t="str">
        <x:v>S008</x:v>
      </x:c>
      <x:c r="C23" s="16" t="str">
        <x:v>首批</x:v>
      </x:c>
      <x:c r="D23" s="22" t="n">
        <x:v>7200</x:v>
      </x:c>
      <x:c r="E23" s="22" t="n">
        <x:v>4327.066</x:v>
      </x:c>
      <x:c r="F23" s="22" t="n">
        <x:v>2872.934</x:v>
      </x:c>
      <x:c r="G23" s="16" t="str">
        <x:v>是</x:v>
      </x:c>
    </x:row>
    <x:row r="24" ht="30" customHeight="1">
      <x:c r="A24" s="12" t="str">
        <x:v>S008-MED-01</x:v>
      </x:c>
      <x:c r="B24" s="12" t="str">
        <x:v>S008</x:v>
      </x:c>
      <x:c r="C24" s="12" t="str">
        <x:v>医疗+首批</x:v>
      </x:c>
      <x:c r="D24" s="21" t="n">
        <x:v>7200</x:v>
      </x:c>
      <x:c r="E24" s="21" t="n">
        <x:v>4297.066</x:v>
      </x:c>
      <x:c r="F24" s="21" t="n">
        <x:v>2902.934</x:v>
      </x:c>
      <x:c r="G24" s="12" t="str">
        <x:v>是</x:v>
      </x:c>
    </x:row>
    <x:row r="25" ht="30" customHeight="1">
      <x:c r="A25" s="16" t="str">
        <x:v>S005-WAT-01</x:v>
      </x:c>
      <x:c r="B25" s="16" t="str">
        <x:v>S005</x:v>
      </x:c>
      <x:c r="C25" s="16" t="str">
        <x:v>首批</x:v>
      </x:c>
      <x:c r="D25" s="22" t="n">
        <x:v>10800</x:v>
      </x:c>
      <x:c r="E25" s="22" t="n">
        <x:v>7115.994</x:v>
      </x:c>
      <x:c r="F25" s="22" t="n">
        <x:v>3684.0060000000003</x:v>
      </x:c>
      <x:c r="G25" s="16" t="str">
        <x:v>是</x:v>
      </x:c>
    </x:row>
    <x:row r="26" ht="30" customHeight="1">
      <x:c r="A26" s="12" t="str">
        <x:v>S005-MED-01</x:v>
      </x:c>
      <x:c r="B26" s="12" t="str">
        <x:v>S005</x:v>
      </x:c>
      <x:c r="C26" s="12" t="str">
        <x:v>医疗+首批</x:v>
      </x:c>
      <x:c r="D26" s="21" t="n">
        <x:v>10800</x:v>
      </x:c>
      <x:c r="E26" s="21" t="n">
        <x:v>7079.994</x:v>
      </x:c>
      <x:c r="F26" s="21" t="n">
        <x:v>3720.0060000000003</x:v>
      </x:c>
      <x:c r="G26" s="12" t="str">
        <x:v>是</x:v>
      </x:c>
    </x:row>
    <x:row r="27" ht="30" customHeight="1">
      <x:c r="A27" s="16" t="str">
        <x:v>S004-MED-01</x:v>
      </x:c>
      <x:c r="B27" s="16" t="str">
        <x:v>S004</x:v>
      </x:c>
      <x:c r="C27" s="16" t="str">
        <x:v>医疗+首批</x:v>
      </x:c>
      <x:c r="D27" s="22" t="n">
        <x:v>7200</x:v>
      </x:c>
      <x:c r="E27" s="22" t="n">
        <x:v>3429.494</x:v>
      </x:c>
      <x:c r="F27" s="22" t="n">
        <x:v>3770.506</x:v>
      </x:c>
      <x:c r="G27" s="16" t="str">
        <x:v>是</x:v>
      </x:c>
    </x:row>
    <x:row r="28" ht="30" customHeight="1">
      <x:c r="A28" s="12" t="str">
        <x:v>S011-WAT-01</x:v>
      </x:c>
      <x:c r="B28" s="12" t="str">
        <x:v>S011</x:v>
      </x:c>
      <x:c r="C28" s="12" t="str">
        <x:v>首批</x:v>
      </x:c>
      <x:c r="D28" s="21" t="n">
        <x:v>10800</x:v>
      </x:c>
      <x:c r="E28" s="21" t="n">
        <x:v>6510.689</x:v>
      </x:c>
      <x:c r="F28" s="21" t="n">
        <x:v>4289.311</x:v>
      </x:c>
      <x:c r="G28" s="12" t="str">
        <x:v>是</x:v>
      </x:c>
    </x:row>
    <x:row r="29" ht="30" customHeight="1">
      <x:c r="A29" s="16" t="str">
        <x:v>S011-MED-01</x:v>
      </x:c>
      <x:c r="B29" s="16" t="str">
        <x:v>S011</x:v>
      </x:c>
      <x:c r="C29" s="16" t="str">
        <x:v>医疗+首批</x:v>
      </x:c>
      <x:c r="D29" s="22" t="n">
        <x:v>10800</x:v>
      </x:c>
      <x:c r="E29" s="22" t="n">
        <x:v>6474.689</x:v>
      </x:c>
      <x:c r="F29" s="22" t="n">
        <x:v>4325.311</x:v>
      </x:c>
      <x:c r="G29" s="16" t="str">
        <x:v>是</x:v>
      </x:c>
    </x:row>
    <x:row r="30" ht="30" customHeight="1">
      <x:c r="A30" s="12" t="str">
        <x:v>S009-WAT-01</x:v>
      </x:c>
      <x:c r="B30" s="12" t="str">
        <x:v>S009</x:v>
      </x:c>
      <x:c r="C30" s="12" t="str">
        <x:v>首批</x:v>
      </x:c>
      <x:c r="D30" s="21" t="n">
        <x:v>10800</x:v>
      </x:c>
      <x:c r="E30" s="21" t="n">
        <x:v>6088.583</x:v>
      </x:c>
      <x:c r="F30" s="21" t="n">
        <x:v>4711.417</x:v>
      </x:c>
      <x:c r="G30" s="12" t="str">
        <x:v>是</x:v>
      </x:c>
    </x:row>
    <x:row r="31" ht="30" customHeight="1">
      <x:c r="A31" s="16" t="str">
        <x:v>S009-MED-01</x:v>
      </x:c>
      <x:c r="B31" s="16" t="str">
        <x:v>S009</x:v>
      </x:c>
      <x:c r="C31" s="16" t="str">
        <x:v>医疗+首批</x:v>
      </x:c>
      <x:c r="D31" s="22" t="n">
        <x:v>10800</x:v>
      </x:c>
      <x:c r="E31" s="22" t="n">
        <x:v>6058.583</x:v>
      </x:c>
      <x:c r="F31" s="22" t="n">
        <x:v>4741.417</x:v>
      </x:c>
      <x:c r="G31" s="16" t="str">
        <x:v>是</x:v>
      </x:c>
    </x:row>
    <x:row r="32" ht="30" customHeight="1">
      <x:c r="A32" s="12" t="str">
        <x:v>S015-WAT-01</x:v>
      </x:c>
      <x:c r="B32" s="12" t="str">
        <x:v>S015</x:v>
      </x:c>
      <x:c r="C32" s="12" t="str">
        <x:v>首批</x:v>
      </x:c>
      <x:c r="D32" s="21" t="n">
        <x:v>10800</x:v>
      </x:c>
      <x:c r="E32" s="21" t="n">
        <x:v>5326.273</x:v>
      </x:c>
      <x:c r="F32" s="21" t="n">
        <x:v>5473.727</x:v>
      </x:c>
      <x:c r="G32" s="12" t="str">
        <x:v>是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12" hidden="0" customWidth="1"/>
    <x:col min="5" max="5" width="18" hidden="0" customWidth="1"/>
    <x:col min="6" max="6" width="27" hidden="0" customWidth="1"/>
    <x:col min="7" max="7" width="15" hidden="0" customWidth="1"/>
    <x:col min="8" max="8" width="30" hidden="0" customWidth="1"/>
    <x:col min="9" max="9" width="32" hidden="0" customWidth="1"/>
    <x:col min="10" max="10" width="20" hidden="0" customWidth="1"/>
    <x:col min="11" max="11" width="22" hidden="0" customWidth="1"/>
    <x:col min="12" max="12" width="20" hidden="0" customWidth="1"/>
  </x:cols>
  <x:sheetData>
    <x:row r="1" ht="42" customHeight="1">
      <x:c r="A1" s="9" t="str">
        <x:v>方案</x:v>
      </x:c>
      <x:c r="B1" s="9" t="str">
        <x:v>阶段</x:v>
      </x:c>
      <x:c r="C1" s="9" t="str">
        <x:v>种子</x:v>
      </x:c>
      <x:c r="D1" s="9" t="str">
        <x:v>轮次</x:v>
      </x:c>
      <x:c r="E1" s="9" t="str">
        <x:v>目标</x:v>
      </x:c>
      <x:c r="F1" s="9" t="str">
        <x:v>状态</x:v>
      </x:c>
      <x:c r="G1" s="9" t="str">
        <x:v>候选数</x:v>
      </x:c>
      <x:c r="H1" s="9" t="str">
        <x:v>当前值（整数单位）</x:v>
      </x:c>
      <x:c r="I1" s="9" t="str">
        <x:v>求解器界限（整数单位）</x:v>
      </x:c>
      <x:c r="J1" s="9" t="str">
        <x:v>本层条件最优</x:v>
      </x:c>
      <x:c r="K1" s="9" t="str">
        <x:v>整个前缀已证最优</x:v>
      </x:c>
      <x:c r="L1" s="9" t="str">
        <x:v>用时s</x:v>
      </x:c>
    </x:row>
    <x:row r="2" ht="30" customHeight="1">
      <x:c r="A2" s="12" t="str">
        <x:v>加权推荐方案</x:v>
      </x:c>
      <x:c r="B2" s="12" t="str">
        <x:v>weighted_initial</x:v>
      </x:c>
      <x:c r="C2" s="5" t="n">
        <x:v>0</x:v>
      </x:c>
      <x:c r="D2" s="5"/>
      <x:c r="E2" s="12" t="str">
        <x:v>归一化加权评分</x:v>
      </x:c>
      <x:c r="F2" s="12" t="str">
        <x:v>可行，未证最优</x:v>
      </x:c>
      <x:c r="G2" s="5" t="n">
        <x:v>1500</x:v>
      </x:c>
      <x:c r="H2" s="5" t="n">
        <x:v>15157242</x:v>
      </x:c>
      <x:c r="I2" s="21" t="n">
        <x:v>12967115</x:v>
      </x:c>
      <x:c r="J2" s="12" t="str">
        <x:v>否</x:v>
      </x:c>
      <x:c r="K2" s="12" t="str">
        <x:v>否</x:v>
      </x:c>
      <x:c r="L2" s="21" t="n">
        <x:v>119.44278030000001</x:v>
      </x:c>
    </x:row>
    <x:row r="3" ht="30" customHeight="1">
      <x:c r="A3" s="16" t="str">
        <x:v>加权推荐方案</x:v>
      </x:c>
      <x:c r="B3" s="16" t="str">
        <x:v>weighted_alns:1</x:v>
      </x:c>
      <x:c r="C3" s="13" t="n">
        <x:v>0</x:v>
      </x:c>
      <x:c r="D3" s="13"/>
      <x:c r="E3" s="16" t="str">
        <x:v>归一化加权评分</x:v>
      </x:c>
      <x:c r="F3" s="16" t="str">
        <x:v>可行，未证最优</x:v>
      </x:c>
      <x:c r="G3" s="13" t="n">
        <x:v>117</x:v>
      </x:c>
      <x:c r="H3" s="13" t="n">
        <x:v>15157242</x:v>
      </x:c>
      <x:c r="I3" s="22" t="n">
        <x:v>14988277</x:v>
      </x:c>
      <x:c r="J3" s="16" t="str">
        <x:v>否</x:v>
      </x:c>
      <x:c r="K3" s="16" t="str">
        <x:v>否</x:v>
      </x:c>
      <x:c r="L3" s="22" t="n">
        <x:v>14.9813319</x:v>
      </x:c>
    </x:row>
    <x:row r="4" ht="30" customHeight="1">
      <x:c r="A4" s="12" t="str">
        <x:v>加权推荐方案</x:v>
      </x:c>
      <x:c r="B4" s="12" t="str">
        <x:v>weighted_alns:2</x:v>
      </x:c>
      <x:c r="C4" s="5" t="n">
        <x:v>0</x:v>
      </x:c>
      <x:c r="D4" s="5"/>
      <x:c r="E4" s="12" t="str">
        <x:v>归一化加权评分</x:v>
      </x:c>
      <x:c r="F4" s="12" t="str">
        <x:v>可行，未证最优</x:v>
      </x:c>
      <x:c r="G4" s="5" t="n">
        <x:v>96</x:v>
      </x:c>
      <x:c r="H4" s="5" t="n">
        <x:v>15940360</x:v>
      </x:c>
      <x:c r="I4" s="21" t="n">
        <x:v>15061623</x:v>
      </x:c>
      <x:c r="J4" s="12" t="str">
        <x:v>否</x:v>
      </x:c>
      <x:c r="K4" s="12" t="str">
        <x:v>否</x:v>
      </x:c>
      <x:c r="L4" s="21" t="n">
        <x:v>14.9838868</x:v>
      </x:c>
    </x:row>
    <x:row r="5" ht="30" customHeight="1">
      <x:c r="A5" s="16" t="str">
        <x:v>加权推荐方案</x:v>
      </x:c>
      <x:c r="B5" s="16" t="str">
        <x:v>weighted_alns:3</x:v>
      </x:c>
      <x:c r="C5" s="13" t="n">
        <x:v>0</x:v>
      </x:c>
      <x:c r="D5" s="13"/>
      <x:c r="E5" s="16" t="str">
        <x:v>归一化加权评分</x:v>
      </x:c>
      <x:c r="F5" s="16" t="str">
        <x:v>可行，未证最优</x:v>
      </x:c>
      <x:c r="G5" s="13" t="n">
        <x:v>132</x:v>
      </x:c>
      <x:c r="H5" s="13" t="n">
        <x:v>17310399</x:v>
      </x:c>
      <x:c r="I5" s="22" t="n">
        <x:v>14999761</x:v>
      </x:c>
      <x:c r="J5" s="16" t="str">
        <x:v>否</x:v>
      </x:c>
      <x:c r="K5" s="16" t="str">
        <x:v>否</x:v>
      </x:c>
      <x:c r="L5" s="22" t="n">
        <x:v>14.976763100000001</x:v>
      </x:c>
    </x:row>
    <x:row r="6" ht="30" customHeight="1">
      <x:c r="A6" s="12" t="str">
        <x:v>加权推荐方案</x:v>
      </x:c>
      <x:c r="B6" s="12" t="str">
        <x:v>weighted_alns:4</x:v>
      </x:c>
      <x:c r="C6" s="5" t="n">
        <x:v>0</x:v>
      </x:c>
      <x:c r="D6" s="5"/>
      <x:c r="E6" s="12" t="str">
        <x:v>归一化加权评分</x:v>
      </x:c>
      <x:c r="F6" s="12" t="str">
        <x:v>可行，未证最优</x:v>
      </x:c>
      <x:c r="G6" s="5" t="n">
        <x:v>139</x:v>
      </x:c>
      <x:c r="H6" s="5" t="n">
        <x:v>17657209</x:v>
      </x:c>
      <x:c r="I6" s="21" t="n">
        <x:v>14999497</x:v>
      </x:c>
      <x:c r="J6" s="12" t="str">
        <x:v>否</x:v>
      </x:c>
      <x:c r="K6" s="12" t="str">
        <x:v>否</x:v>
      </x:c>
      <x:c r="L6" s="21" t="n">
        <x:v>14.9747534</x:v>
      </x:c>
    </x:row>
    <x:row r="7" ht="30" customHeight="1">
      <x:c r="A7" s="16" t="str">
        <x:v>加权推荐方案</x:v>
      </x:c>
      <x:c r="B7" s="16" t="str">
        <x:v>weighted_alns:5</x:v>
      </x:c>
      <x:c r="C7" s="13" t="n">
        <x:v>0</x:v>
      </x:c>
      <x:c r="D7" s="13"/>
      <x:c r="E7" s="16" t="str">
        <x:v>归一化加权评分</x:v>
      </x:c>
      <x:c r="F7" s="16" t="str">
        <x:v>限时未取得新解</x:v>
      </x:c>
      <x:c r="G7" s="13" t="n">
        <x:v>60</x:v>
      </x:c>
      <x:c r="H7" s="13"/>
      <x:c r="I7" s="22" t="n">
        <x:v>15048752</x:v>
      </x:c>
      <x:c r="J7" s="16" t="str">
        <x:v>否</x:v>
      </x:c>
      <x:c r="K7" s="16" t="str">
        <x:v>否</x:v>
      </x:c>
      <x:c r="L7" s="22" t="n">
        <x:v>14.991711700000002</x:v>
      </x:c>
    </x:row>
    <x:row r="8" ht="30" customHeight="1">
      <x:c r="A8" s="12" t="str">
        <x:v>加权推荐方案</x:v>
      </x:c>
      <x:c r="B8" s="12" t="str">
        <x:v>weighted_alns:6</x:v>
      </x:c>
      <x:c r="C8" s="5" t="n">
        <x:v>0</x:v>
      </x:c>
      <x:c r="D8" s="5"/>
      <x:c r="E8" s="12" t="str">
        <x:v>归一化加权评分</x:v>
      </x:c>
      <x:c r="F8" s="12" t="str">
        <x:v>可行，未证最优</x:v>
      </x:c>
      <x:c r="G8" s="5" t="n">
        <x:v>240</x:v>
      </x:c>
      <x:c r="H8" s="5" t="n">
        <x:v>15418306</x:v>
      </x:c>
      <x:c r="I8" s="21" t="n">
        <x:v>14918323</x:v>
      </x:c>
      <x:c r="J8" s="12" t="str">
        <x:v>否</x:v>
      </x:c>
      <x:c r="K8" s="12" t="str">
        <x:v>否</x:v>
      </x:c>
      <x:c r="L8" s="21" t="n">
        <x:v>14.9123719</x:v>
      </x:c>
    </x:row>
    <x:row r="9" ht="30" customHeight="1">
      <x:c r="A9" s="16" t="str">
        <x:v>加权推荐方案</x:v>
      </x:c>
      <x:c r="B9" s="16" t="str">
        <x:v>weighted_alns:7</x:v>
      </x:c>
      <x:c r="C9" s="13" t="n">
        <x:v>0</x:v>
      </x:c>
      <x:c r="D9" s="13"/>
      <x:c r="E9" s="16" t="str">
        <x:v>归一化加权评分</x:v>
      </x:c>
      <x:c r="F9" s="16" t="str">
        <x:v>当前模型已证最优</x:v>
      </x:c>
      <x:c r="G9" s="13" t="n">
        <x:v>89</x:v>
      </x:c>
      <x:c r="H9" s="13" t="n">
        <x:v>15246373</x:v>
      </x:c>
      <x:c r="I9" s="22" t="n">
        <x:v>15246373</x:v>
      </x:c>
      <x:c r="J9" s="16" t="str">
        <x:v>是</x:v>
      </x:c>
      <x:c r="K9" s="16" t="str">
        <x:v>是</x:v>
      </x:c>
      <x:c r="L9" s="22" t="n">
        <x:v>5.1213983</x:v>
      </x:c>
    </x:row>
    <x:row r="10" ht="30" customHeight="1">
      <x:c r="A10" s="12" t="str">
        <x:v>加权推荐方案</x:v>
      </x:c>
      <x:c r="B10" s="12" t="str">
        <x:v>weighted_alns:8</x:v>
      </x:c>
      <x:c r="C10" s="5" t="n">
        <x:v>0</x:v>
      </x:c>
      <x:c r="D10" s="5"/>
      <x:c r="E10" s="12" t="str">
        <x:v>归一化加权评分</x:v>
      </x:c>
      <x:c r="F10" s="12" t="str">
        <x:v>可行，未证最优</x:v>
      </x:c>
      <x:c r="G10" s="5" t="n">
        <x:v>213</x:v>
      </x:c>
      <x:c r="H10" s="5" t="n">
        <x:v>15392065</x:v>
      </x:c>
      <x:c r="I10" s="21" t="n">
        <x:v>14920703</x:v>
      </x:c>
      <x:c r="J10" s="12" t="str">
        <x:v>否</x:v>
      </x:c>
      <x:c r="K10" s="12" t="str">
        <x:v>否</x:v>
      </x:c>
      <x:c r="L10" s="21" t="n">
        <x:v>14.949355800000001</x:v>
      </x:c>
    </x:row>
    <x:row r="11" ht="30" customHeight="1">
      <x:c r="A11" s="16" t="str">
        <x:v>加权推荐方案</x:v>
      </x:c>
      <x:c r="B11" s="16" t="str">
        <x:v>weighted_alns:9</x:v>
      </x:c>
      <x:c r="C11" s="13" t="n">
        <x:v>0</x:v>
      </x:c>
      <x:c r="D11" s="13"/>
      <x:c r="E11" s="16" t="str">
        <x:v>归一化加权评分</x:v>
      </x:c>
      <x:c r="F11" s="16" t="str">
        <x:v>可行，未证最优</x:v>
      </x:c>
      <x:c r="G11" s="13" t="n">
        <x:v>155</x:v>
      </x:c>
      <x:c r="H11" s="13" t="n">
        <x:v>15646834</x:v>
      </x:c>
      <x:c r="I11" s="22" t="n">
        <x:v>15280829</x:v>
      </x:c>
      <x:c r="J11" s="16" t="str">
        <x:v>否</x:v>
      </x:c>
      <x:c r="K11" s="16" t="str">
        <x:v>否</x:v>
      </x:c>
      <x:c r="L11" s="22" t="n">
        <x:v>14.9693053</x:v>
      </x:c>
    </x:row>
    <x:row r="12" ht="30" customHeight="1">
      <x:c r="A12" s="12" t="str">
        <x:v>加权推荐方案</x:v>
      </x:c>
      <x:c r="B12" s="12" t="str">
        <x:v>weighted_alns:10</x:v>
      </x:c>
      <x:c r="C12" s="5" t="n">
        <x:v>0</x:v>
      </x:c>
      <x:c r="D12" s="5"/>
      <x:c r="E12" s="12" t="str">
        <x:v>归一化加权评分</x:v>
      </x:c>
      <x:c r="F12" s="12" t="str">
        <x:v>限时未取得新解</x:v>
      </x:c>
      <x:c r="G12" s="5" t="n">
        <x:v>570</x:v>
      </x:c>
      <x:c r="H12" s="5"/>
      <x:c r="I12" s="21" t="n">
        <x:v>14931837</x:v>
      </x:c>
      <x:c r="J12" s="12" t="str">
        <x:v>否</x:v>
      </x:c>
      <x:c r="K12" s="12" t="str">
        <x:v>否</x:v>
      </x:c>
      <x:c r="L12" s="21" t="n">
        <x:v>14.805035100000001</x:v>
      </x:c>
    </x:row>
    <x:row r="13" ht="30" customHeight="1">
      <x:c r="A13" s="16" t="str">
        <x:v>加权推荐方案</x:v>
      </x:c>
      <x:c r="B13" s="16" t="str">
        <x:v>weighted_alns:11</x:v>
      </x:c>
      <x:c r="C13" s="13" t="n">
        <x:v>0</x:v>
      </x:c>
      <x:c r="D13" s="13"/>
      <x:c r="E13" s="16" t="str">
        <x:v>归一化加权评分</x:v>
      </x:c>
      <x:c r="F13" s="16" t="str">
        <x:v>可行，未证最优</x:v>
      </x:c>
      <x:c r="G13" s="13" t="n">
        <x:v>120</x:v>
      </x:c>
      <x:c r="H13" s="13" t="n">
        <x:v>15958223</x:v>
      </x:c>
      <x:c r="I13" s="22" t="n">
        <x:v>15162260</x:v>
      </x:c>
      <x:c r="J13" s="16" t="str">
        <x:v>否</x:v>
      </x:c>
      <x:c r="K13" s="16" t="str">
        <x:v>否</x:v>
      </x:c>
      <x:c r="L13" s="22" t="n">
        <x:v>14.9773241</x:v>
      </x:c>
    </x:row>
    <x:row r="14" ht="30" customHeight="1">
      <x:c r="A14" s="12" t="str">
        <x:v>加权推荐方案</x:v>
      </x:c>
      <x:c r="B14" s="12" t="str">
        <x:v>weighted_alns:12</x:v>
      </x:c>
      <x:c r="C14" s="5" t="n">
        <x:v>0</x:v>
      </x:c>
      <x:c r="D14" s="5"/>
      <x:c r="E14" s="12" t="str">
        <x:v>归一化加权评分</x:v>
      </x:c>
      <x:c r="F14" s="12" t="str">
        <x:v>可行，未证最优</x:v>
      </x:c>
      <x:c r="G14" s="5" t="n">
        <x:v>51</x:v>
      </x:c>
      <x:c r="H14" s="5" t="n">
        <x:v>15671792</x:v>
      </x:c>
      <x:c r="I14" s="21" t="n">
        <x:v>15221318</x:v>
      </x:c>
      <x:c r="J14" s="12" t="str">
        <x:v>否</x:v>
      </x:c>
      <x:c r="K14" s="12" t="str">
        <x:v>否</x:v>
      </x:c>
      <x:c r="L14" s="21" t="n">
        <x:v>14.9973272</x:v>
      </x:c>
    </x:row>
    <x:row r="15" ht="30" customHeight="1">
      <x:c r="A15" s="16" t="str">
        <x:v>加权推荐方案</x:v>
      </x:c>
      <x:c r="B15" s="16" t="str">
        <x:v>weighted_alns:13</x:v>
      </x:c>
      <x:c r="C15" s="13" t="n">
        <x:v>0</x:v>
      </x:c>
      <x:c r="D15" s="13"/>
      <x:c r="E15" s="16" t="str">
        <x:v>归一化加权评分</x:v>
      </x:c>
      <x:c r="F15" s="16" t="str">
        <x:v>当前模型已证最优</x:v>
      </x:c>
      <x:c r="G15" s="13" t="n">
        <x:v>99</x:v>
      </x:c>
      <x:c r="H15" s="13" t="n">
        <x:v>15372777</x:v>
      </x:c>
      <x:c r="I15" s="22" t="n">
        <x:v>15372777</x:v>
      </x:c>
      <x:c r="J15" s="16" t="str">
        <x:v>是</x:v>
      </x:c>
      <x:c r="K15" s="16" t="str">
        <x:v>是</x:v>
      </x:c>
      <x:c r="L15" s="22" t="n">
        <x:v>1.6468629000000001</x:v>
      </x:c>
    </x:row>
    <x:row r="16" ht="30" customHeight="1">
      <x:c r="A16" s="12" t="str">
        <x:v>加权推荐方案</x:v>
      </x:c>
      <x:c r="B16" s="12" t="str">
        <x:v>weighted_alns:14</x:v>
      </x:c>
      <x:c r="C16" s="5" t="n">
        <x:v>0</x:v>
      </x:c>
      <x:c r="D16" s="5"/>
      <x:c r="E16" s="12" t="str">
        <x:v>归一化加权评分</x:v>
      </x:c>
      <x:c r="F16" s="12" t="str">
        <x:v>可行，未证最优</x:v>
      </x:c>
      <x:c r="G16" s="5" t="n">
        <x:v>59</x:v>
      </x:c>
      <x:c r="H16" s="5" t="n">
        <x:v>15411231</x:v>
      </x:c>
      <x:c r="I16" s="21" t="n">
        <x:v>15140437</x:v>
      </x:c>
      <x:c r="J16" s="12" t="str">
        <x:v>否</x:v>
      </x:c>
      <x:c r="K16" s="12" t="str">
        <x:v>否</x:v>
      </x:c>
      <x:c r="L16" s="21" t="n">
        <x:v>14.9956557</x:v>
      </x:c>
    </x:row>
    <x:row r="17" ht="30" customHeight="1">
      <x:c r="A17" s="16" t="str">
        <x:v>加权推荐方案</x:v>
      </x:c>
      <x:c r="B17" s="16" t="str">
        <x:v>weighted_alns:15</x:v>
      </x:c>
      <x:c r="C17" s="13" t="n">
        <x:v>0</x:v>
      </x:c>
      <x:c r="D17" s="13"/>
      <x:c r="E17" s="16" t="str">
        <x:v>归一化加权评分</x:v>
      </x:c>
      <x:c r="F17" s="16" t="str">
        <x:v>可行，未证最优</x:v>
      </x:c>
      <x:c r="G17" s="13" t="n">
        <x:v>168</x:v>
      </x:c>
      <x:c r="H17" s="13" t="n">
        <x:v>23425690</x:v>
      </x:c>
      <x:c r="I17" s="22" t="n">
        <x:v>15029033</x:v>
      </x:c>
      <x:c r="J17" s="16" t="str">
        <x:v>否</x:v>
      </x:c>
      <x:c r="K17" s="16" t="str">
        <x:v>否</x:v>
      </x:c>
      <x:c r="L17" s="22" t="n">
        <x:v>14.976561</x:v>
      </x:c>
    </x:row>
    <x:row r="18" ht="30" customHeight="1">
      <x:c r="A18" s="12" t="str">
        <x:v>加权推荐方案</x:v>
      </x:c>
      <x:c r="B18" s="12" t="str">
        <x:v>weighted_alns:16</x:v>
      </x:c>
      <x:c r="C18" s="5" t="n">
        <x:v>0</x:v>
      </x:c>
      <x:c r="D18" s="5"/>
      <x:c r="E18" s="12" t="str">
        <x:v>归一化加权评分</x:v>
      </x:c>
      <x:c r="F18" s="12" t="str">
        <x:v>可行，未证最优</x:v>
      </x:c>
      <x:c r="G18" s="5" t="n">
        <x:v>206</x:v>
      </x:c>
      <x:c r="H18" s="5" t="n">
        <x:v>17087057</x:v>
      </x:c>
      <x:c r="I18" s="21" t="n">
        <x:v>15240542</x:v>
      </x:c>
      <x:c r="J18" s="12" t="str">
        <x:v>否</x:v>
      </x:c>
      <x:c r="K18" s="12" t="str">
        <x:v>否</x:v>
      </x:c>
      <x:c r="L18" s="21" t="n">
        <x:v>14.949280900000002</x:v>
      </x:c>
    </x:row>
    <x:row r="19" ht="30" customHeight="1">
      <x:c r="A19" s="16" t="str">
        <x:v>加权推荐方案</x:v>
      </x:c>
      <x:c r="B19" s="16" t="str">
        <x:v>weighted_alns:17</x:v>
      </x:c>
      <x:c r="C19" s="13" t="n">
        <x:v>0</x:v>
      </x:c>
      <x:c r="D19" s="13"/>
      <x:c r="E19" s="16" t="str">
        <x:v>归一化加权评分</x:v>
      </x:c>
      <x:c r="F19" s="16" t="str">
        <x:v>可行，未证最优</x:v>
      </x:c>
      <x:c r="G19" s="13" t="n">
        <x:v>60</x:v>
      </x:c>
      <x:c r="H19" s="13" t="n">
        <x:v>15261964</x:v>
      </x:c>
      <x:c r="I19" s="22" t="n">
        <x:v>15136292</x:v>
      </x:c>
      <x:c r="J19" s="16" t="str">
        <x:v>否</x:v>
      </x:c>
      <x:c r="K19" s="16" t="str">
        <x:v>否</x:v>
      </x:c>
      <x:c r="L19" s="22" t="n">
        <x:v>14.992557300000001</x:v>
      </x:c>
    </x:row>
    <x:row r="20" ht="30" customHeight="1">
      <x:c r="A20" s="12" t="str">
        <x:v>加权推荐方案</x:v>
      </x:c>
      <x:c r="B20" s="12" t="str">
        <x:v>weighted_alns:18</x:v>
      </x:c>
      <x:c r="C20" s="5" t="n">
        <x:v>0</x:v>
      </x:c>
      <x:c r="D20" s="5"/>
      <x:c r="E20" s="12" t="str">
        <x:v>归一化加权评分</x:v>
      </x:c>
      <x:c r="F20" s="12" t="str">
        <x:v>可行，未证最优</x:v>
      </x:c>
      <x:c r="G20" s="5" t="n">
        <x:v>114</x:v>
      </x:c>
      <x:c r="H20" s="5" t="n">
        <x:v>15281302</x:v>
      </x:c>
      <x:c r="I20" s="21" t="n">
        <x:v>15073789</x:v>
      </x:c>
      <x:c r="J20" s="12" t="str">
        <x:v>否</x:v>
      </x:c>
      <x:c r="K20" s="12" t="str">
        <x:v>否</x:v>
      </x:c>
      <x:c r="L20" s="21" t="n">
        <x:v>14.9856575</x:v>
      </x:c>
    </x:row>
    <x:row r="21" ht="30" customHeight="1">
      <x:c r="A21" s="16" t="str">
        <x:v>加权推荐方案</x:v>
      </x:c>
      <x:c r="B21" s="16" t="str">
        <x:v>weighted_alns:19</x:v>
      </x:c>
      <x:c r="C21" s="13" t="n">
        <x:v>0</x:v>
      </x:c>
      <x:c r="D21" s="13"/>
      <x:c r="E21" s="16" t="str">
        <x:v>归一化加权评分</x:v>
      </x:c>
      <x:c r="F21" s="16" t="str">
        <x:v>可行，未证最优</x:v>
      </x:c>
      <x:c r="G21" s="13" t="n">
        <x:v>97</x:v>
      </x:c>
      <x:c r="H21" s="13" t="n">
        <x:v>16114646</x:v>
      </x:c>
      <x:c r="I21" s="22" t="n">
        <x:v>15137423</x:v>
      </x:c>
      <x:c r="J21" s="16" t="str">
        <x:v>否</x:v>
      </x:c>
      <x:c r="K21" s="16" t="str">
        <x:v>否</x:v>
      </x:c>
      <x:c r="L21" s="22" t="n">
        <x:v>14.9753827</x:v>
      </x:c>
    </x:row>
    <x:row r="22" ht="30" customHeight="1">
      <x:c r="A22" s="12" t="str">
        <x:v>加权推荐方案</x:v>
      </x:c>
      <x:c r="B22" s="12" t="str">
        <x:v>weighted_alns:20</x:v>
      </x:c>
      <x:c r="C22" s="5" t="n">
        <x:v>0</x:v>
      </x:c>
      <x:c r="D22" s="5"/>
      <x:c r="E22" s="12" t="str">
        <x:v>归一化加权评分</x:v>
      </x:c>
      <x:c r="F22" s="12" t="str">
        <x:v>可行，未证最优</x:v>
      </x:c>
      <x:c r="G22" s="5" t="n">
        <x:v>266</x:v>
      </x:c>
      <x:c r="H22" s="5" t="n">
        <x:v>15261964</x:v>
      </x:c>
      <x:c r="I22" s="21" t="n">
        <x:v>15105793</x:v>
      </x:c>
      <x:c r="J22" s="12" t="str">
        <x:v>否</x:v>
      </x:c>
      <x:c r="K22" s="12" t="str">
        <x:v>否</x:v>
      </x:c>
      <x:c r="L22" s="21" t="n">
        <x:v>14.932477800000001</x:v>
      </x:c>
    </x:row>
    <x:row r="23" ht="30" customHeight="1">
      <x:c r="A23" s="16" t="str">
        <x:v>加权推荐方案</x:v>
      </x:c>
      <x:c r="B23" s="16" t="str">
        <x:v>weighted_alns:21</x:v>
      </x:c>
      <x:c r="C23" s="13" t="n">
        <x:v>0</x:v>
      </x:c>
      <x:c r="D23" s="13"/>
      <x:c r="E23" s="16" t="str">
        <x:v>归一化加权评分</x:v>
      </x:c>
      <x:c r="F23" s="16" t="str">
        <x:v>可行，未证最优</x:v>
      </x:c>
      <x:c r="G23" s="13" t="n">
        <x:v>132</x:v>
      </x:c>
      <x:c r="H23" s="13" t="n">
        <x:v>16543232</x:v>
      </x:c>
      <x:c r="I23" s="22" t="n">
        <x:v>15098122</x:v>
      </x:c>
      <x:c r="J23" s="16" t="str">
        <x:v>否</x:v>
      </x:c>
      <x:c r="K23" s="16" t="str">
        <x:v>否</x:v>
      </x:c>
      <x:c r="L23" s="22" t="n">
        <x:v>14.989757800000001</x:v>
      </x:c>
    </x:row>
    <x:row r="24" ht="30" customHeight="1">
      <x:c r="A24" s="12" t="str">
        <x:v>加权推荐方案</x:v>
      </x:c>
      <x:c r="B24" s="12" t="str">
        <x:v>weighted_alns:22</x:v>
      </x:c>
      <x:c r="C24" s="5" t="n">
        <x:v>0</x:v>
      </x:c>
      <x:c r="D24" s="5"/>
      <x:c r="E24" s="12" t="str">
        <x:v>归一化加权评分</x:v>
      </x:c>
      <x:c r="F24" s="12" t="str">
        <x:v>可行，未证最优</x:v>
      </x:c>
      <x:c r="G24" s="5" t="n">
        <x:v>122</x:v>
      </x:c>
      <x:c r="H24" s="5" t="n">
        <x:v>17003500</x:v>
      </x:c>
      <x:c r="I24" s="21" t="n">
        <x:v>14898408</x:v>
      </x:c>
      <x:c r="J24" s="12" t="str">
        <x:v>否</x:v>
      </x:c>
      <x:c r="K24" s="12" t="str">
        <x:v>否</x:v>
      </x:c>
      <x:c r="L24" s="21" t="n">
        <x:v>14.9818501</x:v>
      </x:c>
    </x:row>
    <x:row r="25" ht="30" customHeight="1">
      <x:c r="A25" s="16" t="str">
        <x:v>加权推荐方案</x:v>
      </x:c>
      <x:c r="B25" s="16" t="str">
        <x:v>weighted_alns:23</x:v>
      </x:c>
      <x:c r="C25" s="13" t="n">
        <x:v>0</x:v>
      </x:c>
      <x:c r="D25" s="13"/>
      <x:c r="E25" s="16" t="str">
        <x:v>归一化加权评分</x:v>
      </x:c>
      <x:c r="F25" s="16" t="str">
        <x:v>可行，未证最优</x:v>
      </x:c>
      <x:c r="G25" s="13" t="n">
        <x:v>121</x:v>
      </x:c>
      <x:c r="H25" s="13" t="n">
        <x:v>15616189</x:v>
      </x:c>
      <x:c r="I25" s="22" t="n">
        <x:v>15108504</x:v>
      </x:c>
      <x:c r="J25" s="16" t="str">
        <x:v>否</x:v>
      </x:c>
      <x:c r="K25" s="16" t="str">
        <x:v>否</x:v>
      </x:c>
      <x:c r="L25" s="22" t="n">
        <x:v>14.979183800000001</x:v>
      </x:c>
    </x:row>
    <x:row r="26" ht="30" customHeight="1">
      <x:c r="A26" s="12" t="str">
        <x:v>加权推荐方案</x:v>
      </x:c>
      <x:c r="B26" s="12" t="str">
        <x:v>weighted_alns:24</x:v>
      </x:c>
      <x:c r="C26" s="5" t="n">
        <x:v>0</x:v>
      </x:c>
      <x:c r="D26" s="5"/>
      <x:c r="E26" s="12" t="str">
        <x:v>归一化加权评分</x:v>
      </x:c>
      <x:c r="F26" s="12" t="str">
        <x:v>可行，未证最优</x:v>
      </x:c>
      <x:c r="G26" s="5" t="n">
        <x:v>141</x:v>
      </x:c>
      <x:c r="H26" s="5" t="n">
        <x:v>15539239</x:v>
      </x:c>
      <x:c r="I26" s="21" t="n">
        <x:v>15023549</x:v>
      </x:c>
      <x:c r="J26" s="12" t="str">
        <x:v>否</x:v>
      </x:c>
      <x:c r="K26" s="12" t="str">
        <x:v>否</x:v>
      </x:c>
      <x:c r="L26" s="21" t="n">
        <x:v>14.978015200000002</x:v>
      </x:c>
    </x:row>
    <x:row r="27" ht="30" customHeight="1">
      <x:c r="A27" s="16" t="str">
        <x:v>加权推荐方案</x:v>
      </x:c>
      <x:c r="B27" s="16" t="str">
        <x:v>weighted_alns:25</x:v>
      </x:c>
      <x:c r="C27" s="13" t="n">
        <x:v>0</x:v>
      </x:c>
      <x:c r="D27" s="13"/>
      <x:c r="E27" s="16" t="str">
        <x:v>归一化加权评分</x:v>
      </x:c>
      <x:c r="F27" s="16" t="str">
        <x:v>可行，未证最优</x:v>
      </x:c>
      <x:c r="G27" s="13" t="n">
        <x:v>87</x:v>
      </x:c>
      <x:c r="H27" s="13" t="n">
        <x:v>15262926</x:v>
      </x:c>
      <x:c r="I27" s="22" t="n">
        <x:v>15140417</x:v>
      </x:c>
      <x:c r="J27" s="16" t="str">
        <x:v>否</x:v>
      </x:c>
      <x:c r="K27" s="16" t="str">
        <x:v>否</x:v>
      </x:c>
      <x:c r="L27" s="22" t="n">
        <x:v>14.986166800000001</x:v>
      </x:c>
    </x:row>
    <x:row r="28" ht="30" customHeight="1">
      <x:c r="A28" s="12" t="str">
        <x:v>加权推荐方案</x:v>
      </x:c>
      <x:c r="B28" s="12" t="str">
        <x:v>weighted_alns:26</x:v>
      </x:c>
      <x:c r="C28" s="5" t="n">
        <x:v>0</x:v>
      </x:c>
      <x:c r="D28" s="5"/>
      <x:c r="E28" s="12" t="str">
        <x:v>归一化加权评分</x:v>
      </x:c>
      <x:c r="F28" s="12" t="str">
        <x:v>限时未取得新解</x:v>
      </x:c>
      <x:c r="G28" s="5" t="n">
        <x:v>92</x:v>
      </x:c>
      <x:c r="H28" s="5"/>
      <x:c r="I28" s="21" t="n">
        <x:v>14796715</x:v>
      </x:c>
      <x:c r="J28" s="12" t="str">
        <x:v>否</x:v>
      </x:c>
      <x:c r="K28" s="12" t="str">
        <x:v>否</x:v>
      </x:c>
      <x:c r="L28" s="21" t="n">
        <x:v>6.5058151</x:v>
      </x:c>
    </x:row>
    <x:row r="29" ht="30" customHeight="1">
      <x:c r="A29" s="16" t="str">
        <x:v>加权推荐方案</x:v>
      </x:c>
      <x:c r="B29" s="16" t="str">
        <x:v>weighted_final</x:v>
      </x:c>
      <x:c r="C29" s="13" t="n">
        <x:v>0</x:v>
      </x:c>
      <x:c r="D29" s="13"/>
      <x:c r="E29" s="16" t="str">
        <x:v>归一化加权评分</x:v>
      </x:c>
      <x:c r="F29" s="16" t="str">
        <x:v>可行，未证最优</x:v>
      </x:c>
      <x:c r="G29" s="13" t="n">
        <x:v>1500</x:v>
      </x:c>
      <x:c r="H29" s="13" t="n">
        <x:v>15157242</x:v>
      </x:c>
      <x:c r="I29" s="22" t="n">
        <x:v>12887462</x:v>
      </x:c>
      <x:c r="J29" s="16" t="str">
        <x:v>否</x:v>
      </x:c>
      <x:c r="K29" s="16" t="str">
        <x:v>否</x:v>
      </x:c>
      <x:c r="L29" s="22" t="n">
        <x:v>119.46690410000001</x:v>
      </x:c>
    </x:row>
    <x:row r="30" ht="48" customHeight="1">
      <x:c r="A30" s="12" t="str">
        <x:v>加权推荐方案</x:v>
      </x:c>
      <x:c r="B30" s="24" t="str">
        <x:v>scenario:tardiness:refine</x:v>
      </x:c>
      <x:c r="C30" s="5" t="n">
        <x:v>0</x:v>
      </x:c>
      <x:c r="D30" s="5"/>
      <x:c r="E30" s="12" t="str">
        <x:v>归一化加权评分</x:v>
      </x:c>
      <x:c r="F30" s="12" t="str">
        <x:v>可行，未证最优</x:v>
      </x:c>
      <x:c r="G30" s="5" t="n">
        <x:v>1500</x:v>
      </x:c>
      <x:c r="H30" s="5" t="n">
        <x:v>15255846</x:v>
      </x:c>
      <x:c r="I30" s="21" t="n">
        <x:v>12886991</x:v>
      </x:c>
      <x:c r="J30" s="12" t="str">
        <x:v>否</x:v>
      </x:c>
      <x:c r="K30" s="12" t="str">
        <x:v>否</x:v>
      </x:c>
      <x:c r="L30" s="21" t="n">
        <x:v>59.473321500000004</x:v>
      </x:c>
    </x:row>
    <x:row r="31" ht="48" customHeight="1">
      <x:c r="A31" s="16" t="str">
        <x:v>加权推荐方案</x:v>
      </x:c>
      <x:c r="B31" s="16" t="str">
        <x:v>scenario:makespan:refine</x:v>
      </x:c>
      <x:c r="C31" s="13" t="n">
        <x:v>0</x:v>
      </x:c>
      <x:c r="D31" s="13"/>
      <x:c r="E31" s="16" t="str">
        <x:v>归一化加权评分</x:v>
      </x:c>
      <x:c r="F31" s="16" t="str">
        <x:v>可行，未证最优</x:v>
      </x:c>
      <x:c r="G31" s="13" t="n">
        <x:v>1500</x:v>
      </x:c>
      <x:c r="H31" s="13" t="n">
        <x:v>63641618</x:v>
      </x:c>
      <x:c r="I31" s="22" t="n">
        <x:v>55003415</x:v>
      </x:c>
      <x:c r="J31" s="16" t="str">
        <x:v>否</x:v>
      </x:c>
      <x:c r="K31" s="16" t="str">
        <x:v>否</x:v>
      </x:c>
      <x:c r="L31" s="22" t="n">
        <x:v>59.489778</x:v>
      </x:c>
    </x:row>
    <x:row r="32" ht="48" customHeight="1">
      <x:c r="A32" s="12" t="str">
        <x:v>加权推荐方案</x:v>
      </x:c>
      <x:c r="B32" s="12" t="str">
        <x:v>scenario:energy:refine</x:v>
      </x:c>
      <x:c r="C32" s="5" t="n">
        <x:v>0</x:v>
      </x:c>
      <x:c r="D32" s="5"/>
      <x:c r="E32" s="12" t="str">
        <x:v>归一化加权评分</x:v>
      </x:c>
      <x:c r="F32" s="12" t="str">
        <x:v>可行，未证最优</x:v>
      </x:c>
      <x:c r="G32" s="5" t="n">
        <x:v>1500</x:v>
      </x:c>
      <x:c r="H32" s="5" t="n">
        <x:v>62685925</x:v>
      </x:c>
      <x:c r="I32" s="21" t="n">
        <x:v>60849865</x:v>
      </x:c>
      <x:c r="J32" s="12" t="str">
        <x:v>否</x:v>
      </x:c>
      <x:c r="K32" s="12" t="str">
        <x:v>否</x:v>
      </x:c>
      <x:c r="L32" s="21" t="n">
        <x:v>59.4840413</x:v>
      </x:c>
    </x:row>
    <x:row r="33" ht="48" customHeight="1">
      <x:c r="A33" s="16" t="str">
        <x:v>加权推荐方案</x:v>
      </x:c>
      <x:c r="B33" s="16" t="str">
        <x:v>scenario:sorties:refine</x:v>
      </x:c>
      <x:c r="C33" s="13" t="n">
        <x:v>0</x:v>
      </x:c>
      <x:c r="D33" s="13"/>
      <x:c r="E33" s="16" t="str">
        <x:v>归一化加权评分</x:v>
      </x:c>
      <x:c r="F33" s="16" t="str">
        <x:v>可行，未证最优</x:v>
      </x:c>
      <x:c r="G33" s="13" t="n">
        <x:v>1500</x:v>
      </x:c>
      <x:c r="H33" s="13" t="n">
        <x:v>35382444</x:v>
      </x:c>
      <x:c r="I33" s="22" t="n">
        <x:v>26501667</x:v>
      </x:c>
      <x:c r="J33" s="16" t="str">
        <x:v>否</x:v>
      </x:c>
      <x:c r="K33" s="16" t="str">
        <x:v>否</x:v>
      </x:c>
      <x:c r="L33" s="22" t="n">
        <x:v>59.4218963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2" customHeight="1">
      <x:c r="A1" s="9" t="str">
        <x:v>检查项</x:v>
      </x:c>
      <x:c r="B1" s="9" t="str">
        <x:v>加权推荐方案</x:v>
      </x:c>
      <x:c r="C1" s="9" t="str">
        <x:v>及时性权重放大</x:v>
      </x:c>
      <x:c r="D1" s="9" t="str">
        <x:v>完工时间权重放大</x:v>
      </x:c>
      <x:c r="E1" s="9" t="str">
        <x:v>能耗权重放大</x:v>
      </x:c>
      <x:c r="F1" s="9" t="str">
        <x:v>架次权重放大</x:v>
      </x:c>
    </x:row>
    <x:row r="2" ht="30" customHeight="1">
      <x:c r="A2" s="12" t="str">
        <x:v>完整交付箱数</x:v>
      </x:c>
      <x:c r="B2" s="21" t="n">
        <x:v>80</x:v>
      </x:c>
      <x:c r="C2" s="21" t="n">
        <x:v>80</x:v>
      </x:c>
      <x:c r="D2" s="21" t="n">
        <x:v>80</x:v>
      </x:c>
      <x:c r="E2" s="21" t="n">
        <x:v>80</x:v>
      </x:c>
      <x:c r="F2" s="21" t="n">
        <x:v>80</x:v>
      </x:c>
    </x:row>
    <x:row r="3" ht="30" customHeight="1">
      <x:c r="A3" s="16" t="str">
        <x:v>硬截止违反数</x:v>
      </x:c>
      <x:c r="B3" s="22" t="n">
        <x:v>0</x:v>
      </x:c>
      <x:c r="C3" s="22" t="n">
        <x:v>0</x:v>
      </x:c>
      <x:c r="D3" s="22" t="n">
        <x:v>0</x:v>
      </x:c>
      <x:c r="E3" s="22" t="n">
        <x:v>0</x:v>
      </x:c>
      <x:c r="F3" s="22" t="n">
        <x:v>0</x:v>
      </x:c>
    </x:row>
    <x:row r="4" ht="30" customHeight="1">
      <x:c r="A4" s="12" t="str">
        <x:v>无人机与电池冲突数</x:v>
      </x:c>
      <x:c r="B4" s="21" t="n">
        <x:v>0</x:v>
      </x:c>
      <x:c r="C4" s="21" t="n">
        <x:v>0</x:v>
      </x:c>
      <x:c r="D4" s="21" t="n">
        <x:v>0</x:v>
      </x:c>
      <x:c r="E4" s="21" t="n">
        <x:v>0</x:v>
      </x:c>
      <x:c r="F4" s="21" t="n">
        <x:v>0</x:v>
      </x:c>
    </x:row>
    <x:row r="5" ht="30" customHeight="1">
      <x:c r="A5" s="16" t="str">
        <x:v>总质量kg</x:v>
      </x:c>
      <x:c r="B5" s="22" t="n">
        <x:v>758</x:v>
      </x:c>
      <x:c r="C5" s="22" t="n">
        <x:v>758</x:v>
      </x:c>
      <x:c r="D5" s="22" t="n">
        <x:v>758</x:v>
      </x:c>
      <x:c r="E5" s="22" t="n">
        <x:v>758</x:v>
      </x:c>
      <x:c r="F5" s="22" t="n">
        <x:v>758</x:v>
      </x:c>
    </x:row>
    <x:row r="6" ht="30" customHeight="1">
      <x:c r="A6" s="12" t="str">
        <x:v>总体积m³</x:v>
      </x:c>
      <x:c r="B6" s="21" t="n">
        <x:v>2.011</x:v>
      </x:c>
      <x:c r="C6" s="21" t="n">
        <x:v>2.011</x:v>
      </x:c>
      <x:c r="D6" s="21" t="n">
        <x:v>2.011</x:v>
      </x:c>
      <x:c r="E6" s="21" t="n">
        <x:v>2.011</x:v>
      </x:c>
      <x:c r="F6" s="21" t="n">
        <x:v>2.011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6" hidden="0" customWidth="1"/>
  </x:cols>
  <x:sheetData>
    <x:row r="1" ht="42" customHeight="1">
      <x:c r="A1" s="9" t="str">
        <x:v>事项</x:v>
      </x:c>
      <x:c r="B1" s="9" t="str">
        <x:v>说明</x:v>
      </x:c>
    </x:row>
    <x:row r="2" ht="30" customHeight="1">
      <x:c r="A2" s="12" t="str">
        <x:v>主目标</x:v>
      </x:c>
      <x:c r="B2" s="24" t="str">
        <x:v>四指标归一化加权，W:Cmax:E:N=3:1.5:1:0.5；31个硬截止均为硬约束。</x:v>
      </x:c>
    </x:row>
    <x:row r="3" ht="30" customHeight="1">
      <x:c r="A3" s="16" t="str">
        <x:v>开始时刻</x:v>
      </x:c>
      <x:c r="B3" s="26" t="str">
        <x:v>准备开始；无人机和满电电池均从此时占用。准备300秒，再按每箱30秒装载。</x:v>
      </x:c>
    </x:row>
    <x:row r="4" ht="30" customHeight="1">
      <x:c r="A4" s="12" t="str">
        <x:v>交付时刻</x:v>
      </x:c>
      <x:c r="B4" s="24" t="str">
        <x:v>基础交接后逐箱连续交接；箱序参与优化，最后一箱交完后才能飞往下一站。</x:v>
      </x:c>
    </x:row>
    <x:row r="5" ht="30" customHeight="1">
      <x:c r="A5" s="16" t="str">
        <x:v>电池周转</x:v>
      </x:c>
      <x:c r="B5" s="26" t="str">
        <x:v>返航立即按SOC分段充电。下一任务准备开始前充满。同型共享，跨型禁用，无额外充电器上限。</x:v>
      </x:c>
    </x:row>
    <x:row r="6" ht="30" customHeight="1">
      <x:c r="A6" s="12" t="str">
        <x:v>最终完工</x:v>
      </x:c>
      <x:c r="B6" s="24" t="str">
        <x:v>所有运输机最终返航的最晚时刻，不包含末次电池充电，也不等于累计作业时间。</x:v>
      </x:c>
    </x:row>
    <x:row r="7" ht="48" customHeight="1">
      <x:c r="A7" s="16" t="str">
        <x:v>数值精度</x:v>
      </x:c>
      <x:c r="B7" s="26" t="str">
        <x:v>时间1毫秒；飞行、充电向上取整。能耗目标按1e-9kWh量化。求解状态中的W为系数·毫秒、完工为毫秒、能耗为1e-9kWh单位、架次为整数。</x:v>
      </x:c>
    </x:row>
    <x:row r="8" ht="30" customHeight="1">
      <x:c r="A8" s="12" t="str">
        <x:v>最优性范围</x:v>
      </x:c>
      <x:c r="B8" s="24" t="str">
        <x:v>分数为固定尺度加权和。CP-SAT状态只针对该次候选池及数值精度，未证明完整问题全局最优。</x:v>
      </x:c>
    </x:row>
    <x:row r="9" ht="30" customHeight="1">
      <x:c r="A9" s="16" t="str">
        <x:v>搜索限制</x:v>
      </x:c>
      <x:c r="B9" s="26" t="str">
        <x:v>每架次同一服务区至多访问一次；不设二站或三站上限。候选池有限，可能遗漏更优路线。</x:v>
      </x:c>
    </x:row>
    <x:row r="10" ht="30" customHeight="1">
      <x:c r="A10" s="12" t="str">
        <x:v>刷新方式</x:v>
      </x:c>
      <x:c r="B10" s="24" t="str">
        <x:v>权重设置只重算已保存方案评分；重新优化运行run_q2_weighted.py，仅重导出添加--report-only。</x:v>
      </x:c>
    </x:row>
    <x:row r="11" ht="30" customHeight="1">
      <x:c r="A11" s="16" t="str">
        <x:v>能源解释</x:v>
      </x:c>
      <x:c r="B11" s="26" t="str">
        <x:v>水平能耗=可用能量×距离/等效航程；爬升能耗=势能/效率。沿用问题一，并非题面逐项展开的原公式。</x:v>
      </x:c>
    </x:row>
    <x:row r="12" ht="30" customHeight="1">
      <x:c r="A12" s="12" t="str">
        <x:v>原始来源</x:v>
      </x:c>
      <x:c r="B12" s="24" t="str">
        <x:v>数据/无人机应急物资运输基础数据：节点、逐箱需求、运输机参数及库存；完整30米DEM；原结果模板。</x:v>
      </x:c>
    </x:row>
    <x:row r="13" ht="30" customHeight="1">
      <x:c r="A13" s="16" t="str">
        <x:v>权重修改</x:v>
      </x:c>
      <x:c r="B13" s="26" t="str">
        <x:v>权重设置可对已保存方案重新评分；运输安排不会自动重算。重新优化请运行run_q2_weighted.py。</x:v>
      </x:c>
    </x:row>
    <x:row r="14" ht="30" customHeight="1">
      <x:c r="A14" s="12" t="str">
        <x:v>情景搜索</x:v>
      </x:c>
      <x:c r="B14" s="24" t="str">
        <x:v>四组仅放大一个权重10倍，其余不变。每组3000次快速ALNS与列表调度，末尾CP-SAT精修。</x:v>
      </x:c>
    </x:row>
    <x:row r="15" ht="30" customHeight="1">
      <x:c r="A15" s="16" t="str">
        <x:v>情景间回评</x:v>
      </x:c>
      <x:c r="B15" s="26" t="str">
        <x:v>按各情景自身权重，从9个已保存完整方案选择最好；原始独立终点另存，不新增求解，不从仅有目标向量的云图记录恢复方案。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9" t="str">
        <x:v>架次</x:v>
      </x:c>
      <x:c r="B1" s="9" t="str">
        <x:v>航段</x:v>
      </x:c>
      <x:c r="C1" s="9" t="str">
        <x:v>顶点次序</x:v>
      </x:c>
      <x:c r="D1" s="9" t="str">
        <x:v>起点</x:v>
      </x:c>
      <x:c r="E1" s="9" t="str">
        <x:v>终点</x:v>
      </x:c>
      <x:c r="F1" s="9" t="str">
        <x:v>东向km</x:v>
      </x:c>
      <x:c r="G1" s="9" t="str">
        <x:v>北向km</x:v>
      </x:c>
      <x:c r="H1" s="9" t="str">
        <x:v>海拔m</x:v>
      </x:c>
    </x:row>
    <x:row r="2" ht="30" customHeight="1">
      <x:c r="A2" s="12" t="str">
        <x:v>Q2-001</x:v>
      </x:c>
      <x:c r="B2" s="5" t="n">
        <x:v>1</x:v>
      </x:c>
      <x:c r="C2" s="5" t="n">
        <x:v>1</x:v>
      </x:c>
      <x:c r="D2" s="12" t="str">
        <x:v>O01</x:v>
      </x:c>
      <x:c r="E2" s="12" t="str">
        <x:v>S012</x:v>
      </x:c>
      <x:c r="F2" s="10" t="n">
        <x:v>0</x:v>
      </x:c>
      <x:c r="G2" s="10" t="n">
        <x:v>0</x:v>
      </x:c>
      <x:c r="H2" s="21" t="n">
        <x:v>127.7</x:v>
      </x:c>
    </x:row>
    <x:row r="3" ht="30" customHeight="1">
      <x:c r="A3" s="16" t="str">
        <x:v>Q2-001</x:v>
      </x:c>
      <x:c r="B3" s="13" t="n">
        <x:v>1</x:v>
      </x:c>
      <x:c r="C3" s="13" t="n">
        <x:v>2</x:v>
      </x:c>
      <x:c r="D3" s="16" t="str">
        <x:v>O01</x:v>
      </x:c>
      <x:c r="E3" s="16" t="str">
        <x:v>S012</x:v>
      </x:c>
      <x:c r="F3" s="14" t="n">
        <x:v>0</x:v>
      </x:c>
      <x:c r="G3" s="14" t="n">
        <x:v>0</x:v>
      </x:c>
      <x:c r="H3" s="22" t="n">
        <x:v>413.3009948730469</x:v>
      </x:c>
    </x:row>
    <x:row r="4" ht="30" customHeight="1">
      <x:c r="A4" s="12" t="str">
        <x:v>Q2-001</x:v>
      </x:c>
      <x:c r="B4" s="5" t="n">
        <x:v>1</x:v>
      </x:c>
      <x:c r="C4" s="5" t="n">
        <x:v>3</x:v>
      </x:c>
      <x:c r="D4" s="12" t="str">
        <x:v>O01</x:v>
      </x:c>
      <x:c r="E4" s="12" t="str">
        <x:v>S012</x:v>
      </x:c>
      <x:c r="F4" s="10" t="n">
        <x:v>5.3599521975977344</x:v>
      </x:c>
      <x:c r="G4" s="10" t="n">
        <x:v>5.0891910301555</x:v>
      </x:c>
      <x:c r="H4" s="21" t="n">
        <x:v>413.3009948730469</x:v>
      </x:c>
    </x:row>
    <x:row r="5" ht="30" customHeight="1">
      <x:c r="A5" s="16" t="str">
        <x:v>Q2-001</x:v>
      </x:c>
      <x:c r="B5" s="13" t="n">
        <x:v>1</x:v>
      </x:c>
      <x:c r="C5" s="13" t="n">
        <x:v>4</x:v>
      </x:c>
      <x:c r="D5" s="16" t="str">
        <x:v>O01</x:v>
      </x:c>
      <x:c r="E5" s="16" t="str">
        <x:v>S012</x:v>
      </x:c>
      <x:c r="F5" s="14" t="n">
        <x:v>5.3599521975977344</x:v>
      </x:c>
      <x:c r="G5" s="14" t="n">
        <x:v>5.0891910301555</x:v>
      </x:c>
      <x:c r="H5" s="22" t="n">
        <x:v>279.8</x:v>
      </x:c>
    </x:row>
    <x:row r="6" ht="30" customHeight="1">
      <x:c r="A6" s="12" t="str">
        <x:v>Q2-001</x:v>
      </x:c>
      <x:c r="B6" s="5" t="n">
        <x:v>2</x:v>
      </x:c>
      <x:c r="C6" s="5" t="n">
        <x:v>1</x:v>
      </x:c>
      <x:c r="D6" s="12" t="str">
        <x:v>S012</x:v>
      </x:c>
      <x:c r="E6" s="12" t="str">
        <x:v>O01</x:v>
      </x:c>
      <x:c r="F6" s="10" t="n">
        <x:v>5.3599521975977344</x:v>
      </x:c>
      <x:c r="G6" s="10" t="n">
        <x:v>5.0891910301555</x:v>
      </x:c>
      <x:c r="H6" s="21" t="n">
        <x:v>279.8</x:v>
      </x:c>
    </x:row>
    <x:row r="7" ht="30" customHeight="1">
      <x:c r="A7" s="16" t="str">
        <x:v>Q2-001</x:v>
      </x:c>
      <x:c r="B7" s="13" t="n">
        <x:v>2</x:v>
      </x:c>
      <x:c r="C7" s="13" t="n">
        <x:v>2</x:v>
      </x:c>
      <x:c r="D7" s="16" t="str">
        <x:v>S012</x:v>
      </x:c>
      <x:c r="E7" s="16" t="str">
        <x:v>O01</x:v>
      </x:c>
      <x:c r="F7" s="14" t="n">
        <x:v>5.3599521975977344</x:v>
      </x:c>
      <x:c r="G7" s="14" t="n">
        <x:v>5.0891910301555</x:v>
      </x:c>
      <x:c r="H7" s="22" t="n">
        <x:v>413.3009948730469</x:v>
      </x:c>
    </x:row>
    <x:row r="8" ht="30" customHeight="1">
      <x:c r="A8" s="12" t="str">
        <x:v>Q2-001</x:v>
      </x:c>
      <x:c r="B8" s="5" t="n">
        <x:v>2</x:v>
      </x:c>
      <x:c r="C8" s="5" t="n">
        <x:v>3</x:v>
      </x:c>
      <x:c r="D8" s="12" t="str">
        <x:v>S012</x:v>
      </x:c>
      <x:c r="E8" s="12" t="str">
        <x:v>O01</x:v>
      </x:c>
      <x:c r="F8" s="10" t="n">
        <x:v>0</x:v>
      </x:c>
      <x:c r="G8" s="10" t="n">
        <x:v>0</x:v>
      </x:c>
      <x:c r="H8" s="21" t="n">
        <x:v>413.3009948730469</x:v>
      </x:c>
    </x:row>
    <x:row r="9" ht="30" customHeight="1">
      <x:c r="A9" s="16" t="str">
        <x:v>Q2-001</x:v>
      </x:c>
      <x:c r="B9" s="13" t="n">
        <x:v>2</x:v>
      </x:c>
      <x:c r="C9" s="13" t="n">
        <x:v>4</x:v>
      </x:c>
      <x:c r="D9" s="16" t="str">
        <x:v>S012</x:v>
      </x:c>
      <x:c r="E9" s="16" t="str">
        <x:v>O01</x:v>
      </x:c>
      <x:c r="F9" s="14" t="n">
        <x:v>0</x:v>
      </x:c>
      <x:c r="G9" s="14" t="n">
        <x:v>0</x:v>
      </x:c>
      <x:c r="H9" s="22" t="n">
        <x:v>127.7</x:v>
      </x:c>
    </x:row>
    <x:row r="10" ht="30" customHeight="1">
      <x:c r="A10" s="12" t="str">
        <x:v>Q2-002</x:v>
      </x:c>
      <x:c r="B10" s="5" t="n">
        <x:v>1</x:v>
      </x:c>
      <x:c r="C10" s="5" t="n">
        <x:v>1</x:v>
      </x:c>
      <x:c r="D10" s="12" t="str">
        <x:v>O01</x:v>
      </x:c>
      <x:c r="E10" s="12" t="str">
        <x:v>S002</x:v>
      </x:c>
      <x:c r="F10" s="10" t="n">
        <x:v>0</x:v>
      </x:c>
      <x:c r="G10" s="10" t="n">
        <x:v>0</x:v>
      </x:c>
      <x:c r="H10" s="21" t="n">
        <x:v>127.7</x:v>
      </x:c>
    </x:row>
    <x:row r="11" ht="30" customHeight="1">
      <x:c r="A11" s="16" t="str">
        <x:v>Q2-002</x:v>
      </x:c>
      <x:c r="B11" s="13" t="n">
        <x:v>1</x:v>
      </x:c>
      <x:c r="C11" s="13" t="n">
        <x:v>2</x:v>
      </x:c>
      <x:c r="D11" s="16" t="str">
        <x:v>O01</x:v>
      </x:c>
      <x:c r="E11" s="16" t="str">
        <x:v>S002</x:v>
      </x:c>
      <x:c r="F11" s="14" t="n">
        <x:v>0</x:v>
      </x:c>
      <x:c r="G11" s="14" t="n">
        <x:v>0</x:v>
      </x:c>
      <x:c r="H11" s="22" t="n">
        <x:v>308.9542541503906</x:v>
      </x:c>
    </x:row>
    <x:row r="12" ht="30" customHeight="1">
      <x:c r="A12" s="12" t="str">
        <x:v>Q2-002</x:v>
      </x:c>
      <x:c r="B12" s="5" t="n">
        <x:v>1</x:v>
      </x:c>
      <x:c r="C12" s="5" t="n">
        <x:v>3</x:v>
      </x:c>
      <x:c r="D12" s="12" t="str">
        <x:v>O01</x:v>
      </x:c>
      <x:c r="E12" s="12" t="str">
        <x:v>S002</x:v>
      </x:c>
      <x:c r="F12" s="10" t="n">
        <x:v>2.839716698490673</x:v>
      </x:c>
      <x:c r="G12" s="10" t="n">
        <x:v>6.845936207025278</x:v>
      </x:c>
      <x:c r="H12" s="21" t="n">
        <x:v>308.9542541503906</x:v>
      </x:c>
    </x:row>
    <x:row r="13" ht="30" customHeight="1">
      <x:c r="A13" s="16" t="str">
        <x:v>Q2-002</x:v>
      </x:c>
      <x:c r="B13" s="13" t="n">
        <x:v>1</x:v>
      </x:c>
      <x:c r="C13" s="13" t="n">
        <x:v>4</x:v>
      </x:c>
      <x:c r="D13" s="16" t="str">
        <x:v>O01</x:v>
      </x:c>
      <x:c r="E13" s="16" t="str">
        <x:v>S002</x:v>
      </x:c>
      <x:c r="F13" s="14" t="n">
        <x:v>2.839716698490673</x:v>
      </x:c>
      <x:c r="G13" s="14" t="n">
        <x:v>6.845936207025278</x:v>
      </x:c>
      <x:c r="H13" s="22" t="n">
        <x:v>219.5</x:v>
      </x:c>
    </x:row>
    <x:row r="14" ht="30" customHeight="1">
      <x:c r="A14" s="12" t="str">
        <x:v>Q2-002</x:v>
      </x:c>
      <x:c r="B14" s="5" t="n">
        <x:v>2</x:v>
      </x:c>
      <x:c r="C14" s="5" t="n">
        <x:v>1</x:v>
      </x:c>
      <x:c r="D14" s="12" t="str">
        <x:v>S002</x:v>
      </x:c>
      <x:c r="E14" s="12" t="str">
        <x:v>O01</x:v>
      </x:c>
      <x:c r="F14" s="10" t="n">
        <x:v>2.839716698490673</x:v>
      </x:c>
      <x:c r="G14" s="10" t="n">
        <x:v>6.845936207025278</x:v>
      </x:c>
      <x:c r="H14" s="21" t="n">
        <x:v>219.5</x:v>
      </x:c>
    </x:row>
    <x:row r="15" ht="30" customHeight="1">
      <x:c r="A15" s="16" t="str">
        <x:v>Q2-002</x:v>
      </x:c>
      <x:c r="B15" s="13" t="n">
        <x:v>2</x:v>
      </x:c>
      <x:c r="C15" s="13" t="n">
        <x:v>2</x:v>
      </x:c>
      <x:c r="D15" s="16" t="str">
        <x:v>S002</x:v>
      </x:c>
      <x:c r="E15" s="16" t="str">
        <x:v>O01</x:v>
      </x:c>
      <x:c r="F15" s="14" t="n">
        <x:v>2.839716698490673</x:v>
      </x:c>
      <x:c r="G15" s="14" t="n">
        <x:v>6.845936207025278</x:v>
      </x:c>
      <x:c r="H15" s="22" t="n">
        <x:v>308.9542541503906</x:v>
      </x:c>
    </x:row>
    <x:row r="16" ht="30" customHeight="1">
      <x:c r="A16" s="12" t="str">
        <x:v>Q2-002</x:v>
      </x:c>
      <x:c r="B16" s="5" t="n">
        <x:v>2</x:v>
      </x:c>
      <x:c r="C16" s="5" t="n">
        <x:v>3</x:v>
      </x:c>
      <x:c r="D16" s="12" t="str">
        <x:v>S002</x:v>
      </x:c>
      <x:c r="E16" s="12" t="str">
        <x:v>O01</x:v>
      </x:c>
      <x:c r="F16" s="10" t="n">
        <x:v>0</x:v>
      </x:c>
      <x:c r="G16" s="10" t="n">
        <x:v>0</x:v>
      </x:c>
      <x:c r="H16" s="21" t="n">
        <x:v>308.9542541503906</x:v>
      </x:c>
    </x:row>
    <x:row r="17" ht="30" customHeight="1">
      <x:c r="A17" s="16" t="str">
        <x:v>Q2-002</x:v>
      </x:c>
      <x:c r="B17" s="13" t="n">
        <x:v>2</x:v>
      </x:c>
      <x:c r="C17" s="13" t="n">
        <x:v>4</x:v>
      </x:c>
      <x:c r="D17" s="16" t="str">
        <x:v>S002</x:v>
      </x:c>
      <x:c r="E17" s="16" t="str">
        <x:v>O01</x:v>
      </x:c>
      <x:c r="F17" s="14" t="n">
        <x:v>0</x:v>
      </x:c>
      <x:c r="G17" s="14" t="n">
        <x:v>0</x:v>
      </x:c>
      <x:c r="H17" s="22" t="n">
        <x:v>127.7</x:v>
      </x:c>
    </x:row>
    <x:row r="18" ht="30" customHeight="1">
      <x:c r="A18" s="12" t="str">
        <x:v>Q2-003</x:v>
      </x:c>
      <x:c r="B18" s="5" t="n">
        <x:v>1</x:v>
      </x:c>
      <x:c r="C18" s="5" t="n">
        <x:v>1</x:v>
      </x:c>
      <x:c r="D18" s="12" t="str">
        <x:v>O01</x:v>
      </x:c>
      <x:c r="E18" s="12" t="str">
        <x:v>S014</x:v>
      </x:c>
      <x:c r="F18" s="10" t="n">
        <x:v>0</x:v>
      </x:c>
      <x:c r="G18" s="10" t="n">
        <x:v>0</x:v>
      </x:c>
      <x:c r="H18" s="21" t="n">
        <x:v>127.7</x:v>
      </x:c>
    </x:row>
    <x:row r="19" ht="30" customHeight="1">
      <x:c r="A19" s="16" t="str">
        <x:v>Q2-003</x:v>
      </x:c>
      <x:c r="B19" s="13" t="n">
        <x:v>1</x:v>
      </x:c>
      <x:c r="C19" s="13" t="n">
        <x:v>2</x:v>
      </x:c>
      <x:c r="D19" s="16" t="str">
        <x:v>O01</x:v>
      </x:c>
      <x:c r="E19" s="16" t="str">
        <x:v>S014</x:v>
      </x:c>
      <x:c r="F19" s="14" t="n">
        <x:v>0</x:v>
      </x:c>
      <x:c r="G19" s="14" t="n">
        <x:v>0</x:v>
      </x:c>
      <x:c r="H19" s="22" t="n">
        <x:v>591.9473876953125</x:v>
      </x:c>
    </x:row>
    <x:row r="20" ht="30" customHeight="1">
      <x:c r="A20" s="12" t="str">
        <x:v>Q2-003</x:v>
      </x:c>
      <x:c r="B20" s="5" t="n">
        <x:v>1</x:v>
      </x:c>
      <x:c r="C20" s="5" t="n">
        <x:v>3</x:v>
      </x:c>
      <x:c r="D20" s="12" t="str">
        <x:v>O01</x:v>
      </x:c>
      <x:c r="E20" s="12" t="str">
        <x:v>S014</x:v>
      </x:c>
      <x:c r="F20" s="10" t="n">
        <x:v>5.407201871835279</x:v>
      </x:c>
      <x:c r="G20" s="10" t="n">
        <x:v>-0.3654334735725998</x:v>
      </x:c>
      <x:c r="H20" s="21" t="n">
        <x:v>591.9473876953125</x:v>
      </x:c>
    </x:row>
    <x:row r="21" ht="30" customHeight="1">
      <x:c r="A21" s="16" t="str">
        <x:v>Q2-003</x:v>
      </x:c>
      <x:c r="B21" s="13" t="n">
        <x:v>1</x:v>
      </x:c>
      <x:c r="C21" s="13" t="n">
        <x:v>4</x:v>
      </x:c>
      <x:c r="D21" s="16" t="str">
        <x:v>O01</x:v>
      </x:c>
      <x:c r="E21" s="16" t="str">
        <x:v>S014</x:v>
      </x:c>
      <x:c r="F21" s="14" t="n">
        <x:v>5.407201871835279</x:v>
      </x:c>
      <x:c r="G21" s="14" t="n">
        <x:v>-0.3654334735725998</x:v>
      </x:c>
      <x:c r="H21" s="22" t="n">
        <x:v>351</x:v>
      </x:c>
    </x:row>
    <x:row r="22" ht="30" customHeight="1">
      <x:c r="A22" s="12" t="str">
        <x:v>Q2-003</x:v>
      </x:c>
      <x:c r="B22" s="5" t="n">
        <x:v>2</x:v>
      </x:c>
      <x:c r="C22" s="5" t="n">
        <x:v>1</x:v>
      </x:c>
      <x:c r="D22" s="12" t="str">
        <x:v>S014</x:v>
      </x:c>
      <x:c r="E22" s="12" t="str">
        <x:v>O01</x:v>
      </x:c>
      <x:c r="F22" s="10" t="n">
        <x:v>5.407201871835279</x:v>
      </x:c>
      <x:c r="G22" s="10" t="n">
        <x:v>-0.3654334735725998</x:v>
      </x:c>
      <x:c r="H22" s="21" t="n">
        <x:v>351</x:v>
      </x:c>
    </x:row>
    <x:row r="23" ht="30" customHeight="1">
      <x:c r="A23" s="16" t="str">
        <x:v>Q2-003</x:v>
      </x:c>
      <x:c r="B23" s="13" t="n">
        <x:v>2</x:v>
      </x:c>
      <x:c r="C23" s="13" t="n">
        <x:v>2</x:v>
      </x:c>
      <x:c r="D23" s="16" t="str">
        <x:v>S014</x:v>
      </x:c>
      <x:c r="E23" s="16" t="str">
        <x:v>O01</x:v>
      </x:c>
      <x:c r="F23" s="14" t="n">
        <x:v>5.407201871835279</x:v>
      </x:c>
      <x:c r="G23" s="14" t="n">
        <x:v>-0.3654334735725998</x:v>
      </x:c>
      <x:c r="H23" s="22" t="n">
        <x:v>591.9473876953125</x:v>
      </x:c>
    </x:row>
    <x:row r="24" ht="30" customHeight="1">
      <x:c r="A24" s="12" t="str">
        <x:v>Q2-003</x:v>
      </x:c>
      <x:c r="B24" s="5" t="n">
        <x:v>2</x:v>
      </x:c>
      <x:c r="C24" s="5" t="n">
        <x:v>3</x:v>
      </x:c>
      <x:c r="D24" s="12" t="str">
        <x:v>S014</x:v>
      </x:c>
      <x:c r="E24" s="12" t="str">
        <x:v>O01</x:v>
      </x:c>
      <x:c r="F24" s="10" t="n">
        <x:v>0</x:v>
      </x:c>
      <x:c r="G24" s="10" t="n">
        <x:v>0</x:v>
      </x:c>
      <x:c r="H24" s="21" t="n">
        <x:v>591.9473876953125</x:v>
      </x:c>
    </x:row>
    <x:row r="25" ht="30" customHeight="1">
      <x:c r="A25" s="16" t="str">
        <x:v>Q2-003</x:v>
      </x:c>
      <x:c r="B25" s="13" t="n">
        <x:v>2</x:v>
      </x:c>
      <x:c r="C25" s="13" t="n">
        <x:v>4</x:v>
      </x:c>
      <x:c r="D25" s="16" t="str">
        <x:v>S014</x:v>
      </x:c>
      <x:c r="E25" s="16" t="str">
        <x:v>O01</x:v>
      </x:c>
      <x:c r="F25" s="14" t="n">
        <x:v>0</x:v>
      </x:c>
      <x:c r="G25" s="14" t="n">
        <x:v>0</x:v>
      </x:c>
      <x:c r="H25" s="22" t="n">
        <x:v>127.7</x:v>
      </x:c>
    </x:row>
    <x:row r="26" ht="30" customHeight="1">
      <x:c r="A26" s="12" t="str">
        <x:v>Q2-004</x:v>
      </x:c>
      <x:c r="B26" s="5" t="n">
        <x:v>1</x:v>
      </x:c>
      <x:c r="C26" s="5" t="n">
        <x:v>1</x:v>
      </x:c>
      <x:c r="D26" s="12" t="str">
        <x:v>O01</x:v>
      </x:c>
      <x:c r="E26" s="12" t="str">
        <x:v>S007</x:v>
      </x:c>
      <x:c r="F26" s="10" t="n">
        <x:v>0</x:v>
      </x:c>
      <x:c r="G26" s="10" t="n">
        <x:v>0</x:v>
      </x:c>
      <x:c r="H26" s="21" t="n">
        <x:v>127.7</x:v>
      </x:c>
    </x:row>
    <x:row r="27" ht="30" customHeight="1">
      <x:c r="A27" s="16" t="str">
        <x:v>Q2-004</x:v>
      </x:c>
      <x:c r="B27" s="13" t="n">
        <x:v>1</x:v>
      </x:c>
      <x:c r="C27" s="13" t="n">
        <x:v>2</x:v>
      </x:c>
      <x:c r="D27" s="16" t="str">
        <x:v>O01</x:v>
      </x:c>
      <x:c r="E27" s="16" t="str">
        <x:v>S007</x:v>
      </x:c>
      <x:c r="F27" s="14" t="n">
        <x:v>0</x:v>
      </x:c>
      <x:c r="G27" s="14" t="n">
        <x:v>0</x:v>
      </x:c>
      <x:c r="H27" s="22" t="n">
        <x:v>511.9731750488281</x:v>
      </x:c>
    </x:row>
    <x:row r="28" ht="30" customHeight="1">
      <x:c r="A28" s="12" t="str">
        <x:v>Q2-004</x:v>
      </x:c>
      <x:c r="B28" s="5" t="n">
        <x:v>1</x:v>
      </x:c>
      <x:c r="C28" s="5" t="n">
        <x:v>3</x:v>
      </x:c>
      <x:c r="D28" s="12" t="str">
        <x:v>O01</x:v>
      </x:c>
      <x:c r="E28" s="12" t="str">
        <x:v>S007</x:v>
      </x:c>
      <x:c r="F28" s="10" t="n">
        <x:v>-3.8989541341595637</x:v>
      </x:c>
      <x:c r="G28" s="10" t="n">
        <x:v>2.315560046755532</x:v>
      </x:c>
      <x:c r="H28" s="21" t="n">
        <x:v>511.9731750488281</x:v>
      </x:c>
    </x:row>
    <x:row r="29" ht="30" customHeight="1">
      <x:c r="A29" s="16" t="str">
        <x:v>Q2-004</x:v>
      </x:c>
      <x:c r="B29" s="13" t="n">
        <x:v>1</x:v>
      </x:c>
      <x:c r="C29" s="13" t="n">
        <x:v>4</x:v>
      </x:c>
      <x:c r="D29" s="16" t="str">
        <x:v>O01</x:v>
      </x:c>
      <x:c r="E29" s="16" t="str">
        <x:v>S007</x:v>
      </x:c>
      <x:c r="F29" s="14" t="n">
        <x:v>-3.8989541341595637</x:v>
      </x:c>
      <x:c r="G29" s="14" t="n">
        <x:v>2.315560046755532</x:v>
      </x:c>
      <x:c r="H29" s="22" t="n">
        <x:v>348.5</x:v>
      </x:c>
    </x:row>
    <x:row r="30" ht="30" customHeight="1">
      <x:c r="A30" s="12" t="str">
        <x:v>Q2-004</x:v>
      </x:c>
      <x:c r="B30" s="5" t="n">
        <x:v>2</x:v>
      </x:c>
      <x:c r="C30" s="5" t="n">
        <x:v>1</x:v>
      </x:c>
      <x:c r="D30" s="12" t="str">
        <x:v>S007</x:v>
      </x:c>
      <x:c r="E30" s="12" t="str">
        <x:v>O01</x:v>
      </x:c>
      <x:c r="F30" s="10" t="n">
        <x:v>-3.8989541341595637</x:v>
      </x:c>
      <x:c r="G30" s="10" t="n">
        <x:v>2.315560046755532</x:v>
      </x:c>
      <x:c r="H30" s="21" t="n">
        <x:v>348.5</x:v>
      </x:c>
    </x:row>
    <x:row r="31" ht="30" customHeight="1">
      <x:c r="A31" s="16" t="str">
        <x:v>Q2-004</x:v>
      </x:c>
      <x:c r="B31" s="13" t="n">
        <x:v>2</x:v>
      </x:c>
      <x:c r="C31" s="13" t="n">
        <x:v>2</x:v>
      </x:c>
      <x:c r="D31" s="16" t="str">
        <x:v>S007</x:v>
      </x:c>
      <x:c r="E31" s="16" t="str">
        <x:v>O01</x:v>
      </x:c>
      <x:c r="F31" s="14" t="n">
        <x:v>-3.8989541341595637</x:v>
      </x:c>
      <x:c r="G31" s="14" t="n">
        <x:v>2.315560046755532</x:v>
      </x:c>
      <x:c r="H31" s="22" t="n">
        <x:v>511.9731750488281</x:v>
      </x:c>
    </x:row>
    <x:row r="32" ht="30" customHeight="1">
      <x:c r="A32" s="12" t="str">
        <x:v>Q2-004</x:v>
      </x:c>
      <x:c r="B32" s="5" t="n">
        <x:v>2</x:v>
      </x:c>
      <x:c r="C32" s="5" t="n">
        <x:v>3</x:v>
      </x:c>
      <x:c r="D32" s="12" t="str">
        <x:v>S007</x:v>
      </x:c>
      <x:c r="E32" s="12" t="str">
        <x:v>O01</x:v>
      </x:c>
      <x:c r="F32" s="10" t="n">
        <x:v>0</x:v>
      </x:c>
      <x:c r="G32" s="10" t="n">
        <x:v>0</x:v>
      </x:c>
      <x:c r="H32" s="21" t="n">
        <x:v>511.9731750488281</x:v>
      </x:c>
    </x:row>
    <x:row r="33" ht="30" customHeight="1">
      <x:c r="A33" s="16" t="str">
        <x:v>Q2-004</x:v>
      </x:c>
      <x:c r="B33" s="13" t="n">
        <x:v>2</x:v>
      </x:c>
      <x:c r="C33" s="13" t="n">
        <x:v>4</x:v>
      </x:c>
      <x:c r="D33" s="16" t="str">
        <x:v>S007</x:v>
      </x:c>
      <x:c r="E33" s="16" t="str">
        <x:v>O01</x:v>
      </x:c>
      <x:c r="F33" s="14" t="n">
        <x:v>0</x:v>
      </x:c>
      <x:c r="G33" s="14" t="n">
        <x:v>0</x:v>
      </x:c>
      <x:c r="H33" s="22" t="n">
        <x:v>127.7</x:v>
      </x:c>
    </x:row>
    <x:row r="34" ht="30" customHeight="1">
      <x:c r="A34" s="12" t="str">
        <x:v>Q2-005</x:v>
      </x:c>
      <x:c r="B34" s="5" t="n">
        <x:v>1</x:v>
      </x:c>
      <x:c r="C34" s="5" t="n">
        <x:v>1</x:v>
      </x:c>
      <x:c r="D34" s="12" t="str">
        <x:v>O01</x:v>
      </x:c>
      <x:c r="E34" s="12" t="str">
        <x:v>S010</x:v>
      </x:c>
      <x:c r="F34" s="10" t="n">
        <x:v>0</x:v>
      </x:c>
      <x:c r="G34" s="10" t="n">
        <x:v>0</x:v>
      </x:c>
      <x:c r="H34" s="21" t="n">
        <x:v>127.7</x:v>
      </x:c>
    </x:row>
    <x:row r="35" ht="30" customHeight="1">
      <x:c r="A35" s="16" t="str">
        <x:v>Q2-005</x:v>
      </x:c>
      <x:c r="B35" s="13" t="n">
        <x:v>1</x:v>
      </x:c>
      <x:c r="C35" s="13" t="n">
        <x:v>2</x:v>
      </x:c>
      <x:c r="D35" s="16" t="str">
        <x:v>O01</x:v>
      </x:c>
      <x:c r="E35" s="16" t="str">
        <x:v>S010</x:v>
      </x:c>
      <x:c r="F35" s="14" t="n">
        <x:v>0</x:v>
      </x:c>
      <x:c r="G35" s="14" t="n">
        <x:v>0</x:v>
      </x:c>
      <x:c r="H35" s="22" t="n">
        <x:v>435.63653564453125</x:v>
      </x:c>
    </x:row>
    <x:row r="36" ht="30" customHeight="1">
      <x:c r="A36" s="12" t="str">
        <x:v>Q2-005</x:v>
      </x:c>
      <x:c r="B36" s="5" t="n">
        <x:v>1</x:v>
      </x:c>
      <x:c r="C36" s="5" t="n">
        <x:v>3</x:v>
      </x:c>
      <x:c r="D36" s="12" t="str">
        <x:v>O01</x:v>
      </x:c>
      <x:c r="E36" s="12" t="str">
        <x:v>S010</x:v>
      </x:c>
      <x:c r="F36" s="10" t="n">
        <x:v>4.6301502754126265</x:v>
      </x:c>
      <x:c r="G36" s="10" t="n">
        <x:v>1.2061585956945475</x:v>
      </x:c>
      <x:c r="H36" s="21" t="n">
        <x:v>435.63653564453125</x:v>
      </x:c>
    </x:row>
    <x:row r="37" ht="30" customHeight="1">
      <x:c r="A37" s="16" t="str">
        <x:v>Q2-005</x:v>
      </x:c>
      <x:c r="B37" s="13" t="n">
        <x:v>1</x:v>
      </x:c>
      <x:c r="C37" s="13" t="n">
        <x:v>4</x:v>
      </x:c>
      <x:c r="D37" s="16" t="str">
        <x:v>O01</x:v>
      </x:c>
      <x:c r="E37" s="16" t="str">
        <x:v>S010</x:v>
      </x:c>
      <x:c r="F37" s="14" t="n">
        <x:v>4.6301502754126265</x:v>
      </x:c>
      <x:c r="G37" s="14" t="n">
        <x:v>1.2061585956945475</x:v>
      </x:c>
      <x:c r="H37" s="22" t="n">
        <x:v>351.6</x:v>
      </x:c>
    </x:row>
    <x:row r="38" ht="30" customHeight="1">
      <x:c r="A38" s="12" t="str">
        <x:v>Q2-005</x:v>
      </x:c>
      <x:c r="B38" s="5" t="n">
        <x:v>2</x:v>
      </x:c>
      <x:c r="C38" s="5" t="n">
        <x:v>1</x:v>
      </x:c>
      <x:c r="D38" s="12" t="str">
        <x:v>S010</x:v>
      </x:c>
      <x:c r="E38" s="12" t="str">
        <x:v>O01</x:v>
      </x:c>
      <x:c r="F38" s="10" t="n">
        <x:v>4.6301502754126265</x:v>
      </x:c>
      <x:c r="G38" s="10" t="n">
        <x:v>1.2061585956945475</x:v>
      </x:c>
      <x:c r="H38" s="21" t="n">
        <x:v>351.6</x:v>
      </x:c>
    </x:row>
    <x:row r="39" ht="30" customHeight="1">
      <x:c r="A39" s="16" t="str">
        <x:v>Q2-005</x:v>
      </x:c>
      <x:c r="B39" s="13" t="n">
        <x:v>2</x:v>
      </x:c>
      <x:c r="C39" s="13" t="n">
        <x:v>2</x:v>
      </x:c>
      <x:c r="D39" s="16" t="str">
        <x:v>S010</x:v>
      </x:c>
      <x:c r="E39" s="16" t="str">
        <x:v>O01</x:v>
      </x:c>
      <x:c r="F39" s="14" t="n">
        <x:v>4.6301502754126265</x:v>
      </x:c>
      <x:c r="G39" s="14" t="n">
        <x:v>1.2061585956945475</x:v>
      </x:c>
      <x:c r="H39" s="22" t="n">
        <x:v>435.63653564453125</x:v>
      </x:c>
    </x:row>
    <x:row r="40" ht="30" customHeight="1">
      <x:c r="A40" s="12" t="str">
        <x:v>Q2-005</x:v>
      </x:c>
      <x:c r="B40" s="5" t="n">
        <x:v>2</x:v>
      </x:c>
      <x:c r="C40" s="5" t="n">
        <x:v>3</x:v>
      </x:c>
      <x:c r="D40" s="12" t="str">
        <x:v>S010</x:v>
      </x:c>
      <x:c r="E40" s="12" t="str">
        <x:v>O01</x:v>
      </x:c>
      <x:c r="F40" s="10" t="n">
        <x:v>0</x:v>
      </x:c>
      <x:c r="G40" s="10" t="n">
        <x:v>0</x:v>
      </x:c>
      <x:c r="H40" s="21" t="n">
        <x:v>435.63653564453125</x:v>
      </x:c>
    </x:row>
    <x:row r="41" ht="30" customHeight="1">
      <x:c r="A41" s="16" t="str">
        <x:v>Q2-005</x:v>
      </x:c>
      <x:c r="B41" s="13" t="n">
        <x:v>2</x:v>
      </x:c>
      <x:c r="C41" s="13" t="n">
        <x:v>4</x:v>
      </x:c>
      <x:c r="D41" s="16" t="str">
        <x:v>S010</x:v>
      </x:c>
      <x:c r="E41" s="16" t="str">
        <x:v>O01</x:v>
      </x:c>
      <x:c r="F41" s="14" t="n">
        <x:v>0</x:v>
      </x:c>
      <x:c r="G41" s="14" t="n">
        <x:v>0</x:v>
      </x:c>
      <x:c r="H41" s="22" t="n">
        <x:v>127.7</x:v>
      </x:c>
    </x:row>
    <x:row r="42" ht="30" customHeight="1">
      <x:c r="A42" s="12" t="str">
        <x:v>Q2-006</x:v>
      </x:c>
      <x:c r="B42" s="5" t="n">
        <x:v>1</x:v>
      </x:c>
      <x:c r="C42" s="5" t="n">
        <x:v>1</x:v>
      </x:c>
      <x:c r="D42" s="12" t="str">
        <x:v>O01</x:v>
      </x:c>
      <x:c r="E42" s="12" t="str">
        <x:v>S014</x:v>
      </x:c>
      <x:c r="F42" s="10" t="n">
        <x:v>0</x:v>
      </x:c>
      <x:c r="G42" s="10" t="n">
        <x:v>0</x:v>
      </x:c>
      <x:c r="H42" s="21" t="n">
        <x:v>127.7</x:v>
      </x:c>
    </x:row>
    <x:row r="43" ht="30" customHeight="1">
      <x:c r="A43" s="16" t="str">
        <x:v>Q2-006</x:v>
      </x:c>
      <x:c r="B43" s="13" t="n">
        <x:v>1</x:v>
      </x:c>
      <x:c r="C43" s="13" t="n">
        <x:v>2</x:v>
      </x:c>
      <x:c r="D43" s="16" t="str">
        <x:v>O01</x:v>
      </x:c>
      <x:c r="E43" s="16" t="str">
        <x:v>S014</x:v>
      </x:c>
      <x:c r="F43" s="14" t="n">
        <x:v>0</x:v>
      </x:c>
      <x:c r="G43" s="14" t="n">
        <x:v>0</x:v>
      </x:c>
      <x:c r="H43" s="22" t="n">
        <x:v>591.9473876953125</x:v>
      </x:c>
    </x:row>
    <x:row r="44" ht="30" customHeight="1">
      <x:c r="A44" s="12" t="str">
        <x:v>Q2-006</x:v>
      </x:c>
      <x:c r="B44" s="5" t="n">
        <x:v>1</x:v>
      </x:c>
      <x:c r="C44" s="5" t="n">
        <x:v>3</x:v>
      </x:c>
      <x:c r="D44" s="12" t="str">
        <x:v>O01</x:v>
      </x:c>
      <x:c r="E44" s="12" t="str">
        <x:v>S014</x:v>
      </x:c>
      <x:c r="F44" s="10" t="n">
        <x:v>5.407201871835279</x:v>
      </x:c>
      <x:c r="G44" s="10" t="n">
        <x:v>-0.3654334735725998</x:v>
      </x:c>
      <x:c r="H44" s="21" t="n">
        <x:v>591.9473876953125</x:v>
      </x:c>
    </x:row>
    <x:row r="45" ht="30" customHeight="1">
      <x:c r="A45" s="16" t="str">
        <x:v>Q2-006</x:v>
      </x:c>
      <x:c r="B45" s="13" t="n">
        <x:v>1</x:v>
      </x:c>
      <x:c r="C45" s="13" t="n">
        <x:v>4</x:v>
      </x:c>
      <x:c r="D45" s="16" t="str">
        <x:v>O01</x:v>
      </x:c>
      <x:c r="E45" s="16" t="str">
        <x:v>S014</x:v>
      </x:c>
      <x:c r="F45" s="14" t="n">
        <x:v>5.407201871835279</x:v>
      </x:c>
      <x:c r="G45" s="14" t="n">
        <x:v>-0.3654334735725998</x:v>
      </x:c>
      <x:c r="H45" s="22" t="n">
        <x:v>351</x:v>
      </x:c>
    </x:row>
    <x:row r="46" ht="30" customHeight="1">
      <x:c r="A46" s="12" t="str">
        <x:v>Q2-006</x:v>
      </x:c>
      <x:c r="B46" s="5" t="n">
        <x:v>2</x:v>
      </x:c>
      <x:c r="C46" s="5" t="n">
        <x:v>1</x:v>
      </x:c>
      <x:c r="D46" s="12" t="str">
        <x:v>S014</x:v>
      </x:c>
      <x:c r="E46" s="12" t="str">
        <x:v>O01</x:v>
      </x:c>
      <x:c r="F46" s="10" t="n">
        <x:v>5.407201871835279</x:v>
      </x:c>
      <x:c r="G46" s="10" t="n">
        <x:v>-0.3654334735725998</x:v>
      </x:c>
      <x:c r="H46" s="21" t="n">
        <x:v>351</x:v>
      </x:c>
    </x:row>
    <x:row r="47" ht="30" customHeight="1">
      <x:c r="A47" s="16" t="str">
        <x:v>Q2-006</x:v>
      </x:c>
      <x:c r="B47" s="13" t="n">
        <x:v>2</x:v>
      </x:c>
      <x:c r="C47" s="13" t="n">
        <x:v>2</x:v>
      </x:c>
      <x:c r="D47" s="16" t="str">
        <x:v>S014</x:v>
      </x:c>
      <x:c r="E47" s="16" t="str">
        <x:v>O01</x:v>
      </x:c>
      <x:c r="F47" s="14" t="n">
        <x:v>5.407201871835279</x:v>
      </x:c>
      <x:c r="G47" s="14" t="n">
        <x:v>-0.3654334735725998</x:v>
      </x:c>
      <x:c r="H47" s="22" t="n">
        <x:v>591.9473876953125</x:v>
      </x:c>
    </x:row>
    <x:row r="48" ht="30" customHeight="1">
      <x:c r="A48" s="12" t="str">
        <x:v>Q2-006</x:v>
      </x:c>
      <x:c r="B48" s="5" t="n">
        <x:v>2</x:v>
      </x:c>
      <x:c r="C48" s="5" t="n">
        <x:v>3</x:v>
      </x:c>
      <x:c r="D48" s="12" t="str">
        <x:v>S014</x:v>
      </x:c>
      <x:c r="E48" s="12" t="str">
        <x:v>O01</x:v>
      </x:c>
      <x:c r="F48" s="10" t="n">
        <x:v>0</x:v>
      </x:c>
      <x:c r="G48" s="10" t="n">
        <x:v>0</x:v>
      </x:c>
      <x:c r="H48" s="21" t="n">
        <x:v>591.9473876953125</x:v>
      </x:c>
    </x:row>
    <x:row r="49" ht="30" customHeight="1">
      <x:c r="A49" s="16" t="str">
        <x:v>Q2-006</x:v>
      </x:c>
      <x:c r="B49" s="13" t="n">
        <x:v>2</x:v>
      </x:c>
      <x:c r="C49" s="13" t="n">
        <x:v>4</x:v>
      </x:c>
      <x:c r="D49" s="16" t="str">
        <x:v>S014</x:v>
      </x:c>
      <x:c r="E49" s="16" t="str">
        <x:v>O01</x:v>
      </x:c>
      <x:c r="F49" s="14" t="n">
        <x:v>0</x:v>
      </x:c>
      <x:c r="G49" s="14" t="n">
        <x:v>0</x:v>
      </x:c>
      <x:c r="H49" s="22" t="n">
        <x:v>127.7</x:v>
      </x:c>
    </x:row>
    <x:row r="50" ht="30" customHeight="1">
      <x:c r="A50" s="12" t="str">
        <x:v>Q2-007</x:v>
      </x:c>
      <x:c r="B50" s="5" t="n">
        <x:v>1</x:v>
      </x:c>
      <x:c r="C50" s="5" t="n">
        <x:v>1</x:v>
      </x:c>
      <x:c r="D50" s="12" t="str">
        <x:v>O01</x:v>
      </x:c>
      <x:c r="E50" s="12" t="str">
        <x:v>S007</x:v>
      </x:c>
      <x:c r="F50" s="10" t="n">
        <x:v>0</x:v>
      </x:c>
      <x:c r="G50" s="10" t="n">
        <x:v>0</x:v>
      </x:c>
      <x:c r="H50" s="21" t="n">
        <x:v>127.7</x:v>
      </x:c>
    </x:row>
    <x:row r="51" ht="30" customHeight="1">
      <x:c r="A51" s="16" t="str">
        <x:v>Q2-007</x:v>
      </x:c>
      <x:c r="B51" s="13" t="n">
        <x:v>1</x:v>
      </x:c>
      <x:c r="C51" s="13" t="n">
        <x:v>2</x:v>
      </x:c>
      <x:c r="D51" s="16" t="str">
        <x:v>O01</x:v>
      </x:c>
      <x:c r="E51" s="16" t="str">
        <x:v>S007</x:v>
      </x:c>
      <x:c r="F51" s="14" t="n">
        <x:v>0</x:v>
      </x:c>
      <x:c r="G51" s="14" t="n">
        <x:v>0</x:v>
      </x:c>
      <x:c r="H51" s="22" t="n">
        <x:v>511.9731750488281</x:v>
      </x:c>
    </x:row>
    <x:row r="52" ht="30" customHeight="1">
      <x:c r="A52" s="12" t="str">
        <x:v>Q2-007</x:v>
      </x:c>
      <x:c r="B52" s="5" t="n">
        <x:v>1</x:v>
      </x:c>
      <x:c r="C52" s="5" t="n">
        <x:v>3</x:v>
      </x:c>
      <x:c r="D52" s="12" t="str">
        <x:v>O01</x:v>
      </x:c>
      <x:c r="E52" s="12" t="str">
        <x:v>S007</x:v>
      </x:c>
      <x:c r="F52" s="10" t="n">
        <x:v>-3.8989541341595637</x:v>
      </x:c>
      <x:c r="G52" s="10" t="n">
        <x:v>2.315560046755532</x:v>
      </x:c>
      <x:c r="H52" s="21" t="n">
        <x:v>511.9731750488281</x:v>
      </x:c>
    </x:row>
    <x:row r="53" ht="30" customHeight="1">
      <x:c r="A53" s="16" t="str">
        <x:v>Q2-007</x:v>
      </x:c>
      <x:c r="B53" s="13" t="n">
        <x:v>1</x:v>
      </x:c>
      <x:c r="C53" s="13" t="n">
        <x:v>4</x:v>
      </x:c>
      <x:c r="D53" s="16" t="str">
        <x:v>O01</x:v>
      </x:c>
      <x:c r="E53" s="16" t="str">
        <x:v>S007</x:v>
      </x:c>
      <x:c r="F53" s="14" t="n">
        <x:v>-3.8989541341595637</x:v>
      </x:c>
      <x:c r="G53" s="14" t="n">
        <x:v>2.315560046755532</x:v>
      </x:c>
      <x:c r="H53" s="22" t="n">
        <x:v>348.5</x:v>
      </x:c>
    </x:row>
    <x:row r="54" ht="30" customHeight="1">
      <x:c r="A54" s="12" t="str">
        <x:v>Q2-007</x:v>
      </x:c>
      <x:c r="B54" s="5" t="n">
        <x:v>2</x:v>
      </x:c>
      <x:c r="C54" s="5" t="n">
        <x:v>1</x:v>
      </x:c>
      <x:c r="D54" s="12" t="str">
        <x:v>S007</x:v>
      </x:c>
      <x:c r="E54" s="12" t="str">
        <x:v>O01</x:v>
      </x:c>
      <x:c r="F54" s="10" t="n">
        <x:v>-3.8989541341595637</x:v>
      </x:c>
      <x:c r="G54" s="10" t="n">
        <x:v>2.315560046755532</x:v>
      </x:c>
      <x:c r="H54" s="21" t="n">
        <x:v>348.5</x:v>
      </x:c>
    </x:row>
    <x:row r="55" ht="30" customHeight="1">
      <x:c r="A55" s="16" t="str">
        <x:v>Q2-007</x:v>
      </x:c>
      <x:c r="B55" s="13" t="n">
        <x:v>2</x:v>
      </x:c>
      <x:c r="C55" s="13" t="n">
        <x:v>2</x:v>
      </x:c>
      <x:c r="D55" s="16" t="str">
        <x:v>S007</x:v>
      </x:c>
      <x:c r="E55" s="16" t="str">
        <x:v>O01</x:v>
      </x:c>
      <x:c r="F55" s="14" t="n">
        <x:v>-3.8989541341595637</x:v>
      </x:c>
      <x:c r="G55" s="14" t="n">
        <x:v>2.315560046755532</x:v>
      </x:c>
      <x:c r="H55" s="22" t="n">
        <x:v>511.9731750488281</x:v>
      </x:c>
    </x:row>
    <x:row r="56" ht="30" customHeight="1">
      <x:c r="A56" s="12" t="str">
        <x:v>Q2-007</x:v>
      </x:c>
      <x:c r="B56" s="5" t="n">
        <x:v>2</x:v>
      </x:c>
      <x:c r="C56" s="5" t="n">
        <x:v>3</x:v>
      </x:c>
      <x:c r="D56" s="12" t="str">
        <x:v>S007</x:v>
      </x:c>
      <x:c r="E56" s="12" t="str">
        <x:v>O01</x:v>
      </x:c>
      <x:c r="F56" s="10" t="n">
        <x:v>0</x:v>
      </x:c>
      <x:c r="G56" s="10" t="n">
        <x:v>0</x:v>
      </x:c>
      <x:c r="H56" s="21" t="n">
        <x:v>511.9731750488281</x:v>
      </x:c>
    </x:row>
    <x:row r="57" ht="30" customHeight="1">
      <x:c r="A57" s="16" t="str">
        <x:v>Q2-007</x:v>
      </x:c>
      <x:c r="B57" s="13" t="n">
        <x:v>2</x:v>
      </x:c>
      <x:c r="C57" s="13" t="n">
        <x:v>4</x:v>
      </x:c>
      <x:c r="D57" s="16" t="str">
        <x:v>S007</x:v>
      </x:c>
      <x:c r="E57" s="16" t="str">
        <x:v>O01</x:v>
      </x:c>
      <x:c r="F57" s="14" t="n">
        <x:v>0</x:v>
      </x:c>
      <x:c r="G57" s="14" t="n">
        <x:v>0</x:v>
      </x:c>
      <x:c r="H57" s="22" t="n">
        <x:v>127.7</x:v>
      </x:c>
    </x:row>
    <x:row r="58" ht="30" customHeight="1">
      <x:c r="A58" s="12" t="str">
        <x:v>Q2-008</x:v>
      </x:c>
      <x:c r="B58" s="5" t="n">
        <x:v>1</x:v>
      </x:c>
      <x:c r="C58" s="5" t="n">
        <x:v>1</x:v>
      </x:c>
      <x:c r="D58" s="12" t="str">
        <x:v>O01</x:v>
      </x:c>
      <x:c r="E58" s="12" t="str">
        <x:v>S006</x:v>
      </x:c>
      <x:c r="F58" s="10" t="n">
        <x:v>0</x:v>
      </x:c>
      <x:c r="G58" s="10" t="n">
        <x:v>0</x:v>
      </x:c>
      <x:c r="H58" s="21" t="n">
        <x:v>127.7</x:v>
      </x:c>
    </x:row>
    <x:row r="59" ht="30" customHeight="1">
      <x:c r="A59" s="16" t="str">
        <x:v>Q2-008</x:v>
      </x:c>
      <x:c r="B59" s="13" t="n">
        <x:v>1</x:v>
      </x:c>
      <x:c r="C59" s="13" t="n">
        <x:v>2</x:v>
      </x:c>
      <x:c r="D59" s="16" t="str">
        <x:v>O01</x:v>
      </x:c>
      <x:c r="E59" s="16" t="str">
        <x:v>S006</x:v>
      </x:c>
      <x:c r="F59" s="14" t="n">
        <x:v>0</x:v>
      </x:c>
      <x:c r="G59" s="14" t="n">
        <x:v>0</x:v>
      </x:c>
      <x:c r="H59" s="22" t="n">
        <x:v>366.09783935546875</x:v>
      </x:c>
    </x:row>
    <x:row r="60" ht="30" customHeight="1">
      <x:c r="A60" s="12" t="str">
        <x:v>Q2-008</x:v>
      </x:c>
      <x:c r="B60" s="5" t="n">
        <x:v>1</x:v>
      </x:c>
      <x:c r="C60" s="5" t="n">
        <x:v>3</x:v>
      </x:c>
      <x:c r="D60" s="12" t="str">
        <x:v>O01</x:v>
      </x:c>
      <x:c r="E60" s="12" t="str">
        <x:v>S006</x:v>
      </x:c>
      <x:c r="F60" s="10" t="n">
        <x:v>-3.1849806990700626</x:v>
      </x:c>
      <x:c r="G60" s="10" t="n">
        <x:v>-0.08809695382351547</x:v>
      </x:c>
      <x:c r="H60" s="21" t="n">
        <x:v>366.09783935546875</x:v>
      </x:c>
    </x:row>
    <x:row r="61" ht="30" customHeight="1">
      <x:c r="A61" s="16" t="str">
        <x:v>Q2-008</x:v>
      </x:c>
      <x:c r="B61" s="13" t="n">
        <x:v>1</x:v>
      </x:c>
      <x:c r="C61" s="13" t="n">
        <x:v>4</x:v>
      </x:c>
      <x:c r="D61" s="16" t="str">
        <x:v>O01</x:v>
      </x:c>
      <x:c r="E61" s="16" t="str">
        <x:v>S006</x:v>
      </x:c>
      <x:c r="F61" s="14" t="n">
        <x:v>-3.1849806990700626</x:v>
      </x:c>
      <x:c r="G61" s="14" t="n">
        <x:v>-0.08809695382351547</x:v>
      </x:c>
      <x:c r="H61" s="22" t="n">
        <x:v>314.8</x:v>
      </x:c>
    </x:row>
    <x:row r="62" ht="30" customHeight="1">
      <x:c r="A62" s="12" t="str">
        <x:v>Q2-008</x:v>
      </x:c>
      <x:c r="B62" s="5" t="n">
        <x:v>2</x:v>
      </x:c>
      <x:c r="C62" s="5" t="n">
        <x:v>1</x:v>
      </x:c>
      <x:c r="D62" s="12" t="str">
        <x:v>S006</x:v>
      </x:c>
      <x:c r="E62" s="12" t="str">
        <x:v>O01</x:v>
      </x:c>
      <x:c r="F62" s="10" t="n">
        <x:v>-3.1849806990700626</x:v>
      </x:c>
      <x:c r="G62" s="10" t="n">
        <x:v>-0.08809695382351547</x:v>
      </x:c>
      <x:c r="H62" s="21" t="n">
        <x:v>314.8</x:v>
      </x:c>
    </x:row>
    <x:row r="63" ht="30" customHeight="1">
      <x:c r="A63" s="16" t="str">
        <x:v>Q2-008</x:v>
      </x:c>
      <x:c r="B63" s="13" t="n">
        <x:v>2</x:v>
      </x:c>
      <x:c r="C63" s="13" t="n">
        <x:v>2</x:v>
      </x:c>
      <x:c r="D63" s="16" t="str">
        <x:v>S006</x:v>
      </x:c>
      <x:c r="E63" s="16" t="str">
        <x:v>O01</x:v>
      </x:c>
      <x:c r="F63" s="14" t="n">
        <x:v>-3.1849806990700626</x:v>
      </x:c>
      <x:c r="G63" s="14" t="n">
        <x:v>-0.08809695382351547</x:v>
      </x:c>
      <x:c r="H63" s="22" t="n">
        <x:v>366.09783935546875</x:v>
      </x:c>
    </x:row>
    <x:row r="64" ht="30" customHeight="1">
      <x:c r="A64" s="12" t="str">
        <x:v>Q2-008</x:v>
      </x:c>
      <x:c r="B64" s="5" t="n">
        <x:v>2</x:v>
      </x:c>
      <x:c r="C64" s="5" t="n">
        <x:v>3</x:v>
      </x:c>
      <x:c r="D64" s="12" t="str">
        <x:v>S006</x:v>
      </x:c>
      <x:c r="E64" s="12" t="str">
        <x:v>O01</x:v>
      </x:c>
      <x:c r="F64" s="10" t="n">
        <x:v>0</x:v>
      </x:c>
      <x:c r="G64" s="10" t="n">
        <x:v>0</x:v>
      </x:c>
      <x:c r="H64" s="21" t="n">
        <x:v>366.09783935546875</x:v>
      </x:c>
    </x:row>
    <x:row r="65" ht="30" customHeight="1">
      <x:c r="A65" s="16" t="str">
        <x:v>Q2-008</x:v>
      </x:c>
      <x:c r="B65" s="13" t="n">
        <x:v>2</x:v>
      </x:c>
      <x:c r="C65" s="13" t="n">
        <x:v>4</x:v>
      </x:c>
      <x:c r="D65" s="16" t="str">
        <x:v>S006</x:v>
      </x:c>
      <x:c r="E65" s="16" t="str">
        <x:v>O01</x:v>
      </x:c>
      <x:c r="F65" s="14" t="n">
        <x:v>0</x:v>
      </x:c>
      <x:c r="G65" s="14" t="n">
        <x:v>0</x:v>
      </x:c>
      <x:c r="H65" s="22" t="n">
        <x:v>127.7</x:v>
      </x:c>
    </x:row>
    <x:row r="66" ht="30" customHeight="1">
      <x:c r="A66" s="12" t="str">
        <x:v>Q2-009</x:v>
      </x:c>
      <x:c r="B66" s="5" t="n">
        <x:v>1</x:v>
      </x:c>
      <x:c r="C66" s="5" t="n">
        <x:v>1</x:v>
      </x:c>
      <x:c r="D66" s="12" t="str">
        <x:v>O01</x:v>
      </x:c>
      <x:c r="E66" s="12" t="str">
        <x:v>S013</x:v>
      </x:c>
      <x:c r="F66" s="10" t="n">
        <x:v>0</x:v>
      </x:c>
      <x:c r="G66" s="10" t="n">
        <x:v>0</x:v>
      </x:c>
      <x:c r="H66" s="21" t="n">
        <x:v>127.7</x:v>
      </x:c>
    </x:row>
    <x:row r="67" ht="30" customHeight="1">
      <x:c r="A67" s="16" t="str">
        <x:v>Q2-009</x:v>
      </x:c>
      <x:c r="B67" s="13" t="n">
        <x:v>1</x:v>
      </x:c>
      <x:c r="C67" s="13" t="n">
        <x:v>2</x:v>
      </x:c>
      <x:c r="D67" s="16" t="str">
        <x:v>O01</x:v>
      </x:c>
      <x:c r="E67" s="16" t="str">
        <x:v>S013</x:v>
      </x:c>
      <x:c r="F67" s="14" t="n">
        <x:v>0</x:v>
      </x:c>
      <x:c r="G67" s="14" t="n">
        <x:v>0</x:v>
      </x:c>
      <x:c r="H67" s="22" t="n">
        <x:v>399.18182373046875</x:v>
      </x:c>
    </x:row>
    <x:row r="68" ht="30" customHeight="1">
      <x:c r="A68" s="12" t="str">
        <x:v>Q2-009</x:v>
      </x:c>
      <x:c r="B68" s="5" t="n">
        <x:v>1</x:v>
      </x:c>
      <x:c r="C68" s="5" t="n">
        <x:v>3</x:v>
      </x:c>
      <x:c r="D68" s="12" t="str">
        <x:v>O01</x:v>
      </x:c>
      <x:c r="E68" s="12" t="str">
        <x:v>S013</x:v>
      </x:c>
      <x:c r="F68" s="10" t="n">
        <x:v>4.155203398046757</x:v>
      </x:c>
      <x:c r="G68" s="10" t="n">
        <x:v>2.500458442863541</x:v>
      </x:c>
      <x:c r="H68" s="21" t="n">
        <x:v>399.18182373046875</x:v>
      </x:c>
    </x:row>
    <x:row r="69" ht="30" customHeight="1">
      <x:c r="A69" s="16" t="str">
        <x:v>Q2-009</x:v>
      </x:c>
      <x:c r="B69" s="13" t="n">
        <x:v>1</x:v>
      </x:c>
      <x:c r="C69" s="13" t="n">
        <x:v>4</x:v>
      </x:c>
      <x:c r="D69" s="16" t="str">
        <x:v>O01</x:v>
      </x:c>
      <x:c r="E69" s="16" t="str">
        <x:v>S013</x:v>
      </x:c>
      <x:c r="F69" s="14" t="n">
        <x:v>4.155203398046757</x:v>
      </x:c>
      <x:c r="G69" s="14" t="n">
        <x:v>2.500458442863541</x:v>
      </x:c>
      <x:c r="H69" s="22" t="n">
        <x:v>351.7</x:v>
      </x:c>
    </x:row>
    <x:row r="70" ht="30" customHeight="1">
      <x:c r="A70" s="12" t="str">
        <x:v>Q2-009</x:v>
      </x:c>
      <x:c r="B70" s="5" t="n">
        <x:v>2</x:v>
      </x:c>
      <x:c r="C70" s="5" t="n">
        <x:v>1</x:v>
      </x:c>
      <x:c r="D70" s="12" t="str">
        <x:v>S013</x:v>
      </x:c>
      <x:c r="E70" s="12" t="str">
        <x:v>O01</x:v>
      </x:c>
      <x:c r="F70" s="10" t="n">
        <x:v>4.155203398046757</x:v>
      </x:c>
      <x:c r="G70" s="10" t="n">
        <x:v>2.500458442863541</x:v>
      </x:c>
      <x:c r="H70" s="21" t="n">
        <x:v>351.7</x:v>
      </x:c>
    </x:row>
    <x:row r="71" ht="30" customHeight="1">
      <x:c r="A71" s="16" t="str">
        <x:v>Q2-009</x:v>
      </x:c>
      <x:c r="B71" s="13" t="n">
        <x:v>2</x:v>
      </x:c>
      <x:c r="C71" s="13" t="n">
        <x:v>2</x:v>
      </x:c>
      <x:c r="D71" s="16" t="str">
        <x:v>S013</x:v>
      </x:c>
      <x:c r="E71" s="16" t="str">
        <x:v>O01</x:v>
      </x:c>
      <x:c r="F71" s="14" t="n">
        <x:v>4.155203398046757</x:v>
      </x:c>
      <x:c r="G71" s="14" t="n">
        <x:v>2.500458442863541</x:v>
      </x:c>
      <x:c r="H71" s="22" t="n">
        <x:v>399.18182373046875</x:v>
      </x:c>
    </x:row>
    <x:row r="72" ht="30" customHeight="1">
      <x:c r="A72" s="12" t="str">
        <x:v>Q2-009</x:v>
      </x:c>
      <x:c r="B72" s="5" t="n">
        <x:v>2</x:v>
      </x:c>
      <x:c r="C72" s="5" t="n">
        <x:v>3</x:v>
      </x:c>
      <x:c r="D72" s="12" t="str">
        <x:v>S013</x:v>
      </x:c>
      <x:c r="E72" s="12" t="str">
        <x:v>O01</x:v>
      </x:c>
      <x:c r="F72" s="10" t="n">
        <x:v>0</x:v>
      </x:c>
      <x:c r="G72" s="10" t="n">
        <x:v>0</x:v>
      </x:c>
      <x:c r="H72" s="21" t="n">
        <x:v>399.18182373046875</x:v>
      </x:c>
    </x:row>
    <x:row r="73" ht="30" customHeight="1">
      <x:c r="A73" s="16" t="str">
        <x:v>Q2-009</x:v>
      </x:c>
      <x:c r="B73" s="13" t="n">
        <x:v>2</x:v>
      </x:c>
      <x:c r="C73" s="13" t="n">
        <x:v>4</x:v>
      </x:c>
      <x:c r="D73" s="16" t="str">
        <x:v>S013</x:v>
      </x:c>
      <x:c r="E73" s="16" t="str">
        <x:v>O01</x:v>
      </x:c>
      <x:c r="F73" s="14" t="n">
        <x:v>0</x:v>
      </x:c>
      <x:c r="G73" s="14" t="n">
        <x:v>0</x:v>
      </x:c>
      <x:c r="H73" s="22" t="n">
        <x:v>127.7</x:v>
      </x:c>
    </x:row>
    <x:row r="74" ht="30" customHeight="1">
      <x:c r="A74" s="12" t="str">
        <x:v>Q2-010</x:v>
      </x:c>
      <x:c r="B74" s="5" t="n">
        <x:v>1</x:v>
      </x:c>
      <x:c r="C74" s="5" t="n">
        <x:v>1</x:v>
      </x:c>
      <x:c r="D74" s="12" t="str">
        <x:v>O01</x:v>
      </x:c>
      <x:c r="E74" s="12" t="str">
        <x:v>S001</x:v>
      </x:c>
      <x:c r="F74" s="10" t="n">
        <x:v>0</x:v>
      </x:c>
      <x:c r="G74" s="10" t="n">
        <x:v>0</x:v>
      </x:c>
      <x:c r="H74" s="21" t="n">
        <x:v>127.7</x:v>
      </x:c>
    </x:row>
    <x:row r="75" ht="30" customHeight="1">
      <x:c r="A75" s="16" t="str">
        <x:v>Q2-010</x:v>
      </x:c>
      <x:c r="B75" s="13" t="n">
        <x:v>1</x:v>
      </x:c>
      <x:c r="C75" s="13" t="n">
        <x:v>2</x:v>
      </x:c>
      <x:c r="D75" s="16" t="str">
        <x:v>O01</x:v>
      </x:c>
      <x:c r="E75" s="16" t="str">
        <x:v>S001</x:v>
      </x:c>
      <x:c r="F75" s="14" t="n">
        <x:v>0</x:v>
      </x:c>
      <x:c r="G75" s="14" t="n">
        <x:v>0</x:v>
      </x:c>
      <x:c r="H75" s="22" t="n">
        <x:v>273.0566101074219</x:v>
      </x:c>
    </x:row>
    <x:row r="76" ht="30" customHeight="1">
      <x:c r="A76" s="12" t="str">
        <x:v>Q2-010</x:v>
      </x:c>
      <x:c r="B76" s="5" t="n">
        <x:v>1</x:v>
      </x:c>
      <x:c r="C76" s="5" t="n">
        <x:v>3</x:v>
      </x:c>
      <x:c r="D76" s="12" t="str">
        <x:v>O01</x:v>
      </x:c>
      <x:c r="E76" s="12" t="str">
        <x:v>S001</x:v>
      </x:c>
      <x:c r="F76" s="10" t="n">
        <x:v>1.269169921901062</x:v>
      </x:c>
      <x:c r="G76" s="10" t="n">
        <x:v>2.777817111438484</x:v>
      </x:c>
      <x:c r="H76" s="21" t="n">
        <x:v>273.0566101074219</x:v>
      </x:c>
    </x:row>
    <x:row r="77" ht="30" customHeight="1">
      <x:c r="A77" s="16" t="str">
        <x:v>Q2-010</x:v>
      </x:c>
      <x:c r="B77" s="13" t="n">
        <x:v>1</x:v>
      </x:c>
      <x:c r="C77" s="13" t="n">
        <x:v>4</x:v>
      </x:c>
      <x:c r="D77" s="16" t="str">
        <x:v>O01</x:v>
      </x:c>
      <x:c r="E77" s="16" t="str">
        <x:v>S001</x:v>
      </x:c>
      <x:c r="F77" s="14" t="n">
        <x:v>1.269169921901062</x:v>
      </x:c>
      <x:c r="G77" s="14" t="n">
        <x:v>2.777817111438484</x:v>
      </x:c>
      <x:c r="H77" s="22" t="n">
        <x:v>184</x:v>
      </x:c>
    </x:row>
    <x:row r="78" ht="30" customHeight="1">
      <x:c r="A78" s="12" t="str">
        <x:v>Q2-010</x:v>
      </x:c>
      <x:c r="B78" s="5" t="n">
        <x:v>2</x:v>
      </x:c>
      <x:c r="C78" s="5" t="n">
        <x:v>1</x:v>
      </x:c>
      <x:c r="D78" s="12" t="str">
        <x:v>S001</x:v>
      </x:c>
      <x:c r="E78" s="12" t="str">
        <x:v>O01</x:v>
      </x:c>
      <x:c r="F78" s="10" t="n">
        <x:v>1.269169921901062</x:v>
      </x:c>
      <x:c r="G78" s="10" t="n">
        <x:v>2.777817111438484</x:v>
      </x:c>
      <x:c r="H78" s="21" t="n">
        <x:v>184</x:v>
      </x:c>
    </x:row>
    <x:row r="79" ht="30" customHeight="1">
      <x:c r="A79" s="16" t="str">
        <x:v>Q2-010</x:v>
      </x:c>
      <x:c r="B79" s="13" t="n">
        <x:v>2</x:v>
      </x:c>
      <x:c r="C79" s="13" t="n">
        <x:v>2</x:v>
      </x:c>
      <x:c r="D79" s="16" t="str">
        <x:v>S001</x:v>
      </x:c>
      <x:c r="E79" s="16" t="str">
        <x:v>O01</x:v>
      </x:c>
      <x:c r="F79" s="14" t="n">
        <x:v>1.269169921901062</x:v>
      </x:c>
      <x:c r="G79" s="14" t="n">
        <x:v>2.777817111438484</x:v>
      </x:c>
      <x:c r="H79" s="22" t="n">
        <x:v>273.0566101074219</x:v>
      </x:c>
    </x:row>
    <x:row r="80" ht="30" customHeight="1">
      <x:c r="A80" s="12" t="str">
        <x:v>Q2-010</x:v>
      </x:c>
      <x:c r="B80" s="5" t="n">
        <x:v>2</x:v>
      </x:c>
      <x:c r="C80" s="5" t="n">
        <x:v>3</x:v>
      </x:c>
      <x:c r="D80" s="12" t="str">
        <x:v>S001</x:v>
      </x:c>
      <x:c r="E80" s="12" t="str">
        <x:v>O01</x:v>
      </x:c>
      <x:c r="F80" s="10" t="n">
        <x:v>0</x:v>
      </x:c>
      <x:c r="G80" s="10" t="n">
        <x:v>0</x:v>
      </x:c>
      <x:c r="H80" s="21" t="n">
        <x:v>273.0566101074219</x:v>
      </x:c>
    </x:row>
    <x:row r="81" ht="30" customHeight="1">
      <x:c r="A81" s="16" t="str">
        <x:v>Q2-010</x:v>
      </x:c>
      <x:c r="B81" s="13" t="n">
        <x:v>2</x:v>
      </x:c>
      <x:c r="C81" s="13" t="n">
        <x:v>4</x:v>
      </x:c>
      <x:c r="D81" s="16" t="str">
        <x:v>S001</x:v>
      </x:c>
      <x:c r="E81" s="16" t="str">
        <x:v>O01</x:v>
      </x:c>
      <x:c r="F81" s="14" t="n">
        <x:v>0</x:v>
      </x:c>
      <x:c r="G81" s="14" t="n">
        <x:v>0</x:v>
      </x:c>
      <x:c r="H81" s="22" t="n">
        <x:v>127.7</x:v>
      </x:c>
    </x:row>
    <x:row r="82" ht="30" customHeight="1">
      <x:c r="A82" s="12" t="str">
        <x:v>Q2-011</x:v>
      </x:c>
      <x:c r="B82" s="5" t="n">
        <x:v>1</x:v>
      </x:c>
      <x:c r="C82" s="5" t="n">
        <x:v>1</x:v>
      </x:c>
      <x:c r="D82" s="12" t="str">
        <x:v>O01</x:v>
      </x:c>
      <x:c r="E82" s="12" t="str">
        <x:v>S007</x:v>
      </x:c>
      <x:c r="F82" s="10" t="n">
        <x:v>0</x:v>
      </x:c>
      <x:c r="G82" s="10" t="n">
        <x:v>0</x:v>
      </x:c>
      <x:c r="H82" s="21" t="n">
        <x:v>127.7</x:v>
      </x:c>
    </x:row>
    <x:row r="83" ht="30" customHeight="1">
      <x:c r="A83" s="16" t="str">
        <x:v>Q2-011</x:v>
      </x:c>
      <x:c r="B83" s="13" t="n">
        <x:v>1</x:v>
      </x:c>
      <x:c r="C83" s="13" t="n">
        <x:v>2</x:v>
      </x:c>
      <x:c r="D83" s="16" t="str">
        <x:v>O01</x:v>
      </x:c>
      <x:c r="E83" s="16" t="str">
        <x:v>S007</x:v>
      </x:c>
      <x:c r="F83" s="14" t="n">
        <x:v>0</x:v>
      </x:c>
      <x:c r="G83" s="14" t="n">
        <x:v>0</x:v>
      </x:c>
      <x:c r="H83" s="22" t="n">
        <x:v>511.9731750488281</x:v>
      </x:c>
    </x:row>
    <x:row r="84" ht="30" customHeight="1">
      <x:c r="A84" s="12" t="str">
        <x:v>Q2-011</x:v>
      </x:c>
      <x:c r="B84" s="5" t="n">
        <x:v>1</x:v>
      </x:c>
      <x:c r="C84" s="5" t="n">
        <x:v>3</x:v>
      </x:c>
      <x:c r="D84" s="12" t="str">
        <x:v>O01</x:v>
      </x:c>
      <x:c r="E84" s="12" t="str">
        <x:v>S007</x:v>
      </x:c>
      <x:c r="F84" s="10" t="n">
        <x:v>-3.8989541341595637</x:v>
      </x:c>
      <x:c r="G84" s="10" t="n">
        <x:v>2.315560046755532</x:v>
      </x:c>
      <x:c r="H84" s="21" t="n">
        <x:v>511.9731750488281</x:v>
      </x:c>
    </x:row>
    <x:row r="85" ht="30" customHeight="1">
      <x:c r="A85" s="16" t="str">
        <x:v>Q2-011</x:v>
      </x:c>
      <x:c r="B85" s="13" t="n">
        <x:v>1</x:v>
      </x:c>
      <x:c r="C85" s="13" t="n">
        <x:v>4</x:v>
      </x:c>
      <x:c r="D85" s="16" t="str">
        <x:v>O01</x:v>
      </x:c>
      <x:c r="E85" s="16" t="str">
        <x:v>S007</x:v>
      </x:c>
      <x:c r="F85" s="14" t="n">
        <x:v>-3.8989541341595637</x:v>
      </x:c>
      <x:c r="G85" s="14" t="n">
        <x:v>2.315560046755532</x:v>
      </x:c>
      <x:c r="H85" s="22" t="n">
        <x:v>348.5</x:v>
      </x:c>
    </x:row>
    <x:row r="86" ht="30" customHeight="1">
      <x:c r="A86" s="12" t="str">
        <x:v>Q2-011</x:v>
      </x:c>
      <x:c r="B86" s="5" t="n">
        <x:v>2</x:v>
      </x:c>
      <x:c r="C86" s="5" t="n">
        <x:v>1</x:v>
      </x:c>
      <x:c r="D86" s="12" t="str">
        <x:v>S007</x:v>
      </x:c>
      <x:c r="E86" s="12" t="str">
        <x:v>O01</x:v>
      </x:c>
      <x:c r="F86" s="10" t="n">
        <x:v>-3.8989541341595637</x:v>
      </x:c>
      <x:c r="G86" s="10" t="n">
        <x:v>2.315560046755532</x:v>
      </x:c>
      <x:c r="H86" s="21" t="n">
        <x:v>348.5</x:v>
      </x:c>
    </x:row>
    <x:row r="87" ht="30" customHeight="1">
      <x:c r="A87" s="16" t="str">
        <x:v>Q2-011</x:v>
      </x:c>
      <x:c r="B87" s="13" t="n">
        <x:v>2</x:v>
      </x:c>
      <x:c r="C87" s="13" t="n">
        <x:v>2</x:v>
      </x:c>
      <x:c r="D87" s="16" t="str">
        <x:v>S007</x:v>
      </x:c>
      <x:c r="E87" s="16" t="str">
        <x:v>O01</x:v>
      </x:c>
      <x:c r="F87" s="14" t="n">
        <x:v>-3.8989541341595637</x:v>
      </x:c>
      <x:c r="G87" s="14" t="n">
        <x:v>2.315560046755532</x:v>
      </x:c>
      <x:c r="H87" s="22" t="n">
        <x:v>511.9731750488281</x:v>
      </x:c>
    </x:row>
    <x:row r="88" ht="30" customHeight="1">
      <x:c r="A88" s="12" t="str">
        <x:v>Q2-011</x:v>
      </x:c>
      <x:c r="B88" s="5" t="n">
        <x:v>2</x:v>
      </x:c>
      <x:c r="C88" s="5" t="n">
        <x:v>3</x:v>
      </x:c>
      <x:c r="D88" s="12" t="str">
        <x:v>S007</x:v>
      </x:c>
      <x:c r="E88" s="12" t="str">
        <x:v>O01</x:v>
      </x:c>
      <x:c r="F88" s="10" t="n">
        <x:v>0</x:v>
      </x:c>
      <x:c r="G88" s="10" t="n">
        <x:v>0</x:v>
      </x:c>
      <x:c r="H88" s="21" t="n">
        <x:v>511.9731750488281</x:v>
      </x:c>
    </x:row>
    <x:row r="89" ht="30" customHeight="1">
      <x:c r="A89" s="16" t="str">
        <x:v>Q2-011</x:v>
      </x:c>
      <x:c r="B89" s="13" t="n">
        <x:v>2</x:v>
      </x:c>
      <x:c r="C89" s="13" t="n">
        <x:v>4</x:v>
      </x:c>
      <x:c r="D89" s="16" t="str">
        <x:v>S007</x:v>
      </x:c>
      <x:c r="E89" s="16" t="str">
        <x:v>O01</x:v>
      </x:c>
      <x:c r="F89" s="14" t="n">
        <x:v>0</x:v>
      </x:c>
      <x:c r="G89" s="14" t="n">
        <x:v>0</x:v>
      </x:c>
      <x:c r="H89" s="22" t="n">
        <x:v>127.7</x:v>
      </x:c>
    </x:row>
    <x:row r="90" ht="30" customHeight="1">
      <x:c r="A90" s="12" t="str">
        <x:v>Q2-012</x:v>
      </x:c>
      <x:c r="B90" s="5" t="n">
        <x:v>1</x:v>
      </x:c>
      <x:c r="C90" s="5" t="n">
        <x:v>1</x:v>
      </x:c>
      <x:c r="D90" s="12" t="str">
        <x:v>O01</x:v>
      </x:c>
      <x:c r="E90" s="12" t="str">
        <x:v>S002</x:v>
      </x:c>
      <x:c r="F90" s="10" t="n">
        <x:v>0</x:v>
      </x:c>
      <x:c r="G90" s="10" t="n">
        <x:v>0</x:v>
      </x:c>
      <x:c r="H90" s="21" t="n">
        <x:v>127.7</x:v>
      </x:c>
    </x:row>
    <x:row r="91" ht="30" customHeight="1">
      <x:c r="A91" s="16" t="str">
        <x:v>Q2-012</x:v>
      </x:c>
      <x:c r="B91" s="13" t="n">
        <x:v>1</x:v>
      </x:c>
      <x:c r="C91" s="13" t="n">
        <x:v>2</x:v>
      </x:c>
      <x:c r="D91" s="16" t="str">
        <x:v>O01</x:v>
      </x:c>
      <x:c r="E91" s="16" t="str">
        <x:v>S002</x:v>
      </x:c>
      <x:c r="F91" s="14" t="n">
        <x:v>0</x:v>
      </x:c>
      <x:c r="G91" s="14" t="n">
        <x:v>0</x:v>
      </x:c>
      <x:c r="H91" s="22" t="n">
        <x:v>308.9542541503906</x:v>
      </x:c>
    </x:row>
    <x:row r="92" ht="30" customHeight="1">
      <x:c r="A92" s="12" t="str">
        <x:v>Q2-012</x:v>
      </x:c>
      <x:c r="B92" s="5" t="n">
        <x:v>1</x:v>
      </x:c>
      <x:c r="C92" s="5" t="n">
        <x:v>3</x:v>
      </x:c>
      <x:c r="D92" s="12" t="str">
        <x:v>O01</x:v>
      </x:c>
      <x:c r="E92" s="12" t="str">
        <x:v>S002</x:v>
      </x:c>
      <x:c r="F92" s="10" t="n">
        <x:v>2.839716698490673</x:v>
      </x:c>
      <x:c r="G92" s="10" t="n">
        <x:v>6.845936207025278</x:v>
      </x:c>
      <x:c r="H92" s="21" t="n">
        <x:v>308.9542541503906</x:v>
      </x:c>
    </x:row>
    <x:row r="93" ht="30" customHeight="1">
      <x:c r="A93" s="16" t="str">
        <x:v>Q2-012</x:v>
      </x:c>
      <x:c r="B93" s="13" t="n">
        <x:v>1</x:v>
      </x:c>
      <x:c r="C93" s="13" t="n">
        <x:v>4</x:v>
      </x:c>
      <x:c r="D93" s="16" t="str">
        <x:v>O01</x:v>
      </x:c>
      <x:c r="E93" s="16" t="str">
        <x:v>S002</x:v>
      </x:c>
      <x:c r="F93" s="14" t="n">
        <x:v>2.839716698490673</x:v>
      </x:c>
      <x:c r="G93" s="14" t="n">
        <x:v>6.845936207025278</x:v>
      </x:c>
      <x:c r="H93" s="22" t="n">
        <x:v>219.5</x:v>
      </x:c>
    </x:row>
    <x:row r="94" ht="30" customHeight="1">
      <x:c r="A94" s="12" t="str">
        <x:v>Q2-012</x:v>
      </x:c>
      <x:c r="B94" s="5" t="n">
        <x:v>2</x:v>
      </x:c>
      <x:c r="C94" s="5" t="n">
        <x:v>1</x:v>
      </x:c>
      <x:c r="D94" s="12" t="str">
        <x:v>S002</x:v>
      </x:c>
      <x:c r="E94" s="12" t="str">
        <x:v>O01</x:v>
      </x:c>
      <x:c r="F94" s="10" t="n">
        <x:v>2.839716698490673</x:v>
      </x:c>
      <x:c r="G94" s="10" t="n">
        <x:v>6.845936207025278</x:v>
      </x:c>
      <x:c r="H94" s="21" t="n">
        <x:v>219.5</x:v>
      </x:c>
    </x:row>
    <x:row r="95" ht="30" customHeight="1">
      <x:c r="A95" s="16" t="str">
        <x:v>Q2-012</x:v>
      </x:c>
      <x:c r="B95" s="13" t="n">
        <x:v>2</x:v>
      </x:c>
      <x:c r="C95" s="13" t="n">
        <x:v>2</x:v>
      </x:c>
      <x:c r="D95" s="16" t="str">
        <x:v>S002</x:v>
      </x:c>
      <x:c r="E95" s="16" t="str">
        <x:v>O01</x:v>
      </x:c>
      <x:c r="F95" s="14" t="n">
        <x:v>2.839716698490673</x:v>
      </x:c>
      <x:c r="G95" s="14" t="n">
        <x:v>6.845936207025278</x:v>
      </x:c>
      <x:c r="H95" s="22" t="n">
        <x:v>308.9542541503906</x:v>
      </x:c>
    </x:row>
    <x:row r="96" ht="30" customHeight="1">
      <x:c r="A96" s="12" t="str">
        <x:v>Q2-012</x:v>
      </x:c>
      <x:c r="B96" s="5" t="n">
        <x:v>2</x:v>
      </x:c>
      <x:c r="C96" s="5" t="n">
        <x:v>3</x:v>
      </x:c>
      <x:c r="D96" s="12" t="str">
        <x:v>S002</x:v>
      </x:c>
      <x:c r="E96" s="12" t="str">
        <x:v>O01</x:v>
      </x:c>
      <x:c r="F96" s="10" t="n">
        <x:v>0</x:v>
      </x:c>
      <x:c r="G96" s="10" t="n">
        <x:v>0</x:v>
      </x:c>
      <x:c r="H96" s="21" t="n">
        <x:v>308.9542541503906</x:v>
      </x:c>
    </x:row>
    <x:row r="97" ht="30" customHeight="1">
      <x:c r="A97" s="16" t="str">
        <x:v>Q2-012</x:v>
      </x:c>
      <x:c r="B97" s="13" t="n">
        <x:v>2</x:v>
      </x:c>
      <x:c r="C97" s="13" t="n">
        <x:v>4</x:v>
      </x:c>
      <x:c r="D97" s="16" t="str">
        <x:v>S002</x:v>
      </x:c>
      <x:c r="E97" s="16" t="str">
        <x:v>O01</x:v>
      </x:c>
      <x:c r="F97" s="14" t="n">
        <x:v>0</x:v>
      </x:c>
      <x:c r="G97" s="14" t="n">
        <x:v>0</x:v>
      </x:c>
      <x:c r="H97" s="22" t="n">
        <x:v>127.7</x:v>
      </x:c>
    </x:row>
    <x:row r="98" ht="30" customHeight="1">
      <x:c r="A98" s="12" t="str">
        <x:v>Q2-013</x:v>
      </x:c>
      <x:c r="B98" s="5" t="n">
        <x:v>1</x:v>
      </x:c>
      <x:c r="C98" s="5" t="n">
        <x:v>1</x:v>
      </x:c>
      <x:c r="D98" s="12" t="str">
        <x:v>O01</x:v>
      </x:c>
      <x:c r="E98" s="12" t="str">
        <x:v>S005</x:v>
      </x:c>
      <x:c r="F98" s="10" t="n">
        <x:v>0</x:v>
      </x:c>
      <x:c r="G98" s="10" t="n">
        <x:v>0</x:v>
      </x:c>
      <x:c r="H98" s="21" t="n">
        <x:v>127.7</x:v>
      </x:c>
    </x:row>
    <x:row r="99" ht="30" customHeight="1">
      <x:c r="A99" s="16" t="str">
        <x:v>Q2-013</x:v>
      </x:c>
      <x:c r="B99" s="13" t="n">
        <x:v>1</x:v>
      </x:c>
      <x:c r="C99" s="13" t="n">
        <x:v>2</x:v>
      </x:c>
      <x:c r="D99" s="16" t="str">
        <x:v>O01</x:v>
      </x:c>
      <x:c r="E99" s="16" t="str">
        <x:v>S005</x:v>
      </x:c>
      <x:c r="F99" s="14" t="n">
        <x:v>0</x:v>
      </x:c>
      <x:c r="G99" s="14" t="n">
        <x:v>0</x:v>
      </x:c>
      <x:c r="H99" s="22" t="n">
        <x:v>326.410888671875</x:v>
      </x:c>
    </x:row>
    <x:row r="100" ht="30" customHeight="1">
      <x:c r="A100" s="12" t="str">
        <x:v>Q2-013</x:v>
      </x:c>
      <x:c r="B100" s="5" t="n">
        <x:v>1</x:v>
      </x:c>
      <x:c r="C100" s="5" t="n">
        <x:v>3</x:v>
      </x:c>
      <x:c r="D100" s="12" t="str">
        <x:v>O01</x:v>
      </x:c>
      <x:c r="E100" s="12" t="str">
        <x:v>S005</x:v>
      </x:c>
      <x:c r="F100" s="10" t="n">
        <x:v>-0.26155959828932435</x:v>
      </x:c>
      <x:c r="G100" s="10" t="n">
        <x:v>5.274111575089368</x:v>
      </x:c>
      <x:c r="H100" s="21" t="n">
        <x:v>326.410888671875</x:v>
      </x:c>
    </x:row>
    <x:row r="101" ht="30" customHeight="1">
      <x:c r="A101" s="16" t="str">
        <x:v>Q2-013</x:v>
      </x:c>
      <x:c r="B101" s="13" t="n">
        <x:v>1</x:v>
      </x:c>
      <x:c r="C101" s="13" t="n">
        <x:v>4</x:v>
      </x:c>
      <x:c r="D101" s="16" t="str">
        <x:v>O01</x:v>
      </x:c>
      <x:c r="E101" s="16" t="str">
        <x:v>S005</x:v>
      </x:c>
      <x:c r="F101" s="14" t="n">
        <x:v>-0.26155959828932435</x:v>
      </x:c>
      <x:c r="G101" s="14" t="n">
        <x:v>5.274111575089368</x:v>
      </x:c>
      <x:c r="H101" s="22" t="n">
        <x:v>195</x:v>
      </x:c>
    </x:row>
    <x:row r="102" ht="30" customHeight="1">
      <x:c r="A102" s="12" t="str">
        <x:v>Q2-013</x:v>
      </x:c>
      <x:c r="B102" s="5" t="n">
        <x:v>2</x:v>
      </x:c>
      <x:c r="C102" s="5" t="n">
        <x:v>1</x:v>
      </x:c>
      <x:c r="D102" s="12" t="str">
        <x:v>S005</x:v>
      </x:c>
      <x:c r="E102" s="12" t="str">
        <x:v>S004</x:v>
      </x:c>
      <x:c r="F102" s="10" t="n">
        <x:v>-0.26155959828932435</x:v>
      </x:c>
      <x:c r="G102" s="10" t="n">
        <x:v>5.274111575089368</x:v>
      </x:c>
      <x:c r="H102" s="21" t="n">
        <x:v>195</x:v>
      </x:c>
    </x:row>
    <x:row r="103" ht="30" customHeight="1">
      <x:c r="A103" s="16" t="str">
        <x:v>Q2-013</x:v>
      </x:c>
      <x:c r="B103" s="13" t="n">
        <x:v>2</x:v>
      </x:c>
      <x:c r="C103" s="13" t="n">
        <x:v>2</x:v>
      </x:c>
      <x:c r="D103" s="16" t="str">
        <x:v>S005</x:v>
      </x:c>
      <x:c r="E103" s="16" t="str">
        <x:v>S004</x:v>
      </x:c>
      <x:c r="F103" s="14" t="n">
        <x:v>-0.26155959828932435</x:v>
      </x:c>
      <x:c r="G103" s="14" t="n">
        <x:v>5.274111575089368</x:v>
      </x:c>
      <x:c r="H103" s="22" t="n">
        <x:v>365.80657958984375</x:v>
      </x:c>
    </x:row>
    <x:row r="104" ht="30" customHeight="1">
      <x:c r="A104" s="12" t="str">
        <x:v>Q2-013</x:v>
      </x:c>
      <x:c r="B104" s="5" t="n">
        <x:v>2</x:v>
      </x:c>
      <x:c r="C104" s="5" t="n">
        <x:v>3</x:v>
      </x:c>
      <x:c r="D104" s="12" t="str">
        <x:v>S005</x:v>
      </x:c>
      <x:c r="E104" s="12" t="str">
        <x:v>S004</x:v>
      </x:c>
      <x:c r="F104" s="10" t="n">
        <x:v>0.7503871566968315</x:v>
      </x:c>
      <x:c r="G104" s="10" t="n">
        <x:v>7.6781008080523625</x:v>
      </x:c>
      <x:c r="H104" s="21" t="n">
        <x:v>365.80657958984375</x:v>
      </x:c>
    </x:row>
    <x:row r="105" ht="30" customHeight="1">
      <x:c r="A105" s="16" t="str">
        <x:v>Q2-013</x:v>
      </x:c>
      <x:c r="B105" s="13" t="n">
        <x:v>2</x:v>
      </x:c>
      <x:c r="C105" s="13" t="n">
        <x:v>4</x:v>
      </x:c>
      <x:c r="D105" s="16" t="str">
        <x:v>S005</x:v>
      </x:c>
      <x:c r="E105" s="16" t="str">
        <x:v>S004</x:v>
      </x:c>
      <x:c r="F105" s="14" t="n">
        <x:v>0.7503871566968315</x:v>
      </x:c>
      <x:c r="G105" s="14" t="n">
        <x:v>7.6781008080523625</x:v>
      </x:c>
      <x:c r="H105" s="22" t="n">
        <x:v>228.3</x:v>
      </x:c>
    </x:row>
    <x:row r="106" ht="30" customHeight="1">
      <x:c r="A106" s="12" t="str">
        <x:v>Q2-013</x:v>
      </x:c>
      <x:c r="B106" s="5" t="n">
        <x:v>3</x:v>
      </x:c>
      <x:c r="C106" s="5" t="n">
        <x:v>1</x:v>
      </x:c>
      <x:c r="D106" s="12" t="str">
        <x:v>S004</x:v>
      </x:c>
      <x:c r="E106" s="12" t="str">
        <x:v>O01</x:v>
      </x:c>
      <x:c r="F106" s="10" t="n">
        <x:v>0.7503871566968315</x:v>
      </x:c>
      <x:c r="G106" s="10" t="n">
        <x:v>7.6781008080523625</x:v>
      </x:c>
      <x:c r="H106" s="21" t="n">
        <x:v>228.3</x:v>
      </x:c>
    </x:row>
    <x:row r="107" ht="30" customHeight="1">
      <x:c r="A107" s="16" t="str">
        <x:v>Q2-013</x:v>
      </x:c>
      <x:c r="B107" s="13" t="n">
        <x:v>3</x:v>
      </x:c>
      <x:c r="C107" s="13" t="n">
        <x:v>2</x:v>
      </x:c>
      <x:c r="D107" s="16" t="str">
        <x:v>S004</x:v>
      </x:c>
      <x:c r="E107" s="16" t="str">
        <x:v>O01</x:v>
      </x:c>
      <x:c r="F107" s="14" t="n">
        <x:v>0.7503871566968315</x:v>
      </x:c>
      <x:c r="G107" s="14" t="n">
        <x:v>7.6781008080523625</x:v>
      </x:c>
      <x:c r="H107" s="22" t="n">
        <x:v>398.2391662597656</x:v>
      </x:c>
    </x:row>
    <x:row r="108" ht="30" customHeight="1">
      <x:c r="A108" s="12" t="str">
        <x:v>Q2-013</x:v>
      </x:c>
      <x:c r="B108" s="5" t="n">
        <x:v>3</x:v>
      </x:c>
      <x:c r="C108" s="5" t="n">
        <x:v>3</x:v>
      </x:c>
      <x:c r="D108" s="12" t="str">
        <x:v>S004</x:v>
      </x:c>
      <x:c r="E108" s="12" t="str">
        <x:v>O01</x:v>
      </x:c>
      <x:c r="F108" s="10" t="n">
        <x:v>0</x:v>
      </x:c>
      <x:c r="G108" s="10" t="n">
        <x:v>0</x:v>
      </x:c>
      <x:c r="H108" s="21" t="n">
        <x:v>398.2391662597656</x:v>
      </x:c>
    </x:row>
    <x:row r="109" ht="30" customHeight="1">
      <x:c r="A109" s="16" t="str">
        <x:v>Q2-013</x:v>
      </x:c>
      <x:c r="B109" s="13" t="n">
        <x:v>3</x:v>
      </x:c>
      <x:c r="C109" s="13" t="n">
        <x:v>4</x:v>
      </x:c>
      <x:c r="D109" s="16" t="str">
        <x:v>S004</x:v>
      </x:c>
      <x:c r="E109" s="16" t="str">
        <x:v>O01</x:v>
      </x:c>
      <x:c r="F109" s="14" t="n">
        <x:v>0</x:v>
      </x:c>
      <x:c r="G109" s="14" t="n">
        <x:v>0</x:v>
      </x:c>
      <x:c r="H109" s="22" t="n">
        <x:v>127.7</x:v>
      </x:c>
    </x:row>
    <x:row r="110" ht="30" customHeight="1">
      <x:c r="A110" s="12" t="str">
        <x:v>Q2-014</x:v>
      </x:c>
      <x:c r="B110" s="5" t="n">
        <x:v>1</x:v>
      </x:c>
      <x:c r="C110" s="5" t="n">
        <x:v>1</x:v>
      </x:c>
      <x:c r="D110" s="12" t="str">
        <x:v>O01</x:v>
      </x:c>
      <x:c r="E110" s="12" t="str">
        <x:v>S001</x:v>
      </x:c>
      <x:c r="F110" s="10" t="n">
        <x:v>0</x:v>
      </x:c>
      <x:c r="G110" s="10" t="n">
        <x:v>0</x:v>
      </x:c>
      <x:c r="H110" s="21" t="n">
        <x:v>127.7</x:v>
      </x:c>
    </x:row>
    <x:row r="111" ht="30" customHeight="1">
      <x:c r="A111" s="16" t="str">
        <x:v>Q2-014</x:v>
      </x:c>
      <x:c r="B111" s="13" t="n">
        <x:v>1</x:v>
      </x:c>
      <x:c r="C111" s="13" t="n">
        <x:v>2</x:v>
      </x:c>
      <x:c r="D111" s="16" t="str">
        <x:v>O01</x:v>
      </x:c>
      <x:c r="E111" s="16" t="str">
        <x:v>S001</x:v>
      </x:c>
      <x:c r="F111" s="14" t="n">
        <x:v>0</x:v>
      </x:c>
      <x:c r="G111" s="14" t="n">
        <x:v>0</x:v>
      </x:c>
      <x:c r="H111" s="22" t="n">
        <x:v>273.0566101074219</x:v>
      </x:c>
    </x:row>
    <x:row r="112" ht="30" customHeight="1">
      <x:c r="A112" s="12" t="str">
        <x:v>Q2-014</x:v>
      </x:c>
      <x:c r="B112" s="5" t="n">
        <x:v>1</x:v>
      </x:c>
      <x:c r="C112" s="5" t="n">
        <x:v>3</x:v>
      </x:c>
      <x:c r="D112" s="12" t="str">
        <x:v>O01</x:v>
      </x:c>
      <x:c r="E112" s="12" t="str">
        <x:v>S001</x:v>
      </x:c>
      <x:c r="F112" s="10" t="n">
        <x:v>1.269169921901062</x:v>
      </x:c>
      <x:c r="G112" s="10" t="n">
        <x:v>2.777817111438484</x:v>
      </x:c>
      <x:c r="H112" s="21" t="n">
        <x:v>273.0566101074219</x:v>
      </x:c>
    </x:row>
    <x:row r="113" ht="30" customHeight="1">
      <x:c r="A113" s="16" t="str">
        <x:v>Q2-014</x:v>
      </x:c>
      <x:c r="B113" s="13" t="n">
        <x:v>1</x:v>
      </x:c>
      <x:c r="C113" s="13" t="n">
        <x:v>4</x:v>
      </x:c>
      <x:c r="D113" s="16" t="str">
        <x:v>O01</x:v>
      </x:c>
      <x:c r="E113" s="16" t="str">
        <x:v>S001</x:v>
      </x:c>
      <x:c r="F113" s="14" t="n">
        <x:v>1.269169921901062</x:v>
      </x:c>
      <x:c r="G113" s="14" t="n">
        <x:v>2.777817111438484</x:v>
      </x:c>
      <x:c r="H113" s="22" t="n">
        <x:v>184</x:v>
      </x:c>
    </x:row>
    <x:row r="114" ht="30" customHeight="1">
      <x:c r="A114" s="12" t="str">
        <x:v>Q2-014</x:v>
      </x:c>
      <x:c r="B114" s="5" t="n">
        <x:v>2</x:v>
      </x:c>
      <x:c r="C114" s="5" t="n">
        <x:v>1</x:v>
      </x:c>
      <x:c r="D114" s="12" t="str">
        <x:v>S001</x:v>
      </x:c>
      <x:c r="E114" s="12" t="str">
        <x:v>O01</x:v>
      </x:c>
      <x:c r="F114" s="10" t="n">
        <x:v>1.269169921901062</x:v>
      </x:c>
      <x:c r="G114" s="10" t="n">
        <x:v>2.777817111438484</x:v>
      </x:c>
      <x:c r="H114" s="21" t="n">
        <x:v>184</x:v>
      </x:c>
    </x:row>
    <x:row r="115" ht="30" customHeight="1">
      <x:c r="A115" s="16" t="str">
        <x:v>Q2-014</x:v>
      </x:c>
      <x:c r="B115" s="13" t="n">
        <x:v>2</x:v>
      </x:c>
      <x:c r="C115" s="13" t="n">
        <x:v>2</x:v>
      </x:c>
      <x:c r="D115" s="16" t="str">
        <x:v>S001</x:v>
      </x:c>
      <x:c r="E115" s="16" t="str">
        <x:v>O01</x:v>
      </x:c>
      <x:c r="F115" s="14" t="n">
        <x:v>1.269169921901062</x:v>
      </x:c>
      <x:c r="G115" s="14" t="n">
        <x:v>2.777817111438484</x:v>
      </x:c>
      <x:c r="H115" s="22" t="n">
        <x:v>273.0566101074219</x:v>
      </x:c>
    </x:row>
    <x:row r="116" ht="30" customHeight="1">
      <x:c r="A116" s="12" t="str">
        <x:v>Q2-014</x:v>
      </x:c>
      <x:c r="B116" s="5" t="n">
        <x:v>2</x:v>
      </x:c>
      <x:c r="C116" s="5" t="n">
        <x:v>3</x:v>
      </x:c>
      <x:c r="D116" s="12" t="str">
        <x:v>S001</x:v>
      </x:c>
      <x:c r="E116" s="12" t="str">
        <x:v>O01</x:v>
      </x:c>
      <x:c r="F116" s="10" t="n">
        <x:v>0</x:v>
      </x:c>
      <x:c r="G116" s="10" t="n">
        <x:v>0</x:v>
      </x:c>
      <x:c r="H116" s="21" t="n">
        <x:v>273.0566101074219</x:v>
      </x:c>
    </x:row>
    <x:row r="117" ht="30" customHeight="1">
      <x:c r="A117" s="16" t="str">
        <x:v>Q2-014</x:v>
      </x:c>
      <x:c r="B117" s="13" t="n">
        <x:v>2</x:v>
      </x:c>
      <x:c r="C117" s="13" t="n">
        <x:v>4</x:v>
      </x:c>
      <x:c r="D117" s="16" t="str">
        <x:v>S001</x:v>
      </x:c>
      <x:c r="E117" s="16" t="str">
        <x:v>O01</x:v>
      </x:c>
      <x:c r="F117" s="14" t="n">
        <x:v>0</x:v>
      </x:c>
      <x:c r="G117" s="14" t="n">
        <x:v>0</x:v>
      </x:c>
      <x:c r="H117" s="22" t="n">
        <x:v>127.7</x:v>
      </x:c>
    </x:row>
    <x:row r="118" ht="30" customHeight="1">
      <x:c r="A118" s="12" t="str">
        <x:v>Q2-015</x:v>
      </x:c>
      <x:c r="B118" s="5" t="n">
        <x:v>1</x:v>
      </x:c>
      <x:c r="C118" s="5" t="n">
        <x:v>1</x:v>
      </x:c>
      <x:c r="D118" s="12" t="str">
        <x:v>O01</x:v>
      </x:c>
      <x:c r="E118" s="12" t="str">
        <x:v>S001</x:v>
      </x:c>
      <x:c r="F118" s="10" t="n">
        <x:v>0</x:v>
      </x:c>
      <x:c r="G118" s="10" t="n">
        <x:v>0</x:v>
      </x:c>
      <x:c r="H118" s="21" t="n">
        <x:v>127.7</x:v>
      </x:c>
    </x:row>
    <x:row r="119" ht="30" customHeight="1">
      <x:c r="A119" s="16" t="str">
        <x:v>Q2-015</x:v>
      </x:c>
      <x:c r="B119" s="13" t="n">
        <x:v>1</x:v>
      </x:c>
      <x:c r="C119" s="13" t="n">
        <x:v>2</x:v>
      </x:c>
      <x:c r="D119" s="16" t="str">
        <x:v>O01</x:v>
      </x:c>
      <x:c r="E119" s="16" t="str">
        <x:v>S001</x:v>
      </x:c>
      <x:c r="F119" s="14" t="n">
        <x:v>0</x:v>
      </x:c>
      <x:c r="G119" s="14" t="n">
        <x:v>0</x:v>
      </x:c>
      <x:c r="H119" s="22" t="n">
        <x:v>273.0566101074219</x:v>
      </x:c>
    </x:row>
    <x:row r="120" ht="30" customHeight="1">
      <x:c r="A120" s="12" t="str">
        <x:v>Q2-015</x:v>
      </x:c>
      <x:c r="B120" s="5" t="n">
        <x:v>1</x:v>
      </x:c>
      <x:c r="C120" s="5" t="n">
        <x:v>3</x:v>
      </x:c>
      <x:c r="D120" s="12" t="str">
        <x:v>O01</x:v>
      </x:c>
      <x:c r="E120" s="12" t="str">
        <x:v>S001</x:v>
      </x:c>
      <x:c r="F120" s="10" t="n">
        <x:v>1.269169921901062</x:v>
      </x:c>
      <x:c r="G120" s="10" t="n">
        <x:v>2.777817111438484</x:v>
      </x:c>
      <x:c r="H120" s="21" t="n">
        <x:v>273.0566101074219</x:v>
      </x:c>
    </x:row>
    <x:row r="121" ht="30" customHeight="1">
      <x:c r="A121" s="16" t="str">
        <x:v>Q2-015</x:v>
      </x:c>
      <x:c r="B121" s="13" t="n">
        <x:v>1</x:v>
      </x:c>
      <x:c r="C121" s="13" t="n">
        <x:v>4</x:v>
      </x:c>
      <x:c r="D121" s="16" t="str">
        <x:v>O01</x:v>
      </x:c>
      <x:c r="E121" s="16" t="str">
        <x:v>S001</x:v>
      </x:c>
      <x:c r="F121" s="14" t="n">
        <x:v>1.269169921901062</x:v>
      </x:c>
      <x:c r="G121" s="14" t="n">
        <x:v>2.777817111438484</x:v>
      </x:c>
      <x:c r="H121" s="22" t="n">
        <x:v>184</x:v>
      </x:c>
    </x:row>
    <x:row r="122" ht="30" customHeight="1">
      <x:c r="A122" s="12" t="str">
        <x:v>Q2-015</x:v>
      </x:c>
      <x:c r="B122" s="5" t="n">
        <x:v>2</x:v>
      </x:c>
      <x:c r="C122" s="5" t="n">
        <x:v>1</x:v>
      </x:c>
      <x:c r="D122" s="12" t="str">
        <x:v>S001</x:v>
      </x:c>
      <x:c r="E122" s="12" t="str">
        <x:v>O01</x:v>
      </x:c>
      <x:c r="F122" s="10" t="n">
        <x:v>1.269169921901062</x:v>
      </x:c>
      <x:c r="G122" s="10" t="n">
        <x:v>2.777817111438484</x:v>
      </x:c>
      <x:c r="H122" s="21" t="n">
        <x:v>184</x:v>
      </x:c>
    </x:row>
    <x:row r="123" ht="30" customHeight="1">
      <x:c r="A123" s="16" t="str">
        <x:v>Q2-015</x:v>
      </x:c>
      <x:c r="B123" s="13" t="n">
        <x:v>2</x:v>
      </x:c>
      <x:c r="C123" s="13" t="n">
        <x:v>2</x:v>
      </x:c>
      <x:c r="D123" s="16" t="str">
        <x:v>S001</x:v>
      </x:c>
      <x:c r="E123" s="16" t="str">
        <x:v>O01</x:v>
      </x:c>
      <x:c r="F123" s="14" t="n">
        <x:v>1.269169921901062</x:v>
      </x:c>
      <x:c r="G123" s="14" t="n">
        <x:v>2.777817111438484</x:v>
      </x:c>
      <x:c r="H123" s="22" t="n">
        <x:v>273.0566101074219</x:v>
      </x:c>
    </x:row>
    <x:row r="124" ht="30" customHeight="1">
      <x:c r="A124" s="12" t="str">
        <x:v>Q2-015</x:v>
      </x:c>
      <x:c r="B124" s="5" t="n">
        <x:v>2</x:v>
      </x:c>
      <x:c r="C124" s="5" t="n">
        <x:v>3</x:v>
      </x:c>
      <x:c r="D124" s="12" t="str">
        <x:v>S001</x:v>
      </x:c>
      <x:c r="E124" s="12" t="str">
        <x:v>O01</x:v>
      </x:c>
      <x:c r="F124" s="10" t="n">
        <x:v>0</x:v>
      </x:c>
      <x:c r="G124" s="10" t="n">
        <x:v>0</x:v>
      </x:c>
      <x:c r="H124" s="21" t="n">
        <x:v>273.0566101074219</x:v>
      </x:c>
    </x:row>
    <x:row r="125" ht="30" customHeight="1">
      <x:c r="A125" s="16" t="str">
        <x:v>Q2-015</x:v>
      </x:c>
      <x:c r="B125" s="13" t="n">
        <x:v>2</x:v>
      </x:c>
      <x:c r="C125" s="13" t="n">
        <x:v>4</x:v>
      </x:c>
      <x:c r="D125" s="16" t="str">
        <x:v>S001</x:v>
      </x:c>
      <x:c r="E125" s="16" t="str">
        <x:v>O01</x:v>
      </x:c>
      <x:c r="F125" s="14" t="n">
        <x:v>0</x:v>
      </x:c>
      <x:c r="G125" s="14" t="n">
        <x:v>0</x:v>
      </x:c>
      <x:c r="H125" s="22" t="n">
        <x:v>127.7</x:v>
      </x:c>
    </x:row>
    <x:row r="126" ht="30" customHeight="1">
      <x:c r="A126" s="12" t="str">
        <x:v>Q2-016</x:v>
      </x:c>
      <x:c r="B126" s="5" t="n">
        <x:v>1</x:v>
      </x:c>
      <x:c r="C126" s="5" t="n">
        <x:v>1</x:v>
      </x:c>
      <x:c r="D126" s="12" t="str">
        <x:v>O01</x:v>
      </x:c>
      <x:c r="E126" s="12" t="str">
        <x:v>S008</x:v>
      </x:c>
      <x:c r="F126" s="10" t="n">
        <x:v>0</x:v>
      </x:c>
      <x:c r="G126" s="10" t="n">
        <x:v>0</x:v>
      </x:c>
      <x:c r="H126" s="21" t="n">
        <x:v>127.7</x:v>
      </x:c>
    </x:row>
    <x:row r="127" ht="30" customHeight="1">
      <x:c r="A127" s="16" t="str">
        <x:v>Q2-016</x:v>
      </x:c>
      <x:c r="B127" s="13" t="n">
        <x:v>1</x:v>
      </x:c>
      <x:c r="C127" s="13" t="n">
        <x:v>2</x:v>
      </x:c>
      <x:c r="D127" s="16" t="str">
        <x:v>O01</x:v>
      </x:c>
      <x:c r="E127" s="16" t="str">
        <x:v>S008</x:v>
      </x:c>
      <x:c r="F127" s="14" t="n">
        <x:v>0</x:v>
      </x:c>
      <x:c r="G127" s="14" t="n">
        <x:v>0</x:v>
      </x:c>
      <x:c r="H127" s="22" t="n">
        <x:v>372.9093322753906</x:v>
      </x:c>
    </x:row>
    <x:row r="128" ht="30" customHeight="1">
      <x:c r="A128" s="12" t="str">
        <x:v>Q2-016</x:v>
      </x:c>
      <x:c r="B128" s="5" t="n">
        <x:v>1</x:v>
      </x:c>
      <x:c r="C128" s="5" t="n">
        <x:v>3</x:v>
      </x:c>
      <x:c r="D128" s="12" t="str">
        <x:v>O01</x:v>
      </x:c>
      <x:c r="E128" s="12" t="str">
        <x:v>S008</x:v>
      </x:c>
      <x:c r="F128" s="10" t="n">
        <x:v>-1.8560028796848844</x:v>
      </x:c>
      <x:c r="G128" s="10" t="n">
        <x:v>7.8630324273987675</x:v>
      </x:c>
      <x:c r="H128" s="21" t="n">
        <x:v>372.9093322753906</x:v>
      </x:c>
    </x:row>
    <x:row r="129" ht="30" customHeight="1">
      <x:c r="A129" s="16" t="str">
        <x:v>Q2-016</x:v>
      </x:c>
      <x:c r="B129" s="13" t="n">
        <x:v>1</x:v>
      </x:c>
      <x:c r="C129" s="13" t="n">
        <x:v>4</x:v>
      </x:c>
      <x:c r="D129" s="16" t="str">
        <x:v>O01</x:v>
      </x:c>
      <x:c r="E129" s="16" t="str">
        <x:v>S008</x:v>
      </x:c>
      <x:c r="F129" s="14" t="n">
        <x:v>-1.8560028796848844</x:v>
      </x:c>
      <x:c r="G129" s="14" t="n">
        <x:v>7.8630324273987675</x:v>
      </x:c>
      <x:c r="H129" s="22" t="n">
        <x:v>270.9</x:v>
      </x:c>
    </x:row>
    <x:row r="130" ht="30" customHeight="1">
      <x:c r="A130" s="12" t="str">
        <x:v>Q2-016</x:v>
      </x:c>
      <x:c r="B130" s="5" t="n">
        <x:v>2</x:v>
      </x:c>
      <x:c r="C130" s="5" t="n">
        <x:v>1</x:v>
      </x:c>
      <x:c r="D130" s="12" t="str">
        <x:v>S008</x:v>
      </x:c>
      <x:c r="E130" s="12" t="str">
        <x:v>O01</x:v>
      </x:c>
      <x:c r="F130" s="10" t="n">
        <x:v>-1.8560028796848844</x:v>
      </x:c>
      <x:c r="G130" s="10" t="n">
        <x:v>7.8630324273987675</x:v>
      </x:c>
      <x:c r="H130" s="21" t="n">
        <x:v>270.9</x:v>
      </x:c>
    </x:row>
    <x:row r="131" ht="30" customHeight="1">
      <x:c r="A131" s="16" t="str">
        <x:v>Q2-016</x:v>
      </x:c>
      <x:c r="B131" s="13" t="n">
        <x:v>2</x:v>
      </x:c>
      <x:c r="C131" s="13" t="n">
        <x:v>2</x:v>
      </x:c>
      <x:c r="D131" s="16" t="str">
        <x:v>S008</x:v>
      </x:c>
      <x:c r="E131" s="16" t="str">
        <x:v>O01</x:v>
      </x:c>
      <x:c r="F131" s="14" t="n">
        <x:v>-1.8560028796848844</x:v>
      </x:c>
      <x:c r="G131" s="14" t="n">
        <x:v>7.8630324273987675</x:v>
      </x:c>
      <x:c r="H131" s="22" t="n">
        <x:v>372.9093322753906</x:v>
      </x:c>
    </x:row>
    <x:row r="132" ht="30" customHeight="1">
      <x:c r="A132" s="12" t="str">
        <x:v>Q2-016</x:v>
      </x:c>
      <x:c r="B132" s="5" t="n">
        <x:v>2</x:v>
      </x:c>
      <x:c r="C132" s="5" t="n">
        <x:v>3</x:v>
      </x:c>
      <x:c r="D132" s="12" t="str">
        <x:v>S008</x:v>
      </x:c>
      <x:c r="E132" s="12" t="str">
        <x:v>O01</x:v>
      </x:c>
      <x:c r="F132" s="10" t="n">
        <x:v>0</x:v>
      </x:c>
      <x:c r="G132" s="10" t="n">
        <x:v>0</x:v>
      </x:c>
      <x:c r="H132" s="21" t="n">
        <x:v>372.9093322753906</x:v>
      </x:c>
    </x:row>
    <x:row r="133" ht="30" customHeight="1">
      <x:c r="A133" s="16" t="str">
        <x:v>Q2-016</x:v>
      </x:c>
      <x:c r="B133" s="13" t="n">
        <x:v>2</x:v>
      </x:c>
      <x:c r="C133" s="13" t="n">
        <x:v>4</x:v>
      </x:c>
      <x:c r="D133" s="16" t="str">
        <x:v>S008</x:v>
      </x:c>
      <x:c r="E133" s="16" t="str">
        <x:v>O01</x:v>
      </x:c>
      <x:c r="F133" s="14" t="n">
        <x:v>0</x:v>
      </x:c>
      <x:c r="G133" s="14" t="n">
        <x:v>0</x:v>
      </x:c>
      <x:c r="H133" s="22" t="n">
        <x:v>127.7</x:v>
      </x:c>
    </x:row>
    <x:row r="134" ht="30" customHeight="1">
      <x:c r="A134" s="12" t="str">
        <x:v>Q2-017</x:v>
      </x:c>
      <x:c r="B134" s="5" t="n">
        <x:v>1</x:v>
      </x:c>
      <x:c r="C134" s="5" t="n">
        <x:v>1</x:v>
      </x:c>
      <x:c r="D134" s="12" t="str">
        <x:v>O01</x:v>
      </x:c>
      <x:c r="E134" s="12" t="str">
        <x:v>S008</x:v>
      </x:c>
      <x:c r="F134" s="10" t="n">
        <x:v>0</x:v>
      </x:c>
      <x:c r="G134" s="10" t="n">
        <x:v>0</x:v>
      </x:c>
      <x:c r="H134" s="21" t="n">
        <x:v>127.7</x:v>
      </x:c>
    </x:row>
    <x:row r="135" ht="30" customHeight="1">
      <x:c r="A135" s="16" t="str">
        <x:v>Q2-017</x:v>
      </x:c>
      <x:c r="B135" s="13" t="n">
        <x:v>1</x:v>
      </x:c>
      <x:c r="C135" s="13" t="n">
        <x:v>2</x:v>
      </x:c>
      <x:c r="D135" s="16" t="str">
        <x:v>O01</x:v>
      </x:c>
      <x:c r="E135" s="16" t="str">
        <x:v>S008</x:v>
      </x:c>
      <x:c r="F135" s="14" t="n">
        <x:v>0</x:v>
      </x:c>
      <x:c r="G135" s="14" t="n">
        <x:v>0</x:v>
      </x:c>
      <x:c r="H135" s="22" t="n">
        <x:v>372.9093322753906</x:v>
      </x:c>
    </x:row>
    <x:row r="136" ht="30" customHeight="1">
      <x:c r="A136" s="12" t="str">
        <x:v>Q2-017</x:v>
      </x:c>
      <x:c r="B136" s="5" t="n">
        <x:v>1</x:v>
      </x:c>
      <x:c r="C136" s="5" t="n">
        <x:v>3</x:v>
      </x:c>
      <x:c r="D136" s="12" t="str">
        <x:v>O01</x:v>
      </x:c>
      <x:c r="E136" s="12" t="str">
        <x:v>S008</x:v>
      </x:c>
      <x:c r="F136" s="10" t="n">
        <x:v>-1.8560028796848844</x:v>
      </x:c>
      <x:c r="G136" s="10" t="n">
        <x:v>7.8630324273987675</x:v>
      </x:c>
      <x:c r="H136" s="21" t="n">
        <x:v>372.9093322753906</x:v>
      </x:c>
    </x:row>
    <x:row r="137" ht="30" customHeight="1">
      <x:c r="A137" s="16" t="str">
        <x:v>Q2-017</x:v>
      </x:c>
      <x:c r="B137" s="13" t="n">
        <x:v>1</x:v>
      </x:c>
      <x:c r="C137" s="13" t="n">
        <x:v>4</x:v>
      </x:c>
      <x:c r="D137" s="16" t="str">
        <x:v>O01</x:v>
      </x:c>
      <x:c r="E137" s="16" t="str">
        <x:v>S008</x:v>
      </x:c>
      <x:c r="F137" s="14" t="n">
        <x:v>-1.8560028796848844</x:v>
      </x:c>
      <x:c r="G137" s="14" t="n">
        <x:v>7.8630324273987675</x:v>
      </x:c>
      <x:c r="H137" s="22" t="n">
        <x:v>270.9</x:v>
      </x:c>
    </x:row>
    <x:row r="138" ht="30" customHeight="1">
      <x:c r="A138" s="12" t="str">
        <x:v>Q2-017</x:v>
      </x:c>
      <x:c r="B138" s="5" t="n">
        <x:v>2</x:v>
      </x:c>
      <x:c r="C138" s="5" t="n">
        <x:v>1</x:v>
      </x:c>
      <x:c r="D138" s="12" t="str">
        <x:v>S008</x:v>
      </x:c>
      <x:c r="E138" s="12" t="str">
        <x:v>O01</x:v>
      </x:c>
      <x:c r="F138" s="10" t="n">
        <x:v>-1.8560028796848844</x:v>
      </x:c>
      <x:c r="G138" s="10" t="n">
        <x:v>7.8630324273987675</x:v>
      </x:c>
      <x:c r="H138" s="21" t="n">
        <x:v>270.9</x:v>
      </x:c>
    </x:row>
    <x:row r="139" ht="30" customHeight="1">
      <x:c r="A139" s="16" t="str">
        <x:v>Q2-017</x:v>
      </x:c>
      <x:c r="B139" s="13" t="n">
        <x:v>2</x:v>
      </x:c>
      <x:c r="C139" s="13" t="n">
        <x:v>2</x:v>
      </x:c>
      <x:c r="D139" s="16" t="str">
        <x:v>S008</x:v>
      </x:c>
      <x:c r="E139" s="16" t="str">
        <x:v>O01</x:v>
      </x:c>
      <x:c r="F139" s="14" t="n">
        <x:v>-1.8560028796848844</x:v>
      </x:c>
      <x:c r="G139" s="14" t="n">
        <x:v>7.8630324273987675</x:v>
      </x:c>
      <x:c r="H139" s="22" t="n">
        <x:v>372.9093322753906</x:v>
      </x:c>
    </x:row>
    <x:row r="140" ht="30" customHeight="1">
      <x:c r="A140" s="12" t="str">
        <x:v>Q2-017</x:v>
      </x:c>
      <x:c r="B140" s="5" t="n">
        <x:v>2</x:v>
      </x:c>
      <x:c r="C140" s="5" t="n">
        <x:v>3</x:v>
      </x:c>
      <x:c r="D140" s="12" t="str">
        <x:v>S008</x:v>
      </x:c>
      <x:c r="E140" s="12" t="str">
        <x:v>O01</x:v>
      </x:c>
      <x:c r="F140" s="10" t="n">
        <x:v>0</x:v>
      </x:c>
      <x:c r="G140" s="10" t="n">
        <x:v>0</x:v>
      </x:c>
      <x:c r="H140" s="21" t="n">
        <x:v>372.9093322753906</x:v>
      </x:c>
    </x:row>
    <x:row r="141" ht="30" customHeight="1">
      <x:c r="A141" s="16" t="str">
        <x:v>Q2-017</x:v>
      </x:c>
      <x:c r="B141" s="13" t="n">
        <x:v>2</x:v>
      </x:c>
      <x:c r="C141" s="13" t="n">
        <x:v>4</x:v>
      </x:c>
      <x:c r="D141" s="16" t="str">
        <x:v>S008</x:v>
      </x:c>
      <x:c r="E141" s="16" t="str">
        <x:v>O01</x:v>
      </x:c>
      <x:c r="F141" s="14" t="n">
        <x:v>0</x:v>
      </x:c>
      <x:c r="G141" s="14" t="n">
        <x:v>0</x:v>
      </x:c>
      <x:c r="H141" s="22" t="n">
        <x:v>127.7</x:v>
      </x:c>
    </x:row>
    <x:row r="142" ht="30" customHeight="1">
      <x:c r="A142" s="12" t="str">
        <x:v>Q2-018</x:v>
      </x:c>
      <x:c r="B142" s="5" t="n">
        <x:v>1</x:v>
      </x:c>
      <x:c r="C142" s="5" t="n">
        <x:v>1</x:v>
      </x:c>
      <x:c r="D142" s="12" t="str">
        <x:v>O01</x:v>
      </x:c>
      <x:c r="E142" s="12" t="str">
        <x:v>S004</x:v>
      </x:c>
      <x:c r="F142" s="10" t="n">
        <x:v>0</x:v>
      </x:c>
      <x:c r="G142" s="10" t="n">
        <x:v>0</x:v>
      </x:c>
      <x:c r="H142" s="21" t="n">
        <x:v>127.7</x:v>
      </x:c>
    </x:row>
    <x:row r="143" ht="30" customHeight="1">
      <x:c r="A143" s="16" t="str">
        <x:v>Q2-018</x:v>
      </x:c>
      <x:c r="B143" s="13" t="n">
        <x:v>1</x:v>
      </x:c>
      <x:c r="C143" s="13" t="n">
        <x:v>2</x:v>
      </x:c>
      <x:c r="D143" s="16" t="str">
        <x:v>O01</x:v>
      </x:c>
      <x:c r="E143" s="16" t="str">
        <x:v>S004</x:v>
      </x:c>
      <x:c r="F143" s="14" t="n">
        <x:v>0</x:v>
      </x:c>
      <x:c r="G143" s="14" t="n">
        <x:v>0</x:v>
      </x:c>
      <x:c r="H143" s="22" t="n">
        <x:v>398.2391662597656</x:v>
      </x:c>
    </x:row>
    <x:row r="144" ht="30" customHeight="1">
      <x:c r="A144" s="12" t="str">
        <x:v>Q2-018</x:v>
      </x:c>
      <x:c r="B144" s="5" t="n">
        <x:v>1</x:v>
      </x:c>
      <x:c r="C144" s="5" t="n">
        <x:v>3</x:v>
      </x:c>
      <x:c r="D144" s="12" t="str">
        <x:v>O01</x:v>
      </x:c>
      <x:c r="E144" s="12" t="str">
        <x:v>S004</x:v>
      </x:c>
      <x:c r="F144" s="10" t="n">
        <x:v>0.7503871566968315</x:v>
      </x:c>
      <x:c r="G144" s="10" t="n">
        <x:v>7.6781008080523625</x:v>
      </x:c>
      <x:c r="H144" s="21" t="n">
        <x:v>398.2391662597656</x:v>
      </x:c>
    </x:row>
    <x:row r="145" ht="30" customHeight="1">
      <x:c r="A145" s="16" t="str">
        <x:v>Q2-018</x:v>
      </x:c>
      <x:c r="B145" s="13" t="n">
        <x:v>1</x:v>
      </x:c>
      <x:c r="C145" s="13" t="n">
        <x:v>4</x:v>
      </x:c>
      <x:c r="D145" s="16" t="str">
        <x:v>O01</x:v>
      </x:c>
      <x:c r="E145" s="16" t="str">
        <x:v>S004</x:v>
      </x:c>
      <x:c r="F145" s="14" t="n">
        <x:v>0.7503871566968315</x:v>
      </x:c>
      <x:c r="G145" s="14" t="n">
        <x:v>7.6781008080523625</x:v>
      </x:c>
      <x:c r="H145" s="22" t="n">
        <x:v>228.3</x:v>
      </x:c>
    </x:row>
    <x:row r="146" ht="30" customHeight="1">
      <x:c r="A146" s="12" t="str">
        <x:v>Q2-018</x:v>
      </x:c>
      <x:c r="B146" s="5" t="n">
        <x:v>2</x:v>
      </x:c>
      <x:c r="C146" s="5" t="n">
        <x:v>1</x:v>
      </x:c>
      <x:c r="D146" s="12" t="str">
        <x:v>S004</x:v>
      </x:c>
      <x:c r="E146" s="12" t="str">
        <x:v>O01</x:v>
      </x:c>
      <x:c r="F146" s="10" t="n">
        <x:v>0.7503871566968315</x:v>
      </x:c>
      <x:c r="G146" s="10" t="n">
        <x:v>7.6781008080523625</x:v>
      </x:c>
      <x:c r="H146" s="21" t="n">
        <x:v>228.3</x:v>
      </x:c>
    </x:row>
    <x:row r="147" ht="30" customHeight="1">
      <x:c r="A147" s="16" t="str">
        <x:v>Q2-018</x:v>
      </x:c>
      <x:c r="B147" s="13" t="n">
        <x:v>2</x:v>
      </x:c>
      <x:c r="C147" s="13" t="n">
        <x:v>2</x:v>
      </x:c>
      <x:c r="D147" s="16" t="str">
        <x:v>S004</x:v>
      </x:c>
      <x:c r="E147" s="16" t="str">
        <x:v>O01</x:v>
      </x:c>
      <x:c r="F147" s="14" t="n">
        <x:v>0.7503871566968315</x:v>
      </x:c>
      <x:c r="G147" s="14" t="n">
        <x:v>7.6781008080523625</x:v>
      </x:c>
      <x:c r="H147" s="22" t="n">
        <x:v>398.2391662597656</x:v>
      </x:c>
    </x:row>
    <x:row r="148" ht="30" customHeight="1">
      <x:c r="A148" s="12" t="str">
        <x:v>Q2-018</x:v>
      </x:c>
      <x:c r="B148" s="5" t="n">
        <x:v>2</x:v>
      </x:c>
      <x:c r="C148" s="5" t="n">
        <x:v>3</x:v>
      </x:c>
      <x:c r="D148" s="12" t="str">
        <x:v>S004</x:v>
      </x:c>
      <x:c r="E148" s="12" t="str">
        <x:v>O01</x:v>
      </x:c>
      <x:c r="F148" s="10" t="n">
        <x:v>0</x:v>
      </x:c>
      <x:c r="G148" s="10" t="n">
        <x:v>0</x:v>
      </x:c>
      <x:c r="H148" s="21" t="n">
        <x:v>398.2391662597656</x:v>
      </x:c>
    </x:row>
    <x:row r="149" ht="30" customHeight="1">
      <x:c r="A149" s="16" t="str">
        <x:v>Q2-018</x:v>
      </x:c>
      <x:c r="B149" s="13" t="n">
        <x:v>2</x:v>
      </x:c>
      <x:c r="C149" s="13" t="n">
        <x:v>4</x:v>
      </x:c>
      <x:c r="D149" s="16" t="str">
        <x:v>S004</x:v>
      </x:c>
      <x:c r="E149" s="16" t="str">
        <x:v>O01</x:v>
      </x:c>
      <x:c r="F149" s="14" t="n">
        <x:v>0</x:v>
      </x:c>
      <x:c r="G149" s="14" t="n">
        <x:v>0</x:v>
      </x:c>
      <x:c r="H149" s="22" t="n">
        <x:v>127.7</x:v>
      </x:c>
    </x:row>
    <x:row r="150" ht="30" customHeight="1">
      <x:c r="A150" s="12" t="str">
        <x:v>Q2-019</x:v>
      </x:c>
      <x:c r="B150" s="5" t="n">
        <x:v>1</x:v>
      </x:c>
      <x:c r="C150" s="5" t="n">
        <x:v>1</x:v>
      </x:c>
      <x:c r="D150" s="12" t="str">
        <x:v>O01</x:v>
      </x:c>
      <x:c r="E150" s="12" t="str">
        <x:v>S003</x:v>
      </x:c>
      <x:c r="F150" s="10" t="n">
        <x:v>0</x:v>
      </x:c>
      <x:c r="G150" s="10" t="n">
        <x:v>0</x:v>
      </x:c>
      <x:c r="H150" s="21" t="n">
        <x:v>127.7</x:v>
      </x:c>
    </x:row>
    <x:row r="151" ht="30" customHeight="1">
      <x:c r="A151" s="16" t="str">
        <x:v>Q2-019</x:v>
      </x:c>
      <x:c r="B151" s="13" t="n">
        <x:v>1</x:v>
      </x:c>
      <x:c r="C151" s="13" t="n">
        <x:v>2</x:v>
      </x:c>
      <x:c r="D151" s="16" t="str">
        <x:v>O01</x:v>
      </x:c>
      <x:c r="E151" s="16" t="str">
        <x:v>S003</x:v>
      </x:c>
      <x:c r="F151" s="14" t="n">
        <x:v>0</x:v>
      </x:c>
      <x:c r="G151" s="14" t="n">
        <x:v>0</x:v>
      </x:c>
      <x:c r="H151" s="22" t="n">
        <x:v>561.8041381835938</x:v>
      </x:c>
    </x:row>
    <x:row r="152" ht="30" customHeight="1">
      <x:c r="A152" s="12" t="str">
        <x:v>Q2-019</x:v>
      </x:c>
      <x:c r="B152" s="5" t="n">
        <x:v>1</x:v>
      </x:c>
      <x:c r="C152" s="5" t="n">
        <x:v>3</x:v>
      </x:c>
      <x:c r="D152" s="12" t="str">
        <x:v>O01</x:v>
      </x:c>
      <x:c r="E152" s="12" t="str">
        <x:v>S003</x:v>
      </x:c>
      <x:c r="F152" s="10" t="n">
        <x:v>-6.355373355953578</x:v>
      </x:c>
      <x:c r="G152" s="10" t="n">
        <x:v>3.5174439191093088</x:v>
      </x:c>
      <x:c r="H152" s="21" t="n">
        <x:v>561.8041381835938</x:v>
      </x:c>
    </x:row>
    <x:row r="153" ht="30" customHeight="1">
      <x:c r="A153" s="16" t="str">
        <x:v>Q2-019</x:v>
      </x:c>
      <x:c r="B153" s="13" t="n">
        <x:v>1</x:v>
      </x:c>
      <x:c r="C153" s="13" t="n">
        <x:v>4</x:v>
      </x:c>
      <x:c r="D153" s="16" t="str">
        <x:v>O01</x:v>
      </x:c>
      <x:c r="E153" s="16" t="str">
        <x:v>S003</x:v>
      </x:c>
      <x:c r="F153" s="14" t="n">
        <x:v>-6.355373355953578</x:v>
      </x:c>
      <x:c r="G153" s="14" t="n">
        <x:v>3.5174439191093088</x:v>
      </x:c>
      <x:c r="H153" s="22" t="n">
        <x:v>338.5</x:v>
      </x:c>
    </x:row>
    <x:row r="154" ht="30" customHeight="1">
      <x:c r="A154" s="12" t="str">
        <x:v>Q2-019</x:v>
      </x:c>
      <x:c r="B154" s="5" t="n">
        <x:v>2</x:v>
      </x:c>
      <x:c r="C154" s="5" t="n">
        <x:v>1</x:v>
      </x:c>
      <x:c r="D154" s="12" t="str">
        <x:v>S003</x:v>
      </x:c>
      <x:c r="E154" s="12" t="str">
        <x:v>O01</x:v>
      </x:c>
      <x:c r="F154" s="10" t="n">
        <x:v>-6.355373355953578</x:v>
      </x:c>
      <x:c r="G154" s="10" t="n">
        <x:v>3.5174439191093088</x:v>
      </x:c>
      <x:c r="H154" s="21" t="n">
        <x:v>338.5</x:v>
      </x:c>
    </x:row>
    <x:row r="155" ht="30" customHeight="1">
      <x:c r="A155" s="16" t="str">
        <x:v>Q2-019</x:v>
      </x:c>
      <x:c r="B155" s="13" t="n">
        <x:v>2</x:v>
      </x:c>
      <x:c r="C155" s="13" t="n">
        <x:v>2</x:v>
      </x:c>
      <x:c r="D155" s="16" t="str">
        <x:v>S003</x:v>
      </x:c>
      <x:c r="E155" s="16" t="str">
        <x:v>O01</x:v>
      </x:c>
      <x:c r="F155" s="14" t="n">
        <x:v>-6.355373355953578</x:v>
      </x:c>
      <x:c r="G155" s="14" t="n">
        <x:v>3.5174439191093088</x:v>
      </x:c>
      <x:c r="H155" s="22" t="n">
        <x:v>561.8041381835938</x:v>
      </x:c>
    </x:row>
    <x:row r="156" ht="30" customHeight="1">
      <x:c r="A156" s="12" t="str">
        <x:v>Q2-019</x:v>
      </x:c>
      <x:c r="B156" s="5" t="n">
        <x:v>2</x:v>
      </x:c>
      <x:c r="C156" s="5" t="n">
        <x:v>3</x:v>
      </x:c>
      <x:c r="D156" s="12" t="str">
        <x:v>S003</x:v>
      </x:c>
      <x:c r="E156" s="12" t="str">
        <x:v>O01</x:v>
      </x:c>
      <x:c r="F156" s="10" t="n">
        <x:v>0</x:v>
      </x:c>
      <x:c r="G156" s="10" t="n">
        <x:v>0</x:v>
      </x:c>
      <x:c r="H156" s="21" t="n">
        <x:v>561.8041381835938</x:v>
      </x:c>
    </x:row>
    <x:row r="157" ht="30" customHeight="1">
      <x:c r="A157" s="16" t="str">
        <x:v>Q2-019</x:v>
      </x:c>
      <x:c r="B157" s="13" t="n">
        <x:v>2</x:v>
      </x:c>
      <x:c r="C157" s="13" t="n">
        <x:v>4</x:v>
      </x:c>
      <x:c r="D157" s="16" t="str">
        <x:v>S003</x:v>
      </x:c>
      <x:c r="E157" s="16" t="str">
        <x:v>O01</x:v>
      </x:c>
      <x:c r="F157" s="14" t="n">
        <x:v>0</x:v>
      </x:c>
      <x:c r="G157" s="14" t="n">
        <x:v>0</x:v>
      </x:c>
      <x:c r="H157" s="22" t="n">
        <x:v>127.7</x:v>
      </x:c>
    </x:row>
    <x:row r="158" ht="30" customHeight="1">
      <x:c r="A158" s="12" t="str">
        <x:v>Q2-020</x:v>
      </x:c>
      <x:c r="B158" s="5" t="n">
        <x:v>1</x:v>
      </x:c>
      <x:c r="C158" s="5" t="n">
        <x:v>1</x:v>
      </x:c>
      <x:c r="D158" s="12" t="str">
        <x:v>O01</x:v>
      </x:c>
      <x:c r="E158" s="12" t="str">
        <x:v>S008</x:v>
      </x:c>
      <x:c r="F158" s="10" t="n">
        <x:v>0</x:v>
      </x:c>
      <x:c r="G158" s="10" t="n">
        <x:v>0</x:v>
      </x:c>
      <x:c r="H158" s="21" t="n">
        <x:v>127.7</x:v>
      </x:c>
    </x:row>
    <x:row r="159" ht="30" customHeight="1">
      <x:c r="A159" s="16" t="str">
        <x:v>Q2-020</x:v>
      </x:c>
      <x:c r="B159" s="13" t="n">
        <x:v>1</x:v>
      </x:c>
      <x:c r="C159" s="13" t="n">
        <x:v>2</x:v>
      </x:c>
      <x:c r="D159" s="16" t="str">
        <x:v>O01</x:v>
      </x:c>
      <x:c r="E159" s="16" t="str">
        <x:v>S008</x:v>
      </x:c>
      <x:c r="F159" s="14" t="n">
        <x:v>0</x:v>
      </x:c>
      <x:c r="G159" s="14" t="n">
        <x:v>0</x:v>
      </x:c>
      <x:c r="H159" s="22" t="n">
        <x:v>372.9093322753906</x:v>
      </x:c>
    </x:row>
    <x:row r="160" ht="30" customHeight="1">
      <x:c r="A160" s="12" t="str">
        <x:v>Q2-020</x:v>
      </x:c>
      <x:c r="B160" s="5" t="n">
        <x:v>1</x:v>
      </x:c>
      <x:c r="C160" s="5" t="n">
        <x:v>3</x:v>
      </x:c>
      <x:c r="D160" s="12" t="str">
        <x:v>O01</x:v>
      </x:c>
      <x:c r="E160" s="12" t="str">
        <x:v>S008</x:v>
      </x:c>
      <x:c r="F160" s="10" t="n">
        <x:v>-1.8560028796848844</x:v>
      </x:c>
      <x:c r="G160" s="10" t="n">
        <x:v>7.8630324273987675</x:v>
      </x:c>
      <x:c r="H160" s="21" t="n">
        <x:v>372.9093322753906</x:v>
      </x:c>
    </x:row>
    <x:row r="161" ht="30" customHeight="1">
      <x:c r="A161" s="16" t="str">
        <x:v>Q2-020</x:v>
      </x:c>
      <x:c r="B161" s="13" t="n">
        <x:v>1</x:v>
      </x:c>
      <x:c r="C161" s="13" t="n">
        <x:v>4</x:v>
      </x:c>
      <x:c r="D161" s="16" t="str">
        <x:v>O01</x:v>
      </x:c>
      <x:c r="E161" s="16" t="str">
        <x:v>S008</x:v>
      </x:c>
      <x:c r="F161" s="14" t="n">
        <x:v>-1.8560028796848844</x:v>
      </x:c>
      <x:c r="G161" s="14" t="n">
        <x:v>7.8630324273987675</x:v>
      </x:c>
      <x:c r="H161" s="22" t="n">
        <x:v>270.9</x:v>
      </x:c>
    </x:row>
    <x:row r="162" ht="30" customHeight="1">
      <x:c r="A162" s="12" t="str">
        <x:v>Q2-020</x:v>
      </x:c>
      <x:c r="B162" s="5" t="n">
        <x:v>2</x:v>
      </x:c>
      <x:c r="C162" s="5" t="n">
        <x:v>1</x:v>
      </x:c>
      <x:c r="D162" s="12" t="str">
        <x:v>S008</x:v>
      </x:c>
      <x:c r="E162" s="12" t="str">
        <x:v>O01</x:v>
      </x:c>
      <x:c r="F162" s="10" t="n">
        <x:v>-1.8560028796848844</x:v>
      </x:c>
      <x:c r="G162" s="10" t="n">
        <x:v>7.8630324273987675</x:v>
      </x:c>
      <x:c r="H162" s="21" t="n">
        <x:v>270.9</x:v>
      </x:c>
    </x:row>
    <x:row r="163" ht="30" customHeight="1">
      <x:c r="A163" s="16" t="str">
        <x:v>Q2-020</x:v>
      </x:c>
      <x:c r="B163" s="13" t="n">
        <x:v>2</x:v>
      </x:c>
      <x:c r="C163" s="13" t="n">
        <x:v>2</x:v>
      </x:c>
      <x:c r="D163" s="16" t="str">
        <x:v>S008</x:v>
      </x:c>
      <x:c r="E163" s="16" t="str">
        <x:v>O01</x:v>
      </x:c>
      <x:c r="F163" s="14" t="n">
        <x:v>-1.8560028796848844</x:v>
      </x:c>
      <x:c r="G163" s="14" t="n">
        <x:v>7.8630324273987675</x:v>
      </x:c>
      <x:c r="H163" s="22" t="n">
        <x:v>372.9093322753906</x:v>
      </x:c>
    </x:row>
    <x:row r="164" ht="30" customHeight="1">
      <x:c r="A164" s="12" t="str">
        <x:v>Q2-020</x:v>
      </x:c>
      <x:c r="B164" s="5" t="n">
        <x:v>2</x:v>
      </x:c>
      <x:c r="C164" s="5" t="n">
        <x:v>3</x:v>
      </x:c>
      <x:c r="D164" s="12" t="str">
        <x:v>S008</x:v>
      </x:c>
      <x:c r="E164" s="12" t="str">
        <x:v>O01</x:v>
      </x:c>
      <x:c r="F164" s="10" t="n">
        <x:v>0</x:v>
      </x:c>
      <x:c r="G164" s="10" t="n">
        <x:v>0</x:v>
      </x:c>
      <x:c r="H164" s="21" t="n">
        <x:v>372.9093322753906</x:v>
      </x:c>
    </x:row>
    <x:row r="165" ht="30" customHeight="1">
      <x:c r="A165" s="16" t="str">
        <x:v>Q2-020</x:v>
      </x:c>
      <x:c r="B165" s="13" t="n">
        <x:v>2</x:v>
      </x:c>
      <x:c r="C165" s="13" t="n">
        <x:v>4</x:v>
      </x:c>
      <x:c r="D165" s="16" t="str">
        <x:v>S008</x:v>
      </x:c>
      <x:c r="E165" s="16" t="str">
        <x:v>O01</x:v>
      </x:c>
      <x:c r="F165" s="14" t="n">
        <x:v>0</x:v>
      </x:c>
      <x:c r="G165" s="14" t="n">
        <x:v>0</x:v>
      </x:c>
      <x:c r="H165" s="22" t="n">
        <x:v>127.7</x:v>
      </x:c>
    </x:row>
    <x:row r="166" ht="30" customHeight="1">
      <x:c r="A166" s="12" t="str">
        <x:v>Q2-021</x:v>
      </x:c>
      <x:c r="B166" s="5" t="n">
        <x:v>1</x:v>
      </x:c>
      <x:c r="C166" s="5" t="n">
        <x:v>1</x:v>
      </x:c>
      <x:c r="D166" s="12" t="str">
        <x:v>O01</x:v>
      </x:c>
      <x:c r="E166" s="12" t="str">
        <x:v>S015</x:v>
      </x:c>
      <x:c r="F166" s="10" t="n">
        <x:v>0</x:v>
      </x:c>
      <x:c r="G166" s="10" t="n">
        <x:v>0</x:v>
      </x:c>
      <x:c r="H166" s="21" t="n">
        <x:v>127.7</x:v>
      </x:c>
    </x:row>
    <x:row r="167" ht="30" customHeight="1">
      <x:c r="A167" s="16" t="str">
        <x:v>Q2-021</x:v>
      </x:c>
      <x:c r="B167" s="13" t="n">
        <x:v>1</x:v>
      </x:c>
      <x:c r="C167" s="13" t="n">
        <x:v>2</x:v>
      </x:c>
      <x:c r="D167" s="16" t="str">
        <x:v>O01</x:v>
      </x:c>
      <x:c r="E167" s="16" t="str">
        <x:v>S015</x:v>
      </x:c>
      <x:c r="F167" s="14" t="n">
        <x:v>0</x:v>
      </x:c>
      <x:c r="G167" s="14" t="n">
        <x:v>0</x:v>
      </x:c>
      <x:c r="H167" s="22" t="n">
        <x:v>571.7992553710938</x:v>
      </x:c>
    </x:row>
    <x:row r="168" ht="30" customHeight="1">
      <x:c r="A168" s="12" t="str">
        <x:v>Q2-021</x:v>
      </x:c>
      <x:c r="B168" s="5" t="n">
        <x:v>1</x:v>
      </x:c>
      <x:c r="C168" s="5" t="n">
        <x:v>3</x:v>
      </x:c>
      <x:c r="D168" s="12" t="str">
        <x:v>O01</x:v>
      </x:c>
      <x:c r="E168" s="12" t="str">
        <x:v>S015</x:v>
      </x:c>
      <x:c r="F168" s="10" t="n">
        <x:v>-3.9441124797915337</x:v>
      </x:c>
      <x:c r="G168" s="10" t="n">
        <x:v>4.534451544180149</x:v>
      </x:c>
      <x:c r="H168" s="21" t="n">
        <x:v>571.7992553710938</x:v>
      </x:c>
    </x:row>
    <x:row r="169" ht="30" customHeight="1">
      <x:c r="A169" s="16" t="str">
        <x:v>Q2-021</x:v>
      </x:c>
      <x:c r="B169" s="13" t="n">
        <x:v>1</x:v>
      </x:c>
      <x:c r="C169" s="13" t="n">
        <x:v>4</x:v>
      </x:c>
      <x:c r="D169" s="16" t="str">
        <x:v>O01</x:v>
      </x:c>
      <x:c r="E169" s="16" t="str">
        <x:v>S015</x:v>
      </x:c>
      <x:c r="F169" s="14" t="n">
        <x:v>-3.9441124797915337</x:v>
      </x:c>
      <x:c r="G169" s="14" t="n">
        <x:v>4.534451544180149</x:v>
      </x:c>
      <x:c r="H169" s="22" t="n">
        <x:v>474.5</x:v>
      </x:c>
    </x:row>
    <x:row r="170" ht="30" customHeight="1">
      <x:c r="A170" s="12" t="str">
        <x:v>Q2-021</x:v>
      </x:c>
      <x:c r="B170" s="5" t="n">
        <x:v>2</x:v>
      </x:c>
      <x:c r="C170" s="5" t="n">
        <x:v>1</x:v>
      </x:c>
      <x:c r="D170" s="12" t="str">
        <x:v>S015</x:v>
      </x:c>
      <x:c r="E170" s="12" t="str">
        <x:v>O01</x:v>
      </x:c>
      <x:c r="F170" s="10" t="n">
        <x:v>-3.9441124797915337</x:v>
      </x:c>
      <x:c r="G170" s="10" t="n">
        <x:v>4.534451544180149</x:v>
      </x:c>
      <x:c r="H170" s="21" t="n">
        <x:v>474.5</x:v>
      </x:c>
    </x:row>
    <x:row r="171" ht="30" customHeight="1">
      <x:c r="A171" s="16" t="str">
        <x:v>Q2-021</x:v>
      </x:c>
      <x:c r="B171" s="13" t="n">
        <x:v>2</x:v>
      </x:c>
      <x:c r="C171" s="13" t="n">
        <x:v>2</x:v>
      </x:c>
      <x:c r="D171" s="16" t="str">
        <x:v>S015</x:v>
      </x:c>
      <x:c r="E171" s="16" t="str">
        <x:v>O01</x:v>
      </x:c>
      <x:c r="F171" s="14" t="n">
        <x:v>-3.9441124797915337</x:v>
      </x:c>
      <x:c r="G171" s="14" t="n">
        <x:v>4.534451544180149</x:v>
      </x:c>
      <x:c r="H171" s="22" t="n">
        <x:v>571.7992553710938</x:v>
      </x:c>
    </x:row>
    <x:row r="172" ht="30" customHeight="1">
      <x:c r="A172" s="12" t="str">
        <x:v>Q2-021</x:v>
      </x:c>
      <x:c r="B172" s="5" t="n">
        <x:v>2</x:v>
      </x:c>
      <x:c r="C172" s="5" t="n">
        <x:v>3</x:v>
      </x:c>
      <x:c r="D172" s="12" t="str">
        <x:v>S015</x:v>
      </x:c>
      <x:c r="E172" s="12" t="str">
        <x:v>O01</x:v>
      </x:c>
      <x:c r="F172" s="10" t="n">
        <x:v>0</x:v>
      </x:c>
      <x:c r="G172" s="10" t="n">
        <x:v>0</x:v>
      </x:c>
      <x:c r="H172" s="21" t="n">
        <x:v>571.7992553710938</x:v>
      </x:c>
    </x:row>
    <x:row r="173" ht="30" customHeight="1">
      <x:c r="A173" s="16" t="str">
        <x:v>Q2-021</x:v>
      </x:c>
      <x:c r="B173" s="13" t="n">
        <x:v>2</x:v>
      </x:c>
      <x:c r="C173" s="13" t="n">
        <x:v>4</x:v>
      </x:c>
      <x:c r="D173" s="16" t="str">
        <x:v>S015</x:v>
      </x:c>
      <x:c r="E173" s="16" t="str">
        <x:v>O01</x:v>
      </x:c>
      <x:c r="F173" s="14" t="n">
        <x:v>0</x:v>
      </x:c>
      <x:c r="G173" s="14" t="n">
        <x:v>0</x:v>
      </x:c>
      <x:c r="H173" s="22" t="n">
        <x:v>127.7</x:v>
      </x:c>
    </x:row>
    <x:row r="174" ht="30" customHeight="1">
      <x:c r="A174" s="12" t="str">
        <x:v>Q2-022</x:v>
      </x:c>
      <x:c r="B174" s="5" t="n">
        <x:v>1</x:v>
      </x:c>
      <x:c r="C174" s="5" t="n">
        <x:v>1</x:v>
      </x:c>
      <x:c r="D174" s="12" t="str">
        <x:v>O01</x:v>
      </x:c>
      <x:c r="E174" s="12" t="str">
        <x:v>S003</x:v>
      </x:c>
      <x:c r="F174" s="10" t="n">
        <x:v>0</x:v>
      </x:c>
      <x:c r="G174" s="10" t="n">
        <x:v>0</x:v>
      </x:c>
      <x:c r="H174" s="21" t="n">
        <x:v>127.7</x:v>
      </x:c>
    </x:row>
    <x:row r="175" ht="30" customHeight="1">
      <x:c r="A175" s="16" t="str">
        <x:v>Q2-022</x:v>
      </x:c>
      <x:c r="B175" s="13" t="n">
        <x:v>1</x:v>
      </x:c>
      <x:c r="C175" s="13" t="n">
        <x:v>2</x:v>
      </x:c>
      <x:c r="D175" s="16" t="str">
        <x:v>O01</x:v>
      </x:c>
      <x:c r="E175" s="16" t="str">
        <x:v>S003</x:v>
      </x:c>
      <x:c r="F175" s="14" t="n">
        <x:v>0</x:v>
      </x:c>
      <x:c r="G175" s="14" t="n">
        <x:v>0</x:v>
      </x:c>
      <x:c r="H175" s="22" t="n">
        <x:v>561.8041381835938</x:v>
      </x:c>
    </x:row>
    <x:row r="176" ht="30" customHeight="1">
      <x:c r="A176" s="12" t="str">
        <x:v>Q2-022</x:v>
      </x:c>
      <x:c r="B176" s="5" t="n">
        <x:v>1</x:v>
      </x:c>
      <x:c r="C176" s="5" t="n">
        <x:v>3</x:v>
      </x:c>
      <x:c r="D176" s="12" t="str">
        <x:v>O01</x:v>
      </x:c>
      <x:c r="E176" s="12" t="str">
        <x:v>S003</x:v>
      </x:c>
      <x:c r="F176" s="10" t="n">
        <x:v>-6.355373355953578</x:v>
      </x:c>
      <x:c r="G176" s="10" t="n">
        <x:v>3.5174439191093088</x:v>
      </x:c>
      <x:c r="H176" s="21" t="n">
        <x:v>561.8041381835938</x:v>
      </x:c>
    </x:row>
    <x:row r="177" ht="30" customHeight="1">
      <x:c r="A177" s="16" t="str">
        <x:v>Q2-022</x:v>
      </x:c>
      <x:c r="B177" s="13" t="n">
        <x:v>1</x:v>
      </x:c>
      <x:c r="C177" s="13" t="n">
        <x:v>4</x:v>
      </x:c>
      <x:c r="D177" s="16" t="str">
        <x:v>O01</x:v>
      </x:c>
      <x:c r="E177" s="16" t="str">
        <x:v>S003</x:v>
      </x:c>
      <x:c r="F177" s="14" t="n">
        <x:v>-6.355373355953578</x:v>
      </x:c>
      <x:c r="G177" s="14" t="n">
        <x:v>3.5174439191093088</x:v>
      </x:c>
      <x:c r="H177" s="22" t="n">
        <x:v>338.5</x:v>
      </x:c>
    </x:row>
    <x:row r="178" ht="30" customHeight="1">
      <x:c r="A178" s="12" t="str">
        <x:v>Q2-022</x:v>
      </x:c>
      <x:c r="B178" s="5" t="n">
        <x:v>2</x:v>
      </x:c>
      <x:c r="C178" s="5" t="n">
        <x:v>1</x:v>
      </x:c>
      <x:c r="D178" s="12" t="str">
        <x:v>S003</x:v>
      </x:c>
      <x:c r="E178" s="12" t="str">
        <x:v>O01</x:v>
      </x:c>
      <x:c r="F178" s="10" t="n">
        <x:v>-6.355373355953578</x:v>
      </x:c>
      <x:c r="G178" s="10" t="n">
        <x:v>3.5174439191093088</x:v>
      </x:c>
      <x:c r="H178" s="21" t="n">
        <x:v>338.5</x:v>
      </x:c>
    </x:row>
    <x:row r="179" ht="30" customHeight="1">
      <x:c r="A179" s="16" t="str">
        <x:v>Q2-022</x:v>
      </x:c>
      <x:c r="B179" s="13" t="n">
        <x:v>2</x:v>
      </x:c>
      <x:c r="C179" s="13" t="n">
        <x:v>2</x:v>
      </x:c>
      <x:c r="D179" s="16" t="str">
        <x:v>S003</x:v>
      </x:c>
      <x:c r="E179" s="16" t="str">
        <x:v>O01</x:v>
      </x:c>
      <x:c r="F179" s="14" t="n">
        <x:v>-6.355373355953578</x:v>
      </x:c>
      <x:c r="G179" s="14" t="n">
        <x:v>3.5174439191093088</x:v>
      </x:c>
      <x:c r="H179" s="22" t="n">
        <x:v>561.8041381835938</x:v>
      </x:c>
    </x:row>
    <x:row r="180" ht="30" customHeight="1">
      <x:c r="A180" s="12" t="str">
        <x:v>Q2-022</x:v>
      </x:c>
      <x:c r="B180" s="5" t="n">
        <x:v>2</x:v>
      </x:c>
      <x:c r="C180" s="5" t="n">
        <x:v>3</x:v>
      </x:c>
      <x:c r="D180" s="12" t="str">
        <x:v>S003</x:v>
      </x:c>
      <x:c r="E180" s="12" t="str">
        <x:v>O01</x:v>
      </x:c>
      <x:c r="F180" s="10" t="n">
        <x:v>0</x:v>
      </x:c>
      <x:c r="G180" s="10" t="n">
        <x:v>0</x:v>
      </x:c>
      <x:c r="H180" s="21" t="n">
        <x:v>561.8041381835938</x:v>
      </x:c>
    </x:row>
    <x:row r="181" ht="30" customHeight="1">
      <x:c r="A181" s="16" t="str">
        <x:v>Q2-022</x:v>
      </x:c>
      <x:c r="B181" s="13" t="n">
        <x:v>2</x:v>
      </x:c>
      <x:c r="C181" s="13" t="n">
        <x:v>4</x:v>
      </x:c>
      <x:c r="D181" s="16" t="str">
        <x:v>S003</x:v>
      </x:c>
      <x:c r="E181" s="16" t="str">
        <x:v>O01</x:v>
      </x:c>
      <x:c r="F181" s="14" t="n">
        <x:v>0</x:v>
      </x:c>
      <x:c r="G181" s="14" t="n">
        <x:v>0</x:v>
      </x:c>
      <x:c r="H181" s="22" t="n">
        <x:v>127.7</x:v>
      </x:c>
    </x:row>
    <x:row r="182" ht="30" customHeight="1">
      <x:c r="A182" s="12" t="str">
        <x:v>Q2-023</x:v>
      </x:c>
      <x:c r="B182" s="5" t="n">
        <x:v>1</x:v>
      </x:c>
      <x:c r="C182" s="5" t="n">
        <x:v>1</x:v>
      </x:c>
      <x:c r="D182" s="12" t="str">
        <x:v>O01</x:v>
      </x:c>
      <x:c r="E182" s="12" t="str">
        <x:v>S009</x:v>
      </x:c>
      <x:c r="F182" s="10" t="n">
        <x:v>0</x:v>
      </x:c>
      <x:c r="G182" s="10" t="n">
        <x:v>0</x:v>
      </x:c>
      <x:c r="H182" s="21" t="n">
        <x:v>127.7</x:v>
      </x:c>
    </x:row>
    <x:row r="183" ht="30" customHeight="1">
      <x:c r="A183" s="16" t="str">
        <x:v>Q2-023</x:v>
      </x:c>
      <x:c r="B183" s="13" t="n">
        <x:v>1</x:v>
      </x:c>
      <x:c r="C183" s="13" t="n">
        <x:v>2</x:v>
      </x:c>
      <x:c r="D183" s="16" t="str">
        <x:v>O01</x:v>
      </x:c>
      <x:c r="E183" s="16" t="str">
        <x:v>S009</x:v>
      </x:c>
      <x:c r="F183" s="14" t="n">
        <x:v>0</x:v>
      </x:c>
      <x:c r="G183" s="14" t="n">
        <x:v>0</x:v>
      </x:c>
      <x:c r="H183" s="22" t="n">
        <x:v>293.2289123535156</x:v>
      </x:c>
    </x:row>
    <x:row r="184" ht="30" customHeight="1">
      <x:c r="A184" s="12" t="str">
        <x:v>Q2-023</x:v>
      </x:c>
      <x:c r="B184" s="5" t="n">
        <x:v>1</x:v>
      </x:c>
      <x:c r="C184" s="5" t="n">
        <x:v>3</x:v>
      </x:c>
      <x:c r="D184" s="12" t="str">
        <x:v>O01</x:v>
      </x:c>
      <x:c r="E184" s="12" t="str">
        <x:v>S009</x:v>
      </x:c>
      <x:c r="F184" s="10" t="n">
        <x:v>2.3876719196811726</x:v>
      </x:c>
      <x:c r="G184" s="10" t="n">
        <x:v>5.181651302622434</x:v>
      </x:c>
      <x:c r="H184" s="21" t="n">
        <x:v>293.2289123535156</x:v>
      </x:c>
    </x:row>
    <x:row r="185" ht="30" customHeight="1">
      <x:c r="A185" s="16" t="str">
        <x:v>Q2-023</x:v>
      </x:c>
      <x:c r="B185" s="13" t="n">
        <x:v>1</x:v>
      </x:c>
      <x:c r="C185" s="13" t="n">
        <x:v>4</x:v>
      </x:c>
      <x:c r="D185" s="16" t="str">
        <x:v>O01</x:v>
      </x:c>
      <x:c r="E185" s="16" t="str">
        <x:v>S009</x:v>
      </x:c>
      <x:c r="F185" s="14" t="n">
        <x:v>2.3876719196811726</x:v>
      </x:c>
      <x:c r="G185" s="14" t="n">
        <x:v>5.181651302622434</x:v>
      </x:c>
      <x:c r="H185" s="22" t="n">
        <x:v>230</x:v>
      </x:c>
    </x:row>
    <x:row r="186" ht="30" customHeight="1">
      <x:c r="A186" s="12" t="str">
        <x:v>Q2-023</x:v>
      </x:c>
      <x:c r="B186" s="5" t="n">
        <x:v>2</x:v>
      </x:c>
      <x:c r="C186" s="5" t="n">
        <x:v>1</x:v>
      </x:c>
      <x:c r="D186" s="12" t="str">
        <x:v>S009</x:v>
      </x:c>
      <x:c r="E186" s="12" t="str">
        <x:v>O01</x:v>
      </x:c>
      <x:c r="F186" s="10" t="n">
        <x:v>2.3876719196811726</x:v>
      </x:c>
      <x:c r="G186" s="10" t="n">
        <x:v>5.181651302622434</x:v>
      </x:c>
      <x:c r="H186" s="21" t="n">
        <x:v>230</x:v>
      </x:c>
    </x:row>
    <x:row r="187" ht="30" customHeight="1">
      <x:c r="A187" s="16" t="str">
        <x:v>Q2-023</x:v>
      </x:c>
      <x:c r="B187" s="13" t="n">
        <x:v>2</x:v>
      </x:c>
      <x:c r="C187" s="13" t="n">
        <x:v>2</x:v>
      </x:c>
      <x:c r="D187" s="16" t="str">
        <x:v>S009</x:v>
      </x:c>
      <x:c r="E187" s="16" t="str">
        <x:v>O01</x:v>
      </x:c>
      <x:c r="F187" s="14" t="n">
        <x:v>2.3876719196811726</x:v>
      </x:c>
      <x:c r="G187" s="14" t="n">
        <x:v>5.181651302622434</x:v>
      </x:c>
      <x:c r="H187" s="22" t="n">
        <x:v>293.2289123535156</x:v>
      </x:c>
    </x:row>
    <x:row r="188" ht="30" customHeight="1">
      <x:c r="A188" s="12" t="str">
        <x:v>Q2-023</x:v>
      </x:c>
      <x:c r="B188" s="5" t="n">
        <x:v>2</x:v>
      </x:c>
      <x:c r="C188" s="5" t="n">
        <x:v>3</x:v>
      </x:c>
      <x:c r="D188" s="12" t="str">
        <x:v>S009</x:v>
      </x:c>
      <x:c r="E188" s="12" t="str">
        <x:v>O01</x:v>
      </x:c>
      <x:c r="F188" s="10" t="n">
        <x:v>0</x:v>
      </x:c>
      <x:c r="G188" s="10" t="n">
        <x:v>0</x:v>
      </x:c>
      <x:c r="H188" s="21" t="n">
        <x:v>293.2289123535156</x:v>
      </x:c>
    </x:row>
    <x:row r="189" ht="30" customHeight="1">
      <x:c r="A189" s="16" t="str">
        <x:v>Q2-023</x:v>
      </x:c>
      <x:c r="B189" s="13" t="n">
        <x:v>2</x:v>
      </x:c>
      <x:c r="C189" s="13" t="n">
        <x:v>4</x:v>
      </x:c>
      <x:c r="D189" s="16" t="str">
        <x:v>S009</x:v>
      </x:c>
      <x:c r="E189" s="16" t="str">
        <x:v>O01</x:v>
      </x:c>
      <x:c r="F189" s="14" t="n">
        <x:v>0</x:v>
      </x:c>
      <x:c r="G189" s="14" t="n">
        <x:v>0</x:v>
      </x:c>
      <x:c r="H189" s="22" t="n">
        <x:v>127.7</x:v>
      </x:c>
    </x:row>
    <x:row r="190" ht="30" customHeight="1">
      <x:c r="A190" s="12" t="str">
        <x:v>Q2-024</x:v>
      </x:c>
      <x:c r="B190" s="5" t="n">
        <x:v>1</x:v>
      </x:c>
      <x:c r="C190" s="5" t="n">
        <x:v>1</x:v>
      </x:c>
      <x:c r="D190" s="12" t="str">
        <x:v>O01</x:v>
      </x:c>
      <x:c r="E190" s="12" t="str">
        <x:v>S011</x:v>
      </x:c>
      <x:c r="F190" s="10" t="n">
        <x:v>0</x:v>
      </x:c>
      <x:c r="G190" s="10" t="n">
        <x:v>0</x:v>
      </x:c>
      <x:c r="H190" s="21" t="n">
        <x:v>127.7</x:v>
      </x:c>
    </x:row>
    <x:row r="191" ht="30" customHeight="1">
      <x:c r="A191" s="16" t="str">
        <x:v>Q2-024</x:v>
      </x:c>
      <x:c r="B191" s="13" t="n">
        <x:v>1</x:v>
      </x:c>
      <x:c r="C191" s="13" t="n">
        <x:v>2</x:v>
      </x:c>
      <x:c r="D191" s="16" t="str">
        <x:v>O01</x:v>
      </x:c>
      <x:c r="E191" s="16" t="str">
        <x:v>S011</x:v>
      </x:c>
      <x:c r="F191" s="14" t="n">
        <x:v>0</x:v>
      </x:c>
      <x:c r="G191" s="14" t="n">
        <x:v>0</x:v>
      </x:c>
      <x:c r="H191" s="22" t="n">
        <x:v>295.36175537109375</x:v>
      </x:c>
    </x:row>
    <x:row r="192" ht="30" customHeight="1">
      <x:c r="A192" s="12" t="str">
        <x:v>Q2-024</x:v>
      </x:c>
      <x:c r="B192" s="5" t="n">
        <x:v>1</x:v>
      </x:c>
      <x:c r="C192" s="5" t="n">
        <x:v>3</x:v>
      </x:c>
      <x:c r="D192" s="12" t="str">
        <x:v>O01</x:v>
      </x:c>
      <x:c r="E192" s="12" t="str">
        <x:v>S011</x:v>
      </x:c>
      <x:c r="F192" s="10" t="n">
        <x:v>-1.0780696447321874</x:v>
      </x:c>
      <x:c r="G192" s="10" t="n">
        <x:v>2.5929187153304754</x:v>
      </x:c>
      <x:c r="H192" s="21" t="n">
        <x:v>295.36175537109375</x:v>
      </x:c>
    </x:row>
    <x:row r="193" ht="30" customHeight="1">
      <x:c r="A193" s="16" t="str">
        <x:v>Q2-024</x:v>
      </x:c>
      <x:c r="B193" s="13" t="n">
        <x:v>1</x:v>
      </x:c>
      <x:c r="C193" s="13" t="n">
        <x:v>4</x:v>
      </x:c>
      <x:c r="D193" s="16" t="str">
        <x:v>O01</x:v>
      </x:c>
      <x:c r="E193" s="16" t="str">
        <x:v>S011</x:v>
      </x:c>
      <x:c r="F193" s="14" t="n">
        <x:v>-1.0780696447321874</x:v>
      </x:c>
      <x:c r="G193" s="14" t="n">
        <x:v>2.5929187153304754</x:v>
      </x:c>
      <x:c r="H193" s="22" t="n">
        <x:v>212.1</x:v>
      </x:c>
    </x:row>
    <x:row r="194" ht="30" customHeight="1">
      <x:c r="A194" s="12" t="str">
        <x:v>Q2-024</x:v>
      </x:c>
      <x:c r="B194" s="5" t="n">
        <x:v>2</x:v>
      </x:c>
      <x:c r="C194" s="5" t="n">
        <x:v>1</x:v>
      </x:c>
      <x:c r="D194" s="12" t="str">
        <x:v>S011</x:v>
      </x:c>
      <x:c r="E194" s="12" t="str">
        <x:v>S005</x:v>
      </x:c>
      <x:c r="F194" s="10" t="n">
        <x:v>-1.0780696447321874</x:v>
      </x:c>
      <x:c r="G194" s="10" t="n">
        <x:v>2.5929187153304754</x:v>
      </x:c>
      <x:c r="H194" s="21" t="n">
        <x:v>212.1</x:v>
      </x:c>
    </x:row>
    <x:row r="195" ht="30" customHeight="1">
      <x:c r="A195" s="16" t="str">
        <x:v>Q2-024</x:v>
      </x:c>
      <x:c r="B195" s="13" t="n">
        <x:v>2</x:v>
      </x:c>
      <x:c r="C195" s="13" t="n">
        <x:v>2</x:v>
      </x:c>
      <x:c r="D195" s="16" t="str">
        <x:v>S011</x:v>
      </x:c>
      <x:c r="E195" s="16" t="str">
        <x:v>S005</x:v>
      </x:c>
      <x:c r="F195" s="14" t="n">
        <x:v>-1.0780696447321874</x:v>
      </x:c>
      <x:c r="G195" s="14" t="n">
        <x:v>2.5929187153304754</x:v>
      </x:c>
      <x:c r="H195" s="22" t="n">
        <x:v>347.5489196777344</x:v>
      </x:c>
    </x:row>
    <x:row r="196" ht="30" customHeight="1">
      <x:c r="A196" s="12" t="str">
        <x:v>Q2-024</x:v>
      </x:c>
      <x:c r="B196" s="5" t="n">
        <x:v>2</x:v>
      </x:c>
      <x:c r="C196" s="5" t="n">
        <x:v>3</x:v>
      </x:c>
      <x:c r="D196" s="12" t="str">
        <x:v>S011</x:v>
      </x:c>
      <x:c r="E196" s="12" t="str">
        <x:v>S005</x:v>
      </x:c>
      <x:c r="F196" s="10" t="n">
        <x:v>-0.26155959828932435</x:v>
      </x:c>
      <x:c r="G196" s="10" t="n">
        <x:v>5.274111575089368</x:v>
      </x:c>
      <x:c r="H196" s="21" t="n">
        <x:v>347.5489196777344</x:v>
      </x:c>
    </x:row>
    <x:row r="197" ht="30" customHeight="1">
      <x:c r="A197" s="16" t="str">
        <x:v>Q2-024</x:v>
      </x:c>
      <x:c r="B197" s="13" t="n">
        <x:v>2</x:v>
      </x:c>
      <x:c r="C197" s="13" t="n">
        <x:v>4</x:v>
      </x:c>
      <x:c r="D197" s="16" t="str">
        <x:v>S011</x:v>
      </x:c>
      <x:c r="E197" s="16" t="str">
        <x:v>S005</x:v>
      </x:c>
      <x:c r="F197" s="14" t="n">
        <x:v>-0.26155959828932435</x:v>
      </x:c>
      <x:c r="G197" s="14" t="n">
        <x:v>5.274111575089368</x:v>
      </x:c>
      <x:c r="H197" s="22" t="n">
        <x:v>195</x:v>
      </x:c>
    </x:row>
    <x:row r="198" ht="30" customHeight="1">
      <x:c r="A198" s="12" t="str">
        <x:v>Q2-024</x:v>
      </x:c>
      <x:c r="B198" s="5" t="n">
        <x:v>3</x:v>
      </x:c>
      <x:c r="C198" s="5" t="n">
        <x:v>1</x:v>
      </x:c>
      <x:c r="D198" s="12" t="str">
        <x:v>S005</x:v>
      </x:c>
      <x:c r="E198" s="12" t="str">
        <x:v>O01</x:v>
      </x:c>
      <x:c r="F198" s="10" t="n">
        <x:v>-0.26155959828932435</x:v>
      </x:c>
      <x:c r="G198" s="10" t="n">
        <x:v>5.274111575089368</x:v>
      </x:c>
      <x:c r="H198" s="21" t="n">
        <x:v>195</x:v>
      </x:c>
    </x:row>
    <x:row r="199" ht="30" customHeight="1">
      <x:c r="A199" s="16" t="str">
        <x:v>Q2-024</x:v>
      </x:c>
      <x:c r="B199" s="13" t="n">
        <x:v>3</x:v>
      </x:c>
      <x:c r="C199" s="13" t="n">
        <x:v>2</x:v>
      </x:c>
      <x:c r="D199" s="16" t="str">
        <x:v>S005</x:v>
      </x:c>
      <x:c r="E199" s="16" t="str">
        <x:v>O01</x:v>
      </x:c>
      <x:c r="F199" s="14" t="n">
        <x:v>-0.26155959828932435</x:v>
      </x:c>
      <x:c r="G199" s="14" t="n">
        <x:v>5.274111575089368</x:v>
      </x:c>
      <x:c r="H199" s="22" t="n">
        <x:v>326.410888671875</x:v>
      </x:c>
    </x:row>
    <x:row r="200" ht="30" customHeight="1">
      <x:c r="A200" s="12" t="str">
        <x:v>Q2-024</x:v>
      </x:c>
      <x:c r="B200" s="5" t="n">
        <x:v>3</x:v>
      </x:c>
      <x:c r="C200" s="5" t="n">
        <x:v>3</x:v>
      </x:c>
      <x:c r="D200" s="12" t="str">
        <x:v>S005</x:v>
      </x:c>
      <x:c r="E200" s="12" t="str">
        <x:v>O01</x:v>
      </x:c>
      <x:c r="F200" s="10" t="n">
        <x:v>0</x:v>
      </x:c>
      <x:c r="G200" s="10" t="n">
        <x:v>0</x:v>
      </x:c>
      <x:c r="H200" s="21" t="n">
        <x:v>326.410888671875</x:v>
      </x:c>
    </x:row>
    <x:row r="201" ht="30" customHeight="1">
      <x:c r="A201" s="16" t="str">
        <x:v>Q2-024</x:v>
      </x:c>
      <x:c r="B201" s="13" t="n">
        <x:v>3</x:v>
      </x:c>
      <x:c r="C201" s="13" t="n">
        <x:v>4</x:v>
      </x:c>
      <x:c r="D201" s="16" t="str">
        <x:v>S005</x:v>
      </x:c>
      <x:c r="E201" s="16" t="str">
        <x:v>O01</x:v>
      </x:c>
      <x:c r="F201" s="14" t="n">
        <x:v>0</x:v>
      </x:c>
      <x:c r="G201" s="14" t="n">
        <x:v>0</x:v>
      </x:c>
      <x:c r="H201" s="22" t="n">
        <x:v>127.7</x:v>
      </x:c>
    </x:row>
  </x:sheetData>
  <x:pageMargins left="0.7" right="0.7" top="0.75" bottom="0.75" header="0.3" footer="0.3"/>
</x:worksheet>
</file>