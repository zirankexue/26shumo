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8f5a669db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比较" sheetId="1" r:id="R7200bf1baeab42e0"/>
    <x:sheet xmlns:r="http://schemas.openxmlformats.org/officeDocument/2006/relationships" name="Q4_分区配置" sheetId="2" r:id="Rc3b01819e9be48f0"/>
    <x:sheet xmlns:r="http://schemas.openxmlformats.org/officeDocument/2006/relationships" name="任务明细" sheetId="3" r:id="R8c683fb6071e4767"/>
    <x:sheet xmlns:r="http://schemas.openxmlformats.org/officeDocument/2006/relationships" name="资源占用" sheetId="4" r:id="Rc77fca9c17664984"/>
    <x:sheet xmlns:r="http://schemas.openxmlformats.org/officeDocument/2006/relationships" name="分区备选" sheetId="5" r:id="Rf047b9d8a5624298"/>
    <x:sheet xmlns:r="http://schemas.openxmlformats.org/officeDocument/2006/relationships" name="库存与口径" sheetId="6" r:id="R99216fdc1d57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"/>
  </x:numFmts>
  <x:fonts count="6">
    <x:font>
      <x:sz val="11"/>
      <x:name val="Carlito"/>
    </x:font>
    <x:font>
      <x:sz val="10"/>
      <x:color rgb="FF172B40"/>
      <x:name val="Microsoft YaHei"/>
    </x:font>
    <x:font>
      <x:b/>
      <x:sz val="15"/>
      <x:color rgb="FF233B57"/>
      <x:name val="Microsoft YaHei"/>
    </x:font>
    <x:font>
      <x:b/>
      <x:sz val="10"/>
      <x:color rgb="FFFFFFFF"/>
      <x:name val="Microsoft YaHei"/>
    </x:font>
    <x:font>
      <x:b/>
      <x:sz val="10"/>
      <x:color rgb="FF172B40"/>
      <x:name val="Microsoft YaHei"/>
    </x:font>
    <x:font>
      <x:b/>
      <x:sz val="10"/>
      <x:color rgb="FF233B5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33B57"/>
      </x:patternFill>
    </x:fill>
    <x:fill>
      <x:patternFill patternType="solid">
        <x:fgColor rgb="FFF3F6F9"/>
      </x:patternFill>
    </x:fill>
    <x:fill>
      <x:patternFill patternType="solid">
        <x:fgColor rgb="FFEAF0F6"/>
      </x:patternFill>
    </x:fill>
  </x:fills>
  <x:borders count="2">
    <x:border/>
    <x:border>
      <x:bottom style="thin">
        <x:color rgb="FFB8C6D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32626"/>
      </x:font>
      <x:fill>
        <x:patternFill patternType="solid">
          <x:bgColor rgb="FFFCE7E7"/>
        </x:patternFill>
      </x:fill>
    </x:dxf>
    <x:dxf>
      <x:font>
        <x:b/>
        <x:color rgb="FFA32626"/>
      </x:font>
      <x:fill>
        <x:patternFill patternType="solid">
          <x:bgColor rgb="FFFCE7E7"/>
        </x:patternFill>
      </x:fill>
    </x:dxf>
    <x:dxf>
      <x:font>
        <x:b/>
        <x:color rgb="FFA32626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23f6e2e424cd2" /><Relationship Type="http://schemas.openxmlformats.org/officeDocument/2006/relationships/theme" Target="/xl/theme/theme1.xml" Id="Rd9645b91a2fb4ae9" /><Relationship Type="http://schemas.openxmlformats.org/officeDocument/2006/relationships/sharedStrings" Target="/xl/sharedStrings.xml" Id="R20c5c13aa7fd4708" /><Relationship Type="http://schemas.openxmlformats.org/officeDocument/2006/relationships/worksheet" Target="/xl/worksheets/sheet1.xml" Id="R7200bf1baeab42e0" /><Relationship Type="http://schemas.openxmlformats.org/officeDocument/2006/relationships/worksheet" Target="/xl/worksheets/sheet2.xml" Id="Rc3b01819e9be48f0" /><Relationship Type="http://schemas.openxmlformats.org/officeDocument/2006/relationships/worksheet" Target="/xl/worksheets/sheet3.xml" Id="R8c683fb6071e4767" /><Relationship Type="http://schemas.openxmlformats.org/officeDocument/2006/relationships/worksheet" Target="/xl/worksheets/sheet4.xml" Id="Rc77fca9c17664984" /><Relationship Type="http://schemas.openxmlformats.org/officeDocument/2006/relationships/worksheet" Target="/xl/worksheets/sheet5.xml" Id="Rf047b9d8a5624298" /><Relationship Type="http://schemas.openxmlformats.org/officeDocument/2006/relationships/worksheet" Target="/xl/worksheets/sheet6.xml" Id="R99216fdc1d574e05" /></Relationships>
</file>

<file path=xl/tables/table1.xml><?xml version="1.0" encoding="utf-8"?>
<x:table xmlns:x="http://schemas.openxmlformats.org/spreadsheetml/2006/main" id="4" name="Comparison" displayName="Comparison" ref="A4:J12" headerRowCount="1" totalsRowCount="0" totalsRowShown="0">
  <x:autoFilter ref="A4:J12"/>
  <x:tableColumns count="10">
    <x:tableColumn id="1" name="资源"/>
    <x:tableColumn id="2" name="单位"/>
    <x:tableColumn id="3" name="现有库存"/>
    <x:tableColumn id="4" name="未分组需求"/>
    <x:tableColumn id="5" name="2组需求"/>
    <x:tableColumn id="6" name="2组冗余"/>
    <x:tableColumn id="7" name="2组缺口"/>
    <x:tableColumn id="8" name="3组需求"/>
    <x:tableColumn id="9" name="3组冗余"/>
    <x:tableColumn id="10" name="3组缺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4Configuration" displayName="Q4Configuration" ref="A1:Q6" headerRowCount="1" totalsRowCount="0" totalsRowShown="0">
  <x:autoFilter ref="A1:Q6"/>
  <x:tableColumns count="17">
    <x:tableColumn id="1" name="K（2或3）"/>
    <x:tableColumn id="2" name="任务组编号"/>
    <x:tableColumn id="3" name="服务区列表"/>
    <x:tableColumn id="4" name="A型运输无人机数"/>
    <x:tableColumn id="5" name="B型运输无人机数"/>
    <x:tableColumn id="6" name="C型运输无人机数"/>
    <x:tableColumn id="7" name="A型电池组数"/>
    <x:tableColumn id="8" name="B型电池组数"/>
    <x:tableColumn id="9" name="C型电池组数"/>
    <x:tableColumn id="10" name="中继无人机数"/>
    <x:tableColumn id="11" name="中继能源组件数"/>
    <x:tableColumn id="12" name="运输架次数"/>
    <x:tableColumn id="13" name="货箱数"/>
    <x:tableColumn id="14" name="运输作业量/机·秒"/>
    <x:tableColumn id="15" name="中继作业量/机·秒"/>
    <x:tableColumn id="16" name="保障人口/人"/>
    <x:tableColumn id="17" name="货箱质量/k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FrozenTasks" displayName="FrozenTasks" ref="A4:L28" headerRowCount="1" totalsRowCount="0" totalsRowShown="0">
  <x:autoFilter ref="A4:L28"/>
  <x:tableColumns count="12">
    <x:tableColumn id="1" name="类别"/>
    <x:tableColumn id="2" name="任务编号"/>
    <x:tableColumn id="3" name="访问顺序或保障任务"/>
    <x:tableColumn id="4" name="机型"/>
    <x:tableColumn id="5" name="2组归属"/>
    <x:tableColumn id="6" name="3组归属"/>
    <x:tableColumn id="7" name="货箱数"/>
    <x:tableColumn id="8" name="准备开始/s"/>
    <x:tableColumn id="9" name="返航/s"/>
    <x:tableColumn id="10" name="作业量/机·秒"/>
    <x:tableColumn id="11" name="能耗/kWh"/>
    <x:tableColumn id="12" name="实际中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sourceAssignments" displayName="ResourceAssignments" ref="A4:J100" headerRowCount="1" totalsRowCount="0" totalsRowShown="0">
  <x:autoFilter ref="A4:J100"/>
  <x:tableColumns count="10">
    <x:tableColumn id="1" name="K"/>
    <x:tableColumn id="2" name="任务组"/>
    <x:tableColumn id="3" name="资源类型"/>
    <x:tableColumn id="4" name="执行资源编号"/>
    <x:tableColumn id="5" name="第三问原编号"/>
    <x:tableColumn id="6" name="任务编号"/>
    <x:tableColumn id="7" name="来源"/>
    <x:tableColumn id="8" name="占用开始/s"/>
    <x:tableColumn id="9" name="释放或充满/s"/>
    <x:tableColumn id="10" name="占用时长/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Alternatives" displayName="Alternatives" ref="A4:O12" headerRowCount="1" totalsRowCount="0" totalsRowShown="0">
  <x:autoFilter ref="A4:O12"/>
  <x:tableColumns count="15">
    <x:tableColumn id="1" name="中继口径"/>
    <x:tableColumn id="2" name="K"/>
    <x:tableColumn id="3" name="目标偏好"/>
    <x:tableColumn id="4" name="任务分区"/>
    <x:tableColumn id="5" name="运输A"/>
    <x:tableColumn id="6" name="运输B"/>
    <x:tableColumn id="7" name="运输C"/>
    <x:tableColumn id="8" name="电池A"/>
    <x:tableColumn id="9" name="电池B"/>
    <x:tableColumn id="10" name="电池C"/>
    <x:tableColumn id="11" name="中继机"/>
    <x:tableColumn id="12" name="中继组件"/>
    <x:tableColumn id="13" name="运输CV"/>
    <x:tableColumn id="14" name="中继架次"/>
    <x:tableColumn id="15" name="总能耗/k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sourceInventory" displayName="ResourceInventory" ref="A4:E12" headerRowCount="1" totalsRowCount="0" totalsRowShown="0">
  <x:autoFilter ref="A4:E12"/>
  <x:tableColumns count="5">
    <x:tableColumn id="1" name="资源"/>
    <x:tableColumn id="2" name="单位"/>
    <x:tableColumn id="3" name="现有库存"/>
    <x:tableColumn id="4" name="未分组最低需求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4e7c183b1b49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ed01bb7a8d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7eb1736676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532236fefb48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c4a63cc88540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389094ccf54e6d" /></Relationships>
</file>

<file path=xl/worksheets/sheet1.xml><?xml version="1.0" encoding="utf-8"?>
<x:worksheet xmlns:x="http://schemas.openxmlformats.org/spreadsheetml/2006/main">
  <x:sheetPr>
    <x:tabColor rgb="FF233B57"/>
  </x:sheetPr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12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第四问：独立分区增加多少资源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8" customHeight="1">
      <x:c r="A4" s="8" t="str">
        <x:v>资源</x:v>
      </x:c>
      <x:c r="B4" s="8" t="str">
        <x:v>单位</x:v>
      </x:c>
      <x:c r="C4" s="8" t="str">
        <x:v>现有库存</x:v>
      </x:c>
      <x:c r="D4" s="8" t="str">
        <x:v>未分组需求</x:v>
      </x:c>
      <x:c r="E4" s="8" t="str">
        <x:v>2组需求</x:v>
      </x:c>
      <x:c r="F4" s="8" t="str">
        <x:v>2组冗余</x:v>
      </x:c>
      <x:c r="G4" s="8" t="str">
        <x:v>2组缺口</x:v>
      </x:c>
      <x:c r="H4" s="8" t="str">
        <x:v>3组需求</x:v>
      </x:c>
      <x:c r="I4" s="8" t="str">
        <x:v>3组冗余</x:v>
      </x:c>
      <x:c r="J4" s="8" t="str">
        <x:v>3组缺口</x:v>
      </x:c>
    </x:row>
    <x:row r="5" ht="24" customHeight="1">
      <x:c r="A5" s="2" t="str">
        <x:v>A型运输无人机</x:v>
      </x:c>
      <x:c r="B5" s="2" t="str">
        <x:v>架</x:v>
      </x:c>
      <x:c r="C5" s="20" t="n">
        <x:f>'库存与口径'!C5</x:f>
        <x:v>4</x:v>
      </x:c>
      <x:c r="D5" s="20" t="n">
        <x:f>'库存与口径'!D5</x:f>
        <x:v>4</x:v>
      </x:c>
      <x:c r="E5" s="20" t="n">
        <x:f>SUM('Q4_分区配置'!D2:D3)</x:f>
        <x:v>4</x:v>
      </x:c>
      <x:c r="F5" s="20" t="n">
        <x:f>E5-D5</x:f>
        <x:v>0</x:v>
      </x:c>
      <x:c r="G5" s="20" t="n">
        <x:f>MAX(0,E5-C5)</x:f>
        <x:v>0</x:v>
      </x:c>
      <x:c r="H5" s="20" t="n">
        <x:f>SUM('Q4_分区配置'!D4:D6)</x:f>
        <x:v>4</x:v>
      </x:c>
      <x:c r="I5" s="20" t="n">
        <x:f>H5-D5</x:f>
        <x:v>0</x:v>
      </x:c>
      <x:c r="J5" s="20" t="n">
        <x:f>MAX(0,H5-C5)</x:f>
        <x:v>0</x:v>
      </x:c>
    </x:row>
    <x:row r="6" ht="24" customHeight="1">
      <x:c r="A6" s="9" t="str">
        <x:v>B型运输无人机</x:v>
      </x:c>
      <x:c r="B6" s="9" t="str">
        <x:v>架</x:v>
      </x:c>
      <x:c r="C6" s="22" t="n">
        <x:f>'库存与口径'!C6</x:f>
        <x:v>2</x:v>
      </x:c>
      <x:c r="D6" s="22" t="n">
        <x:f>'库存与口径'!D6</x:f>
        <x:v>2</x:v>
      </x:c>
      <x:c r="E6" s="22" t="n">
        <x:f>SUM('Q4_分区配置'!E2:E3)</x:f>
        <x:v>2</x:v>
      </x:c>
      <x:c r="F6" s="22" t="n">
        <x:f>E6-D6</x:f>
        <x:v>0</x:v>
      </x:c>
      <x:c r="G6" s="22" t="n">
        <x:f>MAX(0,E6-C6)</x:f>
        <x:v>0</x:v>
      </x:c>
      <x:c r="H6" s="22" t="n">
        <x:f>SUM('Q4_分区配置'!E4:E6)</x:f>
        <x:v>4</x:v>
      </x:c>
      <x:c r="I6" s="22" t="n">
        <x:f>H6-D6</x:f>
        <x:v>2</x:v>
      </x:c>
      <x:c r="J6" s="22" t="n">
        <x:f>MAX(0,H6-C6)</x:f>
        <x:v>2</x:v>
      </x:c>
    </x:row>
    <x:row r="7" ht="24" customHeight="1">
      <x:c r="A7" s="2" t="str">
        <x:v>C型运输无人机</x:v>
      </x:c>
      <x:c r="B7" s="2" t="str">
        <x:v>架</x:v>
      </x:c>
      <x:c r="C7" s="20" t="n">
        <x:f>'库存与口径'!C7</x:f>
        <x:v>2</x:v>
      </x:c>
      <x:c r="D7" s="20" t="n">
        <x:f>'库存与口径'!D7</x:f>
        <x:v>2</x:v>
      </x:c>
      <x:c r="E7" s="20" t="n">
        <x:f>SUM('Q4_分区配置'!F2:F3)</x:f>
        <x:v>4</x:v>
      </x:c>
      <x:c r="F7" s="20" t="n">
        <x:f>E7-D7</x:f>
        <x:v>2</x:v>
      </x:c>
      <x:c r="G7" s="20" t="n">
        <x:f>MAX(0,E7-C7)</x:f>
        <x:v>2</x:v>
      </x:c>
      <x:c r="H7" s="20" t="n">
        <x:f>SUM('Q4_分区配置'!F4:F6)</x:f>
        <x:v>4</x:v>
      </x:c>
      <x:c r="I7" s="20" t="n">
        <x:f>H7-D7</x:f>
        <x:v>2</x:v>
      </x:c>
      <x:c r="J7" s="20" t="n">
        <x:f>MAX(0,H7-C7)</x:f>
        <x:v>2</x:v>
      </x:c>
    </x:row>
    <x:row r="8" ht="24" customHeight="1">
      <x:c r="A8" s="9" t="str">
        <x:v>A型共享电池</x:v>
      </x:c>
      <x:c r="B8" s="9" t="str">
        <x:v>组</x:v>
      </x:c>
      <x:c r="C8" s="22" t="n">
        <x:f>'库存与口径'!C8</x:f>
        <x:v>6</x:v>
      </x:c>
      <x:c r="D8" s="22" t="n">
        <x:f>'库存与口径'!D8</x:f>
        <x:v>6</x:v>
      </x:c>
      <x:c r="E8" s="22" t="n">
        <x:f>SUM('Q4_分区配置'!G2:G3)</x:f>
        <x:v>6</x:v>
      </x:c>
      <x:c r="F8" s="22" t="n">
        <x:f>E8-D8</x:f>
        <x:v>0</x:v>
      </x:c>
      <x:c r="G8" s="22" t="n">
        <x:f>MAX(0,E8-C8)</x:f>
        <x:v>0</x:v>
      </x:c>
      <x:c r="H8" s="22" t="n">
        <x:f>SUM('Q4_分区配置'!G4:G6)</x:f>
        <x:v>6</x:v>
      </x:c>
      <x:c r="I8" s="22" t="n">
        <x:f>H8-D8</x:f>
        <x:v>0</x:v>
      </x:c>
      <x:c r="J8" s="22" t="n">
        <x:f>MAX(0,H8-C8)</x:f>
        <x:v>0</x:v>
      </x:c>
    </x:row>
    <x:row r="9" ht="24" customHeight="1">
      <x:c r="A9" s="2" t="str">
        <x:v>B型共享电池</x:v>
      </x:c>
      <x:c r="B9" s="2" t="str">
        <x:v>组</x:v>
      </x:c>
      <x:c r="C9" s="20" t="n">
        <x:f>'库存与口径'!C9</x:f>
        <x:v>4</x:v>
      </x:c>
      <x:c r="D9" s="20" t="n">
        <x:f>'库存与口径'!D9</x:f>
        <x:v>4</x:v>
      </x:c>
      <x:c r="E9" s="20" t="n">
        <x:f>SUM('Q4_分区配置'!H2:H3)</x:f>
        <x:v>4</x:v>
      </x:c>
      <x:c r="F9" s="20" t="n">
        <x:f>E9-D9</x:f>
        <x:v>0</x:v>
      </x:c>
      <x:c r="G9" s="20" t="n">
        <x:f>MAX(0,E9-C9)</x:f>
        <x:v>0</x:v>
      </x:c>
      <x:c r="H9" s="20" t="n">
        <x:f>SUM('Q4_分区配置'!H4:H6)</x:f>
        <x:v>6</x:v>
      </x:c>
      <x:c r="I9" s="20" t="n">
        <x:f>H9-D9</x:f>
        <x:v>2</x:v>
      </x:c>
      <x:c r="J9" s="20" t="n">
        <x:f>MAX(0,H9-C9)</x:f>
        <x:v>2</x:v>
      </x:c>
    </x:row>
    <x:row r="10" ht="24" customHeight="1">
      <x:c r="A10" s="9" t="str">
        <x:v>C型共享电池</x:v>
      </x:c>
      <x:c r="B10" s="9" t="str">
        <x:v>组</x:v>
      </x:c>
      <x:c r="C10" s="22" t="n">
        <x:f>'库存与口径'!C10</x:f>
        <x:v>4</x:v>
      </x:c>
      <x:c r="D10" s="22" t="n">
        <x:f>'库存与口径'!D10</x:f>
        <x:v>4</x:v>
      </x:c>
      <x:c r="E10" s="22" t="n">
        <x:f>SUM('Q4_分区配置'!I2:I3)</x:f>
        <x:v>6</x:v>
      </x:c>
      <x:c r="F10" s="22" t="n">
        <x:f>E10-D10</x:f>
        <x:v>2</x:v>
      </x:c>
      <x:c r="G10" s="22" t="n">
        <x:f>MAX(0,E10-C10)</x:f>
        <x:v>2</x:v>
      </x:c>
      <x:c r="H10" s="22" t="n">
        <x:f>SUM('Q4_分区配置'!I4:I6)</x:f>
        <x:v>6</x:v>
      </x:c>
      <x:c r="I10" s="22" t="n">
        <x:f>H10-D10</x:f>
        <x:v>2</x:v>
      </x:c>
      <x:c r="J10" s="22" t="n">
        <x:f>MAX(0,H10-C10)</x:f>
        <x:v>2</x:v>
      </x:c>
    </x:row>
    <x:row r="11" ht="24" customHeight="1">
      <x:c r="A11" s="2" t="str">
        <x:v>中继无人机</x:v>
      </x:c>
      <x:c r="B11" s="2" t="str">
        <x:v>架</x:v>
      </x:c>
      <x:c r="C11" s="20" t="n">
        <x:f>'库存与口径'!C11</x:f>
        <x:v>2</x:v>
      </x:c>
      <x:c r="D11" s="20" t="n">
        <x:f>'库存与口径'!D11</x:f>
        <x:v>2</x:v>
      </x:c>
      <x:c r="E11" s="20" t="n">
        <x:f>SUM('Q4_分区配置'!J2:J3)</x:f>
        <x:v>2</x:v>
      </x:c>
      <x:c r="F11" s="20" t="n">
        <x:f>E11-D11</x:f>
        <x:v>0</x:v>
      </x:c>
      <x:c r="G11" s="20" t="n">
        <x:f>MAX(0,E11-C11)</x:f>
        <x:v>0</x:v>
      </x:c>
      <x:c r="H11" s="20" t="n">
        <x:f>SUM('Q4_分区配置'!J4:J6)</x:f>
        <x:v>3</x:v>
      </x:c>
      <x:c r="I11" s="20" t="n">
        <x:f>H11-D11</x:f>
        <x:v>1</x:v>
      </x:c>
      <x:c r="J11" s="20" t="n">
        <x:f>MAX(0,H11-C11)</x:f>
        <x:v>1</x:v>
      </x:c>
    </x:row>
    <x:row r="12" ht="24" customHeight="1">
      <x:c r="A12" s="9" t="str">
        <x:v>中继能源组件</x:v>
      </x:c>
      <x:c r="B12" s="9" t="str">
        <x:v>组</x:v>
      </x:c>
      <x:c r="C12" s="22" t="n">
        <x:f>'库存与口径'!C12</x:f>
        <x:v>6</x:v>
      </x:c>
      <x:c r="D12" s="22" t="n">
        <x:f>'库存与口径'!D12</x:f>
        <x:v>3</x:v>
      </x:c>
      <x:c r="E12" s="22" t="n">
        <x:f>SUM('Q4_分区配置'!K2:K3)</x:f>
        <x:v>3</x:v>
      </x:c>
      <x:c r="F12" s="22" t="n">
        <x:f>E12-D12</x:f>
        <x:v>0</x:v>
      </x:c>
      <x:c r="G12" s="22" t="n">
        <x:f>MAX(0,E12-C12)</x:f>
        <x:v>0</x:v>
      </x:c>
      <x:c r="H12" s="22" t="n">
        <x:f>SUM('Q4_分区配置'!K4:K6)</x:f>
        <x:v>3</x:v>
      </x:c>
      <x:c r="I12" s="22" t="n">
        <x:f>H12-D12</x:f>
        <x:v>0</x:v>
      </x:c>
      <x:c r="J12" s="22" t="n">
        <x:f>MAX(0,H12-C12)</x:f>
        <x:v>0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4" t="str">
        <x:v>指标</x:v>
      </x:c>
      <x:c r="B15" s="24" t="str">
        <x:v>2组</x:v>
      </x:c>
      <x:c r="C15" s="24" t="str">
        <x:v>3组</x:v>
      </x:c>
      <x:c r="D15" s="2"/>
      <x:c r="E15" s="2"/>
      <x:c r="F15" s="2"/>
      <x:c r="G15" s="2"/>
      <x:c r="H15" s="2"/>
      <x:c r="I15" s="2"/>
      <x:c r="J15" s="2"/>
    </x:row>
    <x:row r="16" ht="24" customHeight="1">
      <x:c r="A16" s="2" t="str">
        <x:v>运输无人机/架</x:v>
      </x:c>
      <x:c r="B16" s="2" t="n">
        <x:f>SUM(E5:E7)</x:f>
        <x:v>10</x:v>
      </x:c>
      <x:c r="C16" s="2" t="n">
        <x:f>SUM(H5:H7)</x:f>
        <x:v>12</x:v>
      </x:c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共享电池/组</x:v>
      </x:c>
      <x:c r="B17" s="2" t="n">
        <x:f>SUM(E8:E10)</x:f>
        <x:v>16</x:v>
      </x:c>
      <x:c r="C17" s="2" t="n">
        <x:f>SUM(H8:H10)</x:f>
        <x:v>18</x:v>
      </x:c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中继无人机/架</x:v>
      </x:c>
      <x:c r="B18" s="2" t="n">
        <x:f>E11</x:f>
        <x:v>2</x:v>
      </x:c>
      <x:c r="C18" s="2" t="n">
        <x:f>H11</x:f>
        <x:v>3</x:v>
      </x:c>
      <x:c r="D18" s="2"/>
      <x:c r="E18" s="2"/>
      <x:c r="F18" s="2"/>
      <x:c r="G18" s="2"/>
      <x:c r="H18" s="2"/>
      <x:c r="I18" s="2"/>
      <x:c r="J18" s="2"/>
    </x:row>
    <x:row r="19" ht="24" customHeight="1">
      <x:c r="A19" s="2" t="str">
        <x:v>中继组件/组</x:v>
      </x:c>
      <x:c r="B19" s="2" t="n">
        <x:f>E12</x:f>
        <x:v>3</x:v>
      </x:c>
      <x:c r="C19" s="2" t="n">
        <x:f>H12</x:f>
        <x:v>3</x:v>
      </x:c>
      <x:c r="D19" s="2"/>
      <x:c r="E19" s="2"/>
      <x:c r="F19" s="2"/>
      <x:c r="G19" s="2"/>
      <x:c r="H19" s="2"/>
      <x:c r="I19" s="2"/>
      <x:c r="J19" s="2"/>
    </x:row>
    <x:row r="20" ht="24" customHeight="1">
      <x:c r="A20" s="2" t="str">
        <x:v>运输工作量CV</x:v>
      </x:c>
      <x:c r="B20" s="12" t="n">
        <x:f>SQRT(2*SUMSQ('Q4_分区配置'!N2:N3)/SUM('Q4_分区配置'!N2:N3)^2-1)</x:f>
        <x:v>0.8424286529395284</x:v>
      </x:c>
      <x:c r="C20" s="12" t="n">
        <x:f>SQRT(3*SUMSQ('Q4_分区配置'!N4:N6)/SUM('Q4_分区配置'!N4:N6)^2-1)</x:f>
        <x:v>1.0674531782600805</x:v>
      </x:c>
      <x:c r="D20" s="2"/>
      <x:c r="E20" s="2"/>
      <x:c r="F20" s="2"/>
      <x:c r="G20" s="2"/>
      <x:c r="H20" s="2"/>
      <x:c r="I20" s="2"/>
      <x:c r="J20" s="2"/>
    </x:row>
    <x:row r="21" ht="24" customHeight="1">
      <x:c r="A21" s="2" t="str">
        <x:v>联合完成/s</x:v>
      </x:c>
      <x:c r="B21" s="10" t="n">
        <x:f>MAX('任务明细'!I5:I28)</x:f>
        <x:v>6612.284</x:v>
      </x:c>
      <x:c r="C21" s="10" t="n">
        <x:f>B21</x:f>
        <x:v>6612.284</x:v>
      </x:c>
      <x:c r="D21" s="2"/>
      <x:c r="E21" s="2"/>
      <x:c r="F21" s="2"/>
      <x:c r="G21" s="2"/>
      <x:c r="H21" s="2"/>
      <x:c r="I21" s="2"/>
      <x:c r="J21" s="2"/>
    </x:row>
    <x:row r="22" ht="24" customHeight="1">
      <x:c r="A22" s="2" t="str">
        <x:v>总能耗/kWh</x:v>
      </x:c>
      <x:c r="B22" s="12" t="n">
        <x:f>SUM('任务明细'!K5:K28)</x:f>
        <x:v>66.44527328256848</x:v>
      </x:c>
      <x:c r="C22" s="12" t="n">
        <x:f>B22</x:f>
        <x:v>66.44527328256848</x:v>
      </x:c>
      <x:c r="D22" s="2"/>
      <x:c r="E22" s="2"/>
      <x:c r="F22" s="2"/>
      <x:c r="G22" s="2"/>
      <x:c r="H22" s="2"/>
      <x:c r="I22" s="2"/>
      <x:c r="J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2" t="str">
        <x:v>2组新增需求：C型运输无人机 +2；C型共享电池 +2。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3组新增机体：B型运输无人机 +2；C型运输无人机 +2；中继无人机 +1。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3组新增能源：B型共享电池 +2；C型共享电池 +2。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需补齐缺口后才能按第三问原时刻执行；表中未把待补资源当成现有库存。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严格口径保留本版第三问21个运输、3个中继架次及通信关系。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基线目录：question3_agent_update；分组见“Q4_分区配置”。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conditionalFormatting sqref="G5:G12">
    <x:cfRule type="cellIs" dxfId="0" priority="1" operator="greaterThan">
      <x:formula>0</x:formula>
    </x:cfRule>
  </x:conditionalFormatting>
  <x:conditionalFormatting sqref="J5:J12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4e7c183b1b49d0"/>
  </x:tableParts>
</x:worksheet>
</file>

<file path=xl/worksheets/sheet2.xml><?xml version="1.0" encoding="utf-8"?>
<x:worksheet xmlns:x="http://schemas.openxmlformats.org/spreadsheetml/2006/main">
  <x:sheetPr>
    <x:tabColor rgb="FF233B57"/>
  </x:sheetPr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5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4" hidden="0" customWidth="1"/>
    <x:col min="12" max="12" width="12" hidden="0" customWidth="1"/>
    <x:col min="13" max="13" width="11" hidden="0" customWidth="1"/>
    <x:col min="14" max="14" width="19" hidden="0" customWidth="1"/>
    <x:col min="15" max="15" width="19" hidden="0" customWidth="1"/>
    <x:col min="16" max="16" width="14" hidden="0" customWidth="1"/>
    <x:col min="17" max="17" width="14" hidden="0" customWidth="1"/>
  </x:cols>
  <x:sheetData>
    <x:row r="1" ht="38" customHeight="1">
      <x:c r="A1" s="8" t="str">
        <x:v>K（2或3）</x:v>
      </x:c>
      <x:c r="B1" s="8" t="str">
        <x:v>任务组编号</x:v>
      </x:c>
      <x:c r="C1" s="8" t="str">
        <x:v>服务区列表</x:v>
      </x:c>
      <x:c r="D1" s="8" t="str">
        <x:v>A型运输无人机数</x:v>
      </x:c>
      <x:c r="E1" s="8" t="str">
        <x:v>B型运输无人机数</x:v>
      </x:c>
      <x:c r="F1" s="8" t="str">
        <x:v>C型运输无人机数</x:v>
      </x:c>
      <x:c r="G1" s="8" t="str">
        <x:v>A型电池组数</x:v>
      </x:c>
      <x:c r="H1" s="8" t="str">
        <x:v>B型电池组数</x:v>
      </x:c>
      <x:c r="I1" s="8" t="str">
        <x:v>C型电池组数</x:v>
      </x:c>
      <x:c r="J1" s="8" t="str">
        <x:v>中继无人机数</x:v>
      </x:c>
      <x:c r="K1" s="8" t="str">
        <x:v>中继能源组件数</x:v>
      </x:c>
      <x:c r="L1" s="8" t="str">
        <x:v>运输架次数</x:v>
      </x:c>
      <x:c r="M1" s="8" t="str">
        <x:v>货箱数</x:v>
      </x:c>
      <x:c r="N1" s="8" t="str">
        <x:v>运输作业量/机·秒</x:v>
      </x:c>
      <x:c r="O1" s="8" t="str">
        <x:v>中继作业量/机·秒</x:v>
      </x:c>
      <x:c r="P1" s="8" t="str">
        <x:v>保障人口/人</x:v>
      </x:c>
      <x:c r="Q1" s="8" t="str">
        <x:v>货箱质量/kg</x:v>
      </x:c>
    </x:row>
    <x:row r="2" ht="56" customHeight="1">
      <x:c r="A2" s="18" t="n">
        <x:v>2</x:v>
      </x:c>
      <x:c r="B2" s="2" t="str">
        <x:v>G1</x:v>
      </x:c>
      <x:c r="C2" s="15" t="str">
        <x:v>S001</x:v>
      </x:c>
      <x:c r="D2" s="20" t="n">
        <x:v>0</x:v>
      </x:c>
      <x:c r="E2" s="20" t="n">
        <x:v>0</x:v>
      </x:c>
      <x:c r="F2" s="20" t="n">
        <x:v>2</x:v>
      </x:c>
      <x:c r="G2" s="20" t="n">
        <x:v>0</x:v>
      </x:c>
      <x:c r="H2" s="20" t="n">
        <x:v>0</x:v>
      </x:c>
      <x:c r="I2" s="20" t="n">
        <x:v>2</x:v>
      </x:c>
      <x:c r="J2" s="20" t="n">
        <x:v>0</x:v>
      </x:c>
      <x:c r="K2" s="20" t="n">
        <x:v>0</x:v>
      </x:c>
      <x:c r="L2" s="20" t="n">
        <x:f>COUNTIFS('任务明细'!$A$5:$A$28,"运输",'任务明细'!$E$5:$E$28,B2)</x:f>
        <x:v>2</x:v>
      </x:c>
      <x:c r="M2" s="20" t="n">
        <x:f>SUMIFS('任务明细'!$G$5:$G$28,'任务明细'!$A$5:$A$28,"运输",'任务明细'!$E$5:$E$28,B2)</x:f>
        <x:v>15</x:v>
      </x:c>
      <x:c r="N2" s="10" t="n">
        <x:f>SUMIFS('任务明细'!$J$5:$J$28,'任务明细'!$A$5:$A$28,"运输",'任务明细'!$E$5:$E$28,B2)</x:f>
        <x:v>3186.352</x:v>
      </x:c>
      <x:c r="O2" s="10" t="n">
        <x:f>SUMIFS('任务明细'!$J$5:$J$28,'任务明细'!$A$5:$A$28,"中继",'任务明细'!$E$5:$E$28,B2)</x:f>
        <x:v>0</x:v>
      </x:c>
      <x:c r="P2" s="20" t="n">
        <x:v>2100</x:v>
      </x:c>
      <x:c r="Q2" s="20" t="n">
        <x:v>154</x:v>
      </x:c>
    </x:row>
    <x:row r="3" ht="56" customHeight="1">
      <x:c r="A3" s="16" t="n">
        <x:v>2</x:v>
      </x:c>
      <x:c r="B3" s="16" t="str">
        <x:v>G2</x:v>
      </x:c>
      <x:c r="C3" s="17" t="str">
        <x:v>S002、S003、S004、S005、S006、S007
S008、S009、S010、S011、S012、S013
S014、S015</x:v>
      </x:c>
      <x:c r="D3" s="21" t="n">
        <x:v>4</x:v>
      </x:c>
      <x:c r="E3" s="21" t="n">
        <x:v>2</x:v>
      </x:c>
      <x:c r="F3" s="21" t="n">
        <x:v>2</x:v>
      </x:c>
      <x:c r="G3" s="21" t="n">
        <x:v>6</x:v>
      </x:c>
      <x:c r="H3" s="21" t="n">
        <x:v>4</x:v>
      </x:c>
      <x:c r="I3" s="21" t="n">
        <x:v>4</x:v>
      </x:c>
      <x:c r="J3" s="21" t="n">
        <x:v>2</x:v>
      </x:c>
      <x:c r="K3" s="21" t="n">
        <x:v>3</x:v>
      </x:c>
      <x:c r="L3" s="21" t="n">
        <x:f>COUNTIFS('任务明细'!$A$5:$A$28,"运输",'任务明细'!$E$5:$E$28,B3)</x:f>
        <x:v>19</x:v>
      </x:c>
      <x:c r="M3" s="21" t="n">
        <x:f>SUMIFS('任务明细'!$G$5:$G$28,'任务明细'!$A$5:$A$28,"运输",'任务明细'!$E$5:$E$28,B3)</x:f>
        <x:v>65</x:v>
      </x:c>
      <x:c r="N3" s="19" t="n">
        <x:f>SUMIFS('任务明细'!$J$5:$J$28,'任务明细'!$A$5:$A$28,"运输",'任务明细'!$E$5:$E$28,B3)</x:f>
        <x:v>37256.94</x:v>
      </x:c>
      <x:c r="O3" s="19" t="n">
        <x:f>SUMIFS('任务明细'!$J$5:$J$28,'任务明细'!$A$5:$A$28,"中继",'任务明细'!$E$5:$E$28,B3)</x:f>
        <x:v>8526.432</x:v>
      </x:c>
      <x:c r="P3" s="21" t="n">
        <x:v>1322</x:v>
      </x:c>
      <x:c r="Q3" s="21" t="n">
        <x:v>604</x:v>
      </x:c>
    </x:row>
    <x:row r="4" ht="56" customHeight="1">
      <x:c r="A4" s="2" t="n">
        <x:v>3</x:v>
      </x:c>
      <x:c r="B4" s="2" t="str">
        <x:v>G1</x:v>
      </x:c>
      <x:c r="C4" s="15" t="str">
        <x:v>S001</x:v>
      </x:c>
      <x:c r="D4" s="20" t="n">
        <x:v>0</x:v>
      </x:c>
      <x:c r="E4" s="20" t="n">
        <x:v>0</x:v>
      </x:c>
      <x:c r="F4" s="20" t="n">
        <x:v>2</x:v>
      </x:c>
      <x:c r="G4" s="20" t="n">
        <x:v>0</x:v>
      </x:c>
      <x:c r="H4" s="20" t="n">
        <x:v>0</x:v>
      </x:c>
      <x:c r="I4" s="20" t="n">
        <x:v>2</x:v>
      </x:c>
      <x:c r="J4" s="20" t="n">
        <x:v>0</x:v>
      </x:c>
      <x:c r="K4" s="20" t="n">
        <x:v>0</x:v>
      </x:c>
      <x:c r="L4" s="20" t="n">
        <x:f>COUNTIFS('任务明细'!$A$5:$A$28,"运输",'任务明细'!$F$5:$F$28,B4)</x:f>
        <x:v>2</x:v>
      </x:c>
      <x:c r="M4" s="20" t="n">
        <x:f>SUMIFS('任务明细'!$G$5:$G$28,'任务明细'!$A$5:$A$28,"运输",'任务明细'!$F$5:$F$28,B4)</x:f>
        <x:v>15</x:v>
      </x:c>
      <x:c r="N4" s="10" t="n">
        <x:f>SUMIFS('任务明细'!$J$5:$J$28,'任务明细'!$A$5:$A$28,"运输",'任务明细'!$F$5:$F$28,B4)</x:f>
        <x:v>3186.352</x:v>
      </x:c>
      <x:c r="O4" s="10" t="n">
        <x:f>SUMIFS('任务明细'!$J$5:$J$28,'任务明细'!$A$5:$A$28,"中继",'任务明细'!$F$5:$F$28,B4)</x:f>
        <x:v>0</x:v>
      </x:c>
      <x:c r="P4" s="20" t="n">
        <x:v>2100</x:v>
      </x:c>
      <x:c r="Q4" s="20" t="n">
        <x:v>154</x:v>
      </x:c>
    </x:row>
    <x:row r="5" ht="56" customHeight="1">
      <x:c r="A5" s="9" t="n">
        <x:v>3</x:v>
      </x:c>
      <x:c r="B5" s="9" t="str">
        <x:v>G2</x:v>
      </x:c>
      <x:c r="C5" s="14" t="str">
        <x:v>S002、S003、S004、S005、S006、S007
S008、S009、S011、S012、S013、S015</x:v>
      </x:c>
      <x:c r="D5" s="22" t="n">
        <x:v>4</x:v>
      </x:c>
      <x:c r="E5" s="22" t="n">
        <x:v>2</x:v>
      </x:c>
      <x:c r="F5" s="22" t="n">
        <x:v>2</x:v>
      </x:c>
      <x:c r="G5" s="22" t="n">
        <x:v>6</x:v>
      </x:c>
      <x:c r="H5" s="22" t="n">
        <x:v>4</x:v>
      </x:c>
      <x:c r="I5" s="22" t="n">
        <x:v>4</x:v>
      </x:c>
      <x:c r="J5" s="22" t="n">
        <x:v>2</x:v>
      </x:c>
      <x:c r="K5" s="22" t="n">
        <x:v>2</x:v>
      </x:c>
      <x:c r="L5" s="22" t="n">
        <x:f>COUNTIFS('任务明细'!$A$5:$A$28,"运输",'任务明细'!$F$5:$F$28,B5)</x:f>
        <x:v>17</x:v>
      </x:c>
      <x:c r="M5" s="22" t="n">
        <x:f>SUMIFS('任务明细'!$G$5:$G$28,'任务明细'!$A$5:$A$28,"运输",'任务明细'!$F$5:$F$28,B5)</x:f>
        <x:v>59</x:v>
      </x:c>
      <x:c r="N5" s="11" t="n">
        <x:f>SUMIFS('任务明细'!$J$5:$J$28,'任务明细'!$A$5:$A$28,"运输",'任务明细'!$F$5:$F$28,B5)</x:f>
        <x:v>33831.786</x:v>
      </x:c>
      <x:c r="O5" s="11" t="n">
        <x:f>SUMIFS('任务明细'!$J$5:$J$28,'任务明细'!$A$5:$A$28,"中继",'任务明细'!$F$5:$F$28,B5)</x:f>
        <x:v>6874.56</x:v>
      </x:c>
      <x:c r="P5" s="22" t="n">
        <x:v>1279</x:v>
      </x:c>
      <x:c r="Q5" s="22" t="n">
        <x:v>554</x:v>
      </x:c>
    </x:row>
    <x:row r="6" ht="56" customHeight="1">
      <x:c r="A6" s="2" t="n">
        <x:v>3</x:v>
      </x:c>
      <x:c r="B6" s="2" t="str">
        <x:v>G3</x:v>
      </x:c>
      <x:c r="C6" s="15" t="str">
        <x:v>S010、S014</x:v>
      </x:c>
      <x:c r="D6" s="20" t="n">
        <x:v>0</x:v>
      </x:c>
      <x:c r="E6" s="20" t="n">
        <x:v>2</x:v>
      </x:c>
      <x:c r="F6" s="20" t="n">
        <x:v>0</x:v>
      </x:c>
      <x:c r="G6" s="20" t="n">
        <x:v>0</x:v>
      </x:c>
      <x:c r="H6" s="20" t="n">
        <x:v>2</x:v>
      </x:c>
      <x:c r="I6" s="20" t="n">
        <x:v>0</x:v>
      </x:c>
      <x:c r="J6" s="20" t="n">
        <x:v>1</x:v>
      </x:c>
      <x:c r="K6" s="20" t="n">
        <x:v>1</x:v>
      </x:c>
      <x:c r="L6" s="20" t="n">
        <x:f>COUNTIFS('任务明细'!$A$5:$A$28,"运输",'任务明细'!$F$5:$F$28,B6)</x:f>
        <x:v>2</x:v>
      </x:c>
      <x:c r="M6" s="20" t="n">
        <x:f>SUMIFS('任务明细'!$G$5:$G$28,'任务明细'!$A$5:$A$28,"运输",'任务明细'!$F$5:$F$28,B6)</x:f>
        <x:v>6</x:v>
      </x:c>
      <x:c r="N6" s="10" t="n">
        <x:f>SUMIFS('任务明细'!$J$5:$J$28,'任务明细'!$A$5:$A$28,"运输",'任务明细'!$F$5:$F$28,B6)</x:f>
        <x:v>3425.154</x:v>
      </x:c>
      <x:c r="O6" s="10" t="n">
        <x:f>SUMIFS('任务明细'!$J$5:$J$28,'任务明细'!$A$5:$A$28,"中继",'任务明细'!$F$5:$F$28,B6)</x:f>
        <x:v>1651.872</x:v>
      </x:c>
      <x:c r="P6" s="20" t="n">
        <x:v>43</x:v>
      </x:c>
      <x:c r="Q6" s="20" t="n">
        <x:v>50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2" t="str">
        <x:v>主口径：原中继架次不拆分、不复制。资源缺口见“结果比较”。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4" customHeight="1">
      <x:c r="A9" s="2" t="str">
        <x:v>前11列与题给Q4提交模板一致；原模板文件未改。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</x:sheetData>
  <x:pageMargins left="0.7" right="0.7" top="0.75" bottom="0.75" header="0.3" footer="0.3"/>
  <x:tableParts count="1">
    <x:tablePart xmlns:r="http://schemas.openxmlformats.org/officeDocument/2006/relationships" r:id="Rb2ed01bb7a8d41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45" hidden="0" customWidth="1"/>
    <x:col min="4" max="4" width="9" hidden="0" customWidth="1"/>
    <x:col min="5" max="5" width="12" hidden="0" customWidth="1"/>
    <x:col min="6" max="6" width="12" hidden="0" customWidth="1"/>
    <x:col min="7" max="7" width="9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第三问固定任务与两套分组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8" customHeight="1">
      <x:c r="A4" s="8" t="str">
        <x:v>类别</x:v>
      </x:c>
      <x:c r="B4" s="8" t="str">
        <x:v>任务编号</x:v>
      </x:c>
      <x:c r="C4" s="8" t="str">
        <x:v>访问顺序或保障任务</x:v>
      </x:c>
      <x:c r="D4" s="8" t="str">
        <x:v>机型</x:v>
      </x:c>
      <x:c r="E4" s="8" t="str">
        <x:v>2组归属</x:v>
      </x:c>
      <x:c r="F4" s="8" t="str">
        <x:v>3组归属</x:v>
      </x:c>
      <x:c r="G4" s="8" t="str">
        <x:v>货箱数</x:v>
      </x:c>
      <x:c r="H4" s="8" t="str">
        <x:v>准备开始/s</x:v>
      </x:c>
      <x:c r="I4" s="8" t="str">
        <x:v>返航/s</x:v>
      </x:c>
      <x:c r="J4" s="8" t="str">
        <x:v>作业量/机·秒</x:v>
      </x:c>
      <x:c r="K4" s="8" t="str">
        <x:v>能耗/kWh</x:v>
      </x:c>
      <x:c r="L4" s="8" t="str">
        <x:v>实际中继</x:v>
      </x:c>
    </x:row>
    <x:row r="5" ht="24" customHeight="1">
      <x:c r="A5" s="2" t="str">
        <x:v>运输</x:v>
      </x:c>
      <x:c r="B5" s="2" t="str">
        <x:v>T001</x:v>
      </x:c>
      <x:c r="C5" s="2" t="str">
        <x:v>S006</x:v>
      </x:c>
      <x:c r="D5" s="2" t="str">
        <x:v>A</x:v>
      </x:c>
      <x:c r="E5" s="2" t="str">
        <x:v>G2</x:v>
      </x:c>
      <x:c r="F5" s="2" t="str">
        <x:v>G2</x:v>
      </x:c>
      <x:c r="G5" s="2" t="n">
        <x:v>2</x:v>
      </x:c>
      <x:c r="H5" s="10" t="n">
        <x:v>0</x:v>
      </x:c>
      <x:c r="I5" s="10" t="n">
        <x:v>1313.477</x:v>
      </x:c>
      <x:c r="J5" s="10" t="n">
        <x:f>ROUND(I5-H5,3)</x:f>
        <x:v>1313.477</x:v>
      </x:c>
      <x:c r="K5" s="12" t="n">
        <x:v>1.3570116703911381</x:v>
      </x:c>
      <x:c r="L5" s="2" t="str">
        <x:v>直连</x:v>
      </x:c>
    </x:row>
    <x:row r="6" ht="24" customHeight="1">
      <x:c r="A6" s="9" t="str">
        <x:v>运输</x:v>
      </x:c>
      <x:c r="B6" s="9" t="str">
        <x:v>T002</x:v>
      </x:c>
      <x:c r="C6" s="9" t="str">
        <x:v>S014</x:v>
      </x:c>
      <x:c r="D6" s="9" t="str">
        <x:v>B</x:v>
      </x:c>
      <x:c r="E6" s="9" t="str">
        <x:v>G2</x:v>
      </x:c>
      <x:c r="F6" s="9" t="str">
        <x:v>G3</x:v>
      </x:c>
      <x:c r="G6" s="9" t="n">
        <x:v>3</x:v>
      </x:c>
      <x:c r="H6" s="11" t="n">
        <x:v>0</x:v>
      </x:c>
      <x:c r="I6" s="11" t="n">
        <x:v>1869.749</x:v>
      </x:c>
      <x:c r="J6" s="11" t="n">
        <x:f>ROUND(I6-H6,3)</x:f>
        <x:v>1869.749</x:v>
      </x:c>
      <x:c r="K6" s="13" t="n">
        <x:v>2.1402909781417883</x:v>
      </x:c>
      <x:c r="L6" s="9" t="str">
        <x:v>R001</x:v>
      </x:c>
    </x:row>
    <x:row r="7" ht="24" customHeight="1">
      <x:c r="A7" s="2" t="str">
        <x:v>运输</x:v>
      </x:c>
      <x:c r="B7" s="2" t="str">
        <x:v>T003</x:v>
      </x:c>
      <x:c r="C7" s="2" t="str">
        <x:v>S010</x:v>
      </x:c>
      <x:c r="D7" s="2" t="str">
        <x:v>B</x:v>
      </x:c>
      <x:c r="E7" s="2" t="str">
        <x:v>G2</x:v>
      </x:c>
      <x:c r="F7" s="2" t="str">
        <x:v>G3</x:v>
      </x:c>
      <x:c r="G7" s="2" t="n">
        <x:v>3</x:v>
      </x:c>
      <x:c r="H7" s="10" t="n">
        <x:v>0</x:v>
      </x:c>
      <x:c r="I7" s="10" t="n">
        <x:v>1555.405</x:v>
      </x:c>
      <x:c r="J7" s="10" t="n">
        <x:f>ROUND(I7-H7,3)</x:f>
        <x:v>1555.405</x:v>
      </x:c>
      <x:c r="K7" s="12" t="n">
        <x:v>1.823216564231414</x:v>
      </x:c>
      <x:c r="L7" s="2" t="str">
        <x:v>R001</x:v>
      </x:c>
    </x:row>
    <x:row r="8" ht="24" customHeight="1">
      <x:c r="A8" s="9" t="str">
        <x:v>运输</x:v>
      </x:c>
      <x:c r="B8" s="9" t="str">
        <x:v>T004</x:v>
      </x:c>
      <x:c r="C8" s="9" t="str">
        <x:v>S001</x:v>
      </x:c>
      <x:c r="D8" s="9" t="str">
        <x:v>C</x:v>
      </x:c>
      <x:c r="E8" s="9" t="str">
        <x:v>G1</x:v>
      </x:c>
      <x:c r="F8" s="9" t="str">
        <x:v>G1</x:v>
      </x:c>
      <x:c r="G8" s="9" t="n">
        <x:v>9</x:v>
      </x:c>
      <x:c r="H8" s="11" t="n">
        <x:v>0</x:v>
      </x:c>
      <x:c r="I8" s="11" t="n">
        <x:v>1692.176</x:v>
      </x:c>
      <x:c r="J8" s="11" t="n">
        <x:f>ROUND(I8-H8,3)</x:f>
        <x:v>1692.176</x:v>
      </x:c>
      <x:c r="K8" s="13" t="n">
        <x:v>2.9175880955868267</x:v>
      </x:c>
      <x:c r="L8" s="9" t="str">
        <x:v>直连</x:v>
      </x:c>
    </x:row>
    <x:row r="9" ht="24" customHeight="1">
      <x:c r="A9" s="2" t="str">
        <x:v>运输</x:v>
      </x:c>
      <x:c r="B9" s="2" t="str">
        <x:v>T005</x:v>
      </x:c>
      <x:c r="C9" s="2" t="str">
        <x:v>S001</x:v>
      </x:c>
      <x:c r="D9" s="2" t="str">
        <x:v>C</x:v>
      </x:c>
      <x:c r="E9" s="2" t="str">
        <x:v>G1</x:v>
      </x:c>
      <x:c r="F9" s="2" t="str">
        <x:v>G1</x:v>
      </x:c>
      <x:c r="G9" s="2" t="n">
        <x:v>6</x:v>
      </x:c>
      <x:c r="H9" s="10" t="n">
        <x:v>0</x:v>
      </x:c>
      <x:c r="I9" s="10" t="n">
        <x:v>1494.176</x:v>
      </x:c>
      <x:c r="J9" s="10" t="n">
        <x:f>ROUND(I9-H9,3)</x:f>
        <x:v>1494.176</x:v>
      </x:c>
      <x:c r="K9" s="12" t="n">
        <x:v>2.995775804904669</x:v>
      </x:c>
      <x:c r="L9" s="2" t="str">
        <x:v>直连</x:v>
      </x:c>
    </x:row>
    <x:row r="10" ht="24" customHeight="1">
      <x:c r="A10" s="9" t="str">
        <x:v>运输</x:v>
      </x:c>
      <x:c r="B10" s="9" t="str">
        <x:v>T006</x:v>
      </x:c>
      <x:c r="C10" s="9" t="str">
        <x:v>S002</x:v>
      </x:c>
      <x:c r="D10" s="9" t="str">
        <x:v>C</x:v>
      </x:c>
      <x:c r="E10" s="9" t="str">
        <x:v>G2</x:v>
      </x:c>
      <x:c r="F10" s="9" t="str">
        <x:v>G2</x:v>
      </x:c>
      <x:c r="G10" s="9" t="n">
        <x:v>7</x:v>
      </x:c>
      <x:c r="H10" s="11" t="n">
        <x:v>1494.177</x:v>
      </x:c>
      <x:c r="I10" s="11" t="n">
        <x:v>3668.021</x:v>
      </x:c>
      <x:c r="J10" s="11" t="n">
        <x:f>ROUND(I10-H10,3)</x:f>
        <x:v>2173.844</x:v>
      </x:c>
      <x:c r="K10" s="13" t="n">
        <x:v>6.280970256414267</x:v>
      </x:c>
      <x:c r="L10" s="9" t="str">
        <x:v>R002</x:v>
      </x:c>
    </x:row>
    <x:row r="11" ht="24" customHeight="1">
      <x:c r="A11" s="2" t="str">
        <x:v>运输</x:v>
      </x:c>
      <x:c r="B11" s="2" t="str">
        <x:v>T007</x:v>
      </x:c>
      <x:c r="C11" s="2" t="str">
        <x:v>S006</x:v>
      </x:c>
      <x:c r="D11" s="2" t="str">
        <x:v>B</x:v>
      </x:c>
      <x:c r="E11" s="2" t="str">
        <x:v>G2</x:v>
      </x:c>
      <x:c r="F11" s="2" t="str">
        <x:v>G2</x:v>
      </x:c>
      <x:c r="G11" s="2" t="n">
        <x:v>2</x:v>
      </x:c>
      <x:c r="H11" s="10" t="n">
        <x:v>1555.405</x:v>
      </x:c>
      <x:c r="I11" s="10" t="n">
        <x:v>2762.676</x:v>
      </x:c>
      <x:c r="J11" s="10" t="n">
        <x:f>ROUND(I11-H11,3)</x:f>
        <x:v>1207.271</x:v>
      </x:c>
      <x:c r="K11" s="12" t="n">
        <x:v>1.2935179229261098</x:v>
      </x:c>
      <x:c r="L11" s="2" t="str">
        <x:v>直连</x:v>
      </x:c>
    </x:row>
    <x:row r="12" ht="24" customHeight="1">
      <x:c r="A12" s="9" t="str">
        <x:v>运输</x:v>
      </x:c>
      <x:c r="B12" s="9" t="str">
        <x:v>T008</x:v>
      </x:c>
      <x:c r="C12" s="9" t="str">
        <x:v>S013 → S002 → S009</x:v>
      </x:c>
      <x:c r="D12" s="9" t="str">
        <x:v>A</x:v>
      </x:c>
      <x:c r="E12" s="9" t="str">
        <x:v>G2</x:v>
      </x:c>
      <x:c r="F12" s="9" t="str">
        <x:v>G2</x:v>
      </x:c>
      <x:c r="G12" s="9" t="n">
        <x:v>3</x:v>
      </x:c>
      <x:c r="H12" s="11" t="n">
        <x:v>1641.16</x:v>
      </x:c>
      <x:c r="I12" s="11" t="n">
        <x:v>4316.739</x:v>
      </x:c>
      <x:c r="J12" s="11" t="n">
        <x:f>ROUND(I12-H12,3)</x:f>
        <x:v>2675.579</x:v>
      </x:c>
      <x:c r="K12" s="13" t="n">
        <x:v>3.4267843211779936</x:v>
      </x:c>
      <x:c r="L12" s="9" t="str">
        <x:v>R002、R003</x:v>
      </x:c>
    </x:row>
    <x:row r="13" ht="24" customHeight="1">
      <x:c r="A13" s="2" t="str">
        <x:v>运输</x:v>
      </x:c>
      <x:c r="B13" s="2" t="str">
        <x:v>T009</x:v>
      </x:c>
      <x:c r="C13" s="2" t="str">
        <x:v>S013</x:v>
      </x:c>
      <x:c r="D13" s="2" t="str">
        <x:v>A</x:v>
      </x:c>
      <x:c r="E13" s="2" t="str">
        <x:v>G2</x:v>
      </x:c>
      <x:c r="F13" s="2" t="str">
        <x:v>G2</x:v>
      </x:c>
      <x:c r="G13" s="2" t="n">
        <x:v>2</x:v>
      </x:c>
      <x:c r="H13" s="10" t="n">
        <x:v>1671.16</x:v>
      </x:c>
      <x:c r="I13" s="10" t="n">
        <x:v>3283.324</x:v>
      </x:c>
      <x:c r="J13" s="10" t="n">
        <x:f>ROUND(I13-H13,3)</x:f>
        <x:v>1612.164</x:v>
      </x:c>
      <x:c r="K13" s="12" t="n">
        <x:v>2.0255255619357206</x:v>
      </x:c>
      <x:c r="L13" s="2" t="str">
        <x:v>R002</x:v>
      </x:c>
    </x:row>
    <x:row r="14" ht="24" customHeight="1">
      <x:c r="A14" s="9" t="str">
        <x:v>运输</x:v>
      </x:c>
      <x:c r="B14" s="9" t="str">
        <x:v>T010</x:v>
      </x:c>
      <x:c r="C14" s="9" t="str">
        <x:v>S004</x:v>
      </x:c>
      <x:c r="D14" s="9" t="str">
        <x:v>C</x:v>
      </x:c>
      <x:c r="E14" s="9" t="str">
        <x:v>G2</x:v>
      </x:c>
      <x:c r="F14" s="9" t="str">
        <x:v>G2</x:v>
      </x:c>
      <x:c r="G14" s="9" t="n">
        <x:v>6</x:v>
      </x:c>
      <x:c r="H14" s="11" t="n">
        <x:v>1692.176</x:v>
      </x:c>
      <x:c r="I14" s="11" t="n">
        <x:v>3993.232</x:v>
      </x:c>
      <x:c r="J14" s="11" t="n">
        <x:f>ROUND(I14-H14,3)</x:f>
        <x:v>2301.056</x:v>
      </x:c>
      <x:c r="K14" s="13" t="n">
        <x:v>6.152860129174583</x:v>
      </x:c>
      <x:c r="L14" s="9" t="str">
        <x:v>R002</x:v>
      </x:c>
    </x:row>
    <x:row r="15" ht="24" customHeight="1">
      <x:c r="A15" s="2" t="str">
        <x:v>运输</x:v>
      </x:c>
      <x:c r="B15" s="2" t="str">
        <x:v>T011</x:v>
      </x:c>
      <x:c r="C15" s="2" t="str">
        <x:v>S006 → S007</x:v>
      </x:c>
      <x:c r="D15" s="2" t="str">
        <x:v>A</x:v>
      </x:c>
      <x:c r="E15" s="2" t="str">
        <x:v>G2</x:v>
      </x:c>
      <x:c r="F15" s="2" t="str">
        <x:v>G2</x:v>
      </x:c>
      <x:c r="G15" s="2" t="n">
        <x:v>3</x:v>
      </x:c>
      <x:c r="H15" s="10" t="n">
        <x:v>1844.884</x:v>
      </x:c>
      <x:c r="I15" s="10" t="n">
        <x:v>3974.033</x:v>
      </x:c>
      <x:c r="J15" s="10" t="n">
        <x:f>ROUND(I15-H15,3)</x:f>
        <x:v>2129.149</x:v>
      </x:c>
      <x:c r="K15" s="12" t="n">
        <x:v>2.20907382605914</x:v>
      </x:c>
      <x:c r="L15" s="2" t="str">
        <x:v>R003</x:v>
      </x:c>
    </x:row>
    <x:row r="16" ht="24" customHeight="1">
      <x:c r="A16" s="9" t="str">
        <x:v>运输</x:v>
      </x:c>
      <x:c r="B16" s="9" t="str">
        <x:v>T012</x:v>
      </x:c>
      <x:c r="C16" s="9" t="str">
        <x:v>S012</x:v>
      </x:c>
      <x:c r="D16" s="9" t="str">
        <x:v>B</x:v>
      </x:c>
      <x:c r="E16" s="9" t="str">
        <x:v>G2</x:v>
      </x:c>
      <x:c r="F16" s="9" t="str">
        <x:v>G2</x:v>
      </x:c>
      <x:c r="G16" s="9" t="n">
        <x:v>3</x:v>
      </x:c>
      <x:c r="H16" s="11" t="n">
        <x:v>1869.749</x:v>
      </x:c>
      <x:c r="I16" s="11" t="n">
        <x:v>3792.577</x:v>
      </x:c>
      <x:c r="J16" s="11" t="n">
        <x:f>ROUND(I16-H16,3)</x:f>
        <x:v>1922.828</x:v>
      </x:c>
      <x:c r="K16" s="13" t="n">
        <x:v>2.7525999542899324</x:v>
      </x:c>
      <x:c r="L16" s="9" t="str">
        <x:v>R002</x:v>
      </x:c>
    </x:row>
    <x:row r="17" ht="24" customHeight="1">
      <x:c r="A17" s="2" t="str">
        <x:v>运输</x:v>
      </x:c>
      <x:c r="B17" s="2" t="str">
        <x:v>T013</x:v>
      </x:c>
      <x:c r="C17" s="2" t="str">
        <x:v>S007</x:v>
      </x:c>
      <x:c r="D17" s="2" t="str">
        <x:v>A</x:v>
      </x:c>
      <x:c r="E17" s="2" t="str">
        <x:v>G2</x:v>
      </x:c>
      <x:c r="F17" s="2" t="str">
        <x:v>G2</x:v>
      </x:c>
      <x:c r="G17" s="2" t="n">
        <x:v>2</x:v>
      </x:c>
      <x:c r="H17" s="10" t="n">
        <x:v>2488.626</x:v>
      </x:c>
      <x:c r="I17" s="10" t="n">
        <x:v>4216.094</x:v>
      </x:c>
      <x:c r="J17" s="10" t="n">
        <x:f>ROUND(I17-H17,3)</x:f>
        <x:v>1727.468</x:v>
      </x:c>
      <x:c r="K17" s="12" t="n">
        <x:v>1.9709635056721377</x:v>
      </x:c>
      <x:c r="L17" s="2" t="str">
        <x:v>R003</x:v>
      </x:c>
    </x:row>
    <x:row r="18" ht="24" customHeight="1">
      <x:c r="A18" s="9" t="str">
        <x:v>运输</x:v>
      </x:c>
      <x:c r="B18" s="9" t="str">
        <x:v>T014</x:v>
      </x:c>
      <x:c r="C18" s="9" t="str">
        <x:v>S008</x:v>
      </x:c>
      <x:c r="D18" s="9" t="str">
        <x:v>B</x:v>
      </x:c>
      <x:c r="E18" s="9" t="str">
        <x:v>G2</x:v>
      </x:c>
      <x:c r="F18" s="9" t="str">
        <x:v>G2</x:v>
      </x:c>
      <x:c r="G18" s="9" t="n">
        <x:v>2</x:v>
      </x:c>
      <x:c r="H18" s="11" t="n">
        <x:v>3012.133</x:v>
      </x:c>
      <x:c r="I18" s="11" t="n">
        <x:v>4913.976</x:v>
      </x:c>
      <x:c r="J18" s="11" t="n">
        <x:f>ROUND(I18-H18,3)</x:f>
        <x:v>1901.843</x:v>
      </x:c>
      <x:c r="K18" s="13" t="n">
        <x:v>2.7634312052333714</x:v>
      </x:c>
      <x:c r="L18" s="9" t="str">
        <x:v>R003</x:v>
      </x:c>
    </x:row>
    <x:row r="19" ht="24" customHeight="1">
      <x:c r="A19" s="2" t="str">
        <x:v>运输</x:v>
      </x:c>
      <x:c r="B19" s="2" t="str">
        <x:v>T015</x:v>
      </x:c>
      <x:c r="C19" s="2" t="str">
        <x:v>S003 → S015</x:v>
      </x:c>
      <x:c r="D19" s="2" t="str">
        <x:v>A</x:v>
      </x:c>
      <x:c r="E19" s="2" t="str">
        <x:v>G2</x:v>
      </x:c>
      <x:c r="F19" s="2" t="str">
        <x:v>G2</x:v>
      </x:c>
      <x:c r="G19" s="2" t="n">
        <x:v>3</x:v>
      </x:c>
      <x:c r="H19" s="10" t="n">
        <x:v>3283.324</x:v>
      </x:c>
      <x:c r="I19" s="10" t="n">
        <x:v>5886.793</x:v>
      </x:c>
      <x:c r="J19" s="10" t="n">
        <x:f>ROUND(I19-H19,3)</x:f>
        <x:v>2603.469</x:v>
      </x:c>
      <x:c r="K19" s="12" t="n">
        <x:v>3.2974580584469555</x:v>
      </x:c>
      <x:c r="L19" s="2" t="str">
        <x:v>R003</x:v>
      </x:c>
    </x:row>
    <x:row r="20" ht="24" customHeight="1">
      <x:c r="A20" s="9" t="str">
        <x:v>运输</x:v>
      </x:c>
      <x:c r="B20" s="9" t="str">
        <x:v>T016</x:v>
      </x:c>
      <x:c r="C20" s="9" t="str">
        <x:v>S007 → S003</x:v>
      </x:c>
      <x:c r="D20" s="9" t="str">
        <x:v>C</x:v>
      </x:c>
      <x:c r="E20" s="9" t="str">
        <x:v>G2</x:v>
      </x:c>
      <x:c r="F20" s="9" t="str">
        <x:v>G2</x:v>
      </x:c>
      <x:c r="G20" s="9" t="n">
        <x:v>7</x:v>
      </x:c>
      <x:c r="H20" s="11" t="n">
        <x:v>3668.021</x:v>
      </x:c>
      <x:c r="I20" s="11" t="n">
        <x:v>6361.703</x:v>
      </x:c>
      <x:c r="J20" s="11" t="n">
        <x:f>ROUND(I20-H20,3)</x:f>
        <x:v>2693.682</x:v>
      </x:c>
      <x:c r="K20" s="13" t="n">
        <x:v>6.39266312398181</x:v>
      </x:c>
      <x:c r="L20" s="9" t="str">
        <x:v>R003</x:v>
      </x:c>
    </x:row>
    <x:row r="21" ht="24" customHeight="1">
      <x:c r="A21" s="2" t="str">
        <x:v>运输</x:v>
      </x:c>
      <x:c r="B21" s="2" t="str">
        <x:v>T017</x:v>
      </x:c>
      <x:c r="C21" s="2" t="str">
        <x:v>S008</x:v>
      </x:c>
      <x:c r="D21" s="2" t="str">
        <x:v>B</x:v>
      </x:c>
      <x:c r="E21" s="2" t="str">
        <x:v>G2</x:v>
      </x:c>
      <x:c r="F21" s="2" t="str">
        <x:v>G2</x:v>
      </x:c>
      <x:c r="G21" s="2" t="n">
        <x:v>3</x:v>
      </x:c>
      <x:c r="H21" s="10" t="n">
        <x:v>3792.577</x:v>
      </x:c>
      <x:c r="I21" s="10" t="n">
        <x:v>5754.42</x:v>
      </x:c>
      <x:c r="J21" s="10" t="n">
        <x:f>ROUND(I21-H21,3)</x:f>
        <x:v>1961.843</x:v>
      </x:c>
      <x:c r="K21" s="12" t="n">
        <x:v>2.9752068745422333</x:v>
      </x:c>
      <x:c r="L21" s="2" t="str">
        <x:v>R003</x:v>
      </x:c>
    </x:row>
    <x:row r="22" ht="24" customHeight="1">
      <x:c r="A22" s="9" t="str">
        <x:v>运输</x:v>
      </x:c>
      <x:c r="B22" s="9" t="str">
        <x:v>T018</x:v>
      </x:c>
      <x:c r="C22" s="9" t="str">
        <x:v>S015</x:v>
      </x:c>
      <x:c r="D22" s="9" t="str">
        <x:v>A</x:v>
      </x:c>
      <x:c r="E22" s="9" t="str">
        <x:v>G2</x:v>
      </x:c>
      <x:c r="F22" s="9" t="str">
        <x:v>G2</x:v>
      </x:c>
      <x:c r="G22" s="9" t="n">
        <x:v>2</x:v>
      </x:c>
      <x:c r="H22" s="11" t="n">
        <x:v>3974.033</x:v>
      </x:c>
      <x:c r="I22" s="11" t="n">
        <x:v>5942.687</x:v>
      </x:c>
      <x:c r="J22" s="11" t="n">
        <x:f>ROUND(I22-H22,3)</x:f>
        <x:v>1968.654</x:v>
      </x:c>
      <x:c r="K22" s="13" t="n">
        <x:v>2.5577839515021354</x:v>
      </x:c>
      <x:c r="L22" s="9" t="str">
        <x:v>R003</x:v>
      </x:c>
    </x:row>
    <x:row r="23" ht="24" customHeight="1">
      <x:c r="A23" s="2" t="str">
        <x:v>运输</x:v>
      </x:c>
      <x:c r="B23" s="2" t="str">
        <x:v>T019</x:v>
      </x:c>
      <x:c r="C23" s="2" t="str">
        <x:v>S005 → S011</x:v>
      </x:c>
      <x:c r="D23" s="2" t="str">
        <x:v>C</x:v>
      </x:c>
      <x:c r="E23" s="2" t="str">
        <x:v>G2</x:v>
      </x:c>
      <x:c r="F23" s="2" t="str">
        <x:v>G2</x:v>
      </x:c>
      <x:c r="G23" s="2" t="n">
        <x:v>8</x:v>
      </x:c>
      <x:c r="H23" s="10" t="n">
        <x:v>3993.232</x:v>
      </x:c>
      <x:c r="I23" s="10" t="n">
        <x:v>6298.4</x:v>
      </x:c>
      <x:c r="J23" s="10" t="n">
        <x:f>ROUND(I23-H23,3)</x:f>
        <x:v>2305.168</x:v>
      </x:c>
      <x:c r="K23" s="12" t="n">
        <x:v>4.829837032987866</x:v>
      </x:c>
      <x:c r="L23" s="2" t="str">
        <x:v>R003</x:v>
      </x:c>
    </x:row>
    <x:row r="24" ht="24" customHeight="1">
      <x:c r="A24" s="9" t="str">
        <x:v>运输</x:v>
      </x:c>
      <x:c r="B24" s="9" t="str">
        <x:v>T020</x:v>
      </x:c>
      <x:c r="C24" s="9" t="str">
        <x:v>S009</x:v>
      </x:c>
      <x:c r="D24" s="9" t="str">
        <x:v>A</x:v>
      </x:c>
      <x:c r="E24" s="9" t="str">
        <x:v>G2</x:v>
      </x:c>
      <x:c r="F24" s="9" t="str">
        <x:v>G2</x:v>
      </x:c>
      <x:c r="G24" s="9" t="n">
        <x:v>2</x:v>
      </x:c>
      <x:c r="H24" s="11" t="n">
        <x:v>4368.478</x:v>
      </x:c>
      <x:c r="I24" s="11" t="n">
        <x:v>6057.118</x:v>
      </x:c>
      <x:c r="J24" s="11" t="n">
        <x:f>ROUND(I24-H24,3)</x:f>
        <x:v>1688.64</x:v>
      </x:c>
      <x:c r="K24" s="13" t="n">
        <x:v>2.331353700458349</x:v>
      </x:c>
      <x:c r="L24" s="9" t="str">
        <x:v>R003</x:v>
      </x:c>
    </x:row>
    <x:row r="25" ht="24" customHeight="1">
      <x:c r="A25" s="2" t="str">
        <x:v>运输</x:v>
      </x:c>
      <x:c r="B25" s="2" t="str">
        <x:v>T021</x:v>
      </x:c>
      <x:c r="C25" s="2" t="str">
        <x:v>S011 → S006</x:v>
      </x:c>
      <x:c r="D25" s="2" t="str">
        <x:v>B</x:v>
      </x:c>
      <x:c r="E25" s="2" t="str">
        <x:v>G2</x:v>
      </x:c>
      <x:c r="F25" s="2" t="str">
        <x:v>G2</x:v>
      </x:c>
      <x:c r="G25" s="2" t="n">
        <x:v>2</x:v>
      </x:c>
      <x:c r="H25" s="10" t="n">
        <x:v>4913.976</x:v>
      </x:c>
      <x:c r="I25" s="10" t="n">
        <x:v>6559.627</x:v>
      </x:c>
      <x:c r="J25" s="10" t="n">
        <x:f>ROUND(I25-H25,3)</x:f>
        <x:v>1645.651</x:v>
      </x:c>
      <x:c r="K25" s="12" t="n">
        <x:v>1.602056542336175</x:v>
      </x:c>
      <x:c r="L25" s="2" t="str">
        <x:v>直连</x:v>
      </x:c>
    </x:row>
    <x:row r="26" ht="56" customHeight="1">
      <x:c r="A26" s="9" t="str">
        <x:v>中继</x:v>
      </x:c>
      <x:c r="B26" s="9" t="str">
        <x:v>R001</x:v>
      </x:c>
      <x:c r="C26" s="14" t="str">
        <x:v>T002、T003</x:v>
      </x:c>
      <x:c r="D26" s="9" t="str">
        <x:v>R</x:v>
      </x:c>
      <x:c r="E26" s="9" t="str">
        <x:v>G2</x:v>
      </x:c>
      <x:c r="F26" s="9" t="str">
        <x:v>G3</x:v>
      </x:c>
      <x:c r="G26" s="9" t="n">
        <x:v>0</x:v>
      </x:c>
      <x:c r="H26" s="11" t="n">
        <x:v>194.652</x:v>
      </x:c>
      <x:c r="I26" s="11" t="n">
        <x:v>1846.524</x:v>
      </x:c>
      <x:c r="J26" s="11" t="n">
        <x:f>ROUND(I26-H26,3)</x:f>
        <x:v>1651.872</x:v>
      </x:c>
      <x:c r="K26" s="13" t="n">
        <x:v>0.4268116342539809</x:v>
      </x:c>
      <x:c r="L26" s="9" t="str">
        <x:v>站40</x:v>
      </x:c>
    </x:row>
    <x:row r="27" ht="56" customHeight="1">
      <x:c r="A27" s="2" t="str">
        <x:v>中继</x:v>
      </x:c>
      <x:c r="B27" s="2" t="str">
        <x:v>R002</x:v>
      </x:c>
      <x:c r="C27" s="15" t="str">
        <x:v>T006、T008、T009、T010、T012</x:v>
      </x:c>
      <x:c r="D27" s="2" t="str">
        <x:v>R</x:v>
      </x:c>
      <x:c r="E27" s="2" t="str">
        <x:v>G2</x:v>
      </x:c>
      <x:c r="F27" s="2" t="str">
        <x:v>G2</x:v>
      </x:c>
      <x:c r="G27" s="2" t="n">
        <x:v>0</x:v>
      </x:c>
      <x:c r="H27" s="10" t="n">
        <x:v>1571.428</x:v>
      </x:c>
      <x:c r="I27" s="10" t="n">
        <x:v>4178.986</x:v>
      </x:c>
      <x:c r="J27" s="10" t="n">
        <x:f>ROUND(I27-H27,3)</x:f>
        <x:v>2607.558</x:v>
      </x:c>
      <x:c r="K27" s="12" t="n">
        <x:v>0.7153517185129818</x:v>
      </x:c>
      <x:c r="L27" s="2" t="str">
        <x:v>站52</x:v>
      </x:c>
    </x:row>
    <x:row r="28" ht="56" customHeight="1">
      <x:c r="A28" s="9" t="str">
        <x:v>中继</x:v>
      </x:c>
      <x:c r="B28" s="9" t="str">
        <x:v>R003</x:v>
      </x:c>
      <x:c r="C28" s="14" t="str">
        <x:v>T008、T011、T013、T014、T015、T016、T017、T018、T019、T020</x:v>
      </x:c>
      <x:c r="D28" s="9" t="str">
        <x:v>R</x:v>
      </x:c>
      <x:c r="E28" s="9" t="str">
        <x:v>G2</x:v>
      </x:c>
      <x:c r="F28" s="9" t="str">
        <x:v>G2</x:v>
      </x:c>
      <x:c r="G28" s="9" t="n">
        <x:v>0</x:v>
      </x:c>
      <x:c r="H28" s="11" t="n">
        <x:v>2345.282</x:v>
      </x:c>
      <x:c r="I28" s="11" t="n">
        <x:v>6612.284</x:v>
      </x:c>
      <x:c r="J28" s="11" t="n">
        <x:f>ROUND(I28-H28,3)</x:f>
        <x:v>4267.002</x:v>
      </x:c>
      <x:c r="K28" s="13" t="n">
        <x:v>1.2071408494068963</x:v>
      </x:c>
      <x:c r="L28" s="9" t="str">
        <x:v>站58</x:v>
      </x:c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 t="str">
        <x:v>来源：本版本冻结第三问输入；中继关联来自实际在岗通信区段。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</x:sheetData>
  <x:pageMargins left="0.7" right="0.7" top="0.75" bottom="0.75" header="0.3" footer="0.3"/>
  <x:tableParts count="1">
    <x:tablePart xmlns:r="http://schemas.openxmlformats.org/officeDocument/2006/relationships" r:id="R1a7eb173667645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23" hidden="0" customWidth="1"/>
    <x:col min="4" max="4" width="22" hidden="0" customWidth="1"/>
    <x:col min="5" max="5" width="19" hidden="0" customWidth="1"/>
    <x:col min="6" max="6" width="12" hidden="0" customWidth="1"/>
    <x:col min="7" max="7" width="10" hidden="0" customWidth="1"/>
    <x:col min="8" max="8" width="15" hidden="0" customWidth="1"/>
    <x:col min="9" max="9" width="15" hidden="0" customWidth="1"/>
    <x:col min="10" max="10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分组资源编号与占用时段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8" customHeight="1">
      <x:c r="A4" s="8" t="str">
        <x:v>K</x:v>
      </x:c>
      <x:c r="B4" s="8" t="str">
        <x:v>任务组</x:v>
      </x:c>
      <x:c r="C4" s="8" t="str">
        <x:v>资源类型</x:v>
      </x:c>
      <x:c r="D4" s="8" t="str">
        <x:v>执行资源编号</x:v>
      </x:c>
      <x:c r="E4" s="8" t="str">
        <x:v>第三问原编号</x:v>
      </x:c>
      <x:c r="F4" s="8" t="str">
        <x:v>任务编号</x:v>
      </x:c>
      <x:c r="G4" s="8" t="str">
        <x:v>来源</x:v>
      </x:c>
      <x:c r="H4" s="8" t="str">
        <x:v>占用开始/s</x:v>
      </x:c>
      <x:c r="I4" s="8" t="str">
        <x:v>释放或充满/s</x:v>
      </x:c>
      <x:c r="J4" s="8" t="str">
        <x:v>占用时长/s</x:v>
      </x:c>
    </x:row>
    <x:row r="5" ht="24" customHeight="1">
      <x:c r="A5" s="2" t="n">
        <x:v>2</x:v>
      </x:c>
      <x:c r="B5" s="2" t="str">
        <x:v>G1</x:v>
      </x:c>
      <x:c r="C5" s="2" t="str">
        <x:v>C型运输无人机</x:v>
      </x:c>
      <x:c r="D5" s="2" t="str">
        <x:v>U08</x:v>
      </x:c>
      <x:c r="E5" s="2" t="str">
        <x:v>U08</x:v>
      </x:c>
      <x:c r="F5" s="2" t="str">
        <x:v>T005</x:v>
      </x:c>
      <x:c r="G5" s="2" t="str">
        <x:v>现有</x:v>
      </x:c>
      <x:c r="H5" s="10" t="n">
        <x:v>0</x:v>
      </x:c>
      <x:c r="I5" s="10" t="n">
        <x:v>1494.176</x:v>
      </x:c>
      <x:c r="J5" s="10" t="n">
        <x:f>ROUND(I5-H5,3)</x:f>
        <x:v>1494.176</x:v>
      </x:c>
    </x:row>
    <x:row r="6" ht="24" customHeight="1">
      <x:c r="A6" s="9" t="n">
        <x:v>2</x:v>
      </x:c>
      <x:c r="B6" s="9" t="str">
        <x:v>G1</x:v>
      </x:c>
      <x:c r="C6" s="9" t="str">
        <x:v>C型运输无人机</x:v>
      </x:c>
      <x:c r="D6" s="9" t="str">
        <x:v>U07</x:v>
      </x:c>
      <x:c r="E6" s="9" t="str">
        <x:v>U07</x:v>
      </x:c>
      <x:c r="F6" s="9" t="str">
        <x:v>T004</x:v>
      </x:c>
      <x:c r="G6" s="9" t="str">
        <x:v>现有</x:v>
      </x:c>
      <x:c r="H6" s="11" t="n">
        <x:v>0</x:v>
      </x:c>
      <x:c r="I6" s="11" t="n">
        <x:v>1692.176</x:v>
      </x:c>
      <x:c r="J6" s="11" t="n">
        <x:f>ROUND(I6-H6,3)</x:f>
        <x:v>1692.176</x:v>
      </x:c>
    </x:row>
    <x:row r="7" ht="24" customHeight="1">
      <x:c r="A7" s="2" t="n">
        <x:v>2</x:v>
      </x:c>
      <x:c r="B7" s="2" t="str">
        <x:v>G1</x:v>
      </x:c>
      <x:c r="C7" s="2" t="str">
        <x:v>C型共享电池</x:v>
      </x:c>
      <x:c r="D7" s="2" t="str">
        <x:v>BAT-C-02</x:v>
      </x:c>
      <x:c r="E7" s="2" t="str">
        <x:v>BAT-C-02</x:v>
      </x:c>
      <x:c r="F7" s="2" t="str">
        <x:v>T005</x:v>
      </x:c>
      <x:c r="G7" s="2" t="str">
        <x:v>现有</x:v>
      </x:c>
      <x:c r="H7" s="10" t="n">
        <x:v>0</x:v>
      </x:c>
      <x:c r="I7" s="10" t="n">
        <x:v>3138.866</x:v>
      </x:c>
      <x:c r="J7" s="10" t="n">
        <x:f>ROUND(I7-H7,3)</x:f>
        <x:v>3138.866</x:v>
      </x:c>
    </x:row>
    <x:row r="8" ht="24" customHeight="1">
      <x:c r="A8" s="9" t="n">
        <x:v>2</x:v>
      </x:c>
      <x:c r="B8" s="9" t="str">
        <x:v>G1</x:v>
      </x:c>
      <x:c r="C8" s="9" t="str">
        <x:v>C型共享电池</x:v>
      </x:c>
      <x:c r="D8" s="9" t="str">
        <x:v>BAT-C-01</x:v>
      </x:c>
      <x:c r="E8" s="9" t="str">
        <x:v>BAT-C-01</x:v>
      </x:c>
      <x:c r="F8" s="9" t="str">
        <x:v>T004</x:v>
      </x:c>
      <x:c r="G8" s="9" t="str">
        <x:v>现有</x:v>
      </x:c>
      <x:c r="H8" s="11" t="n">
        <x:v>0</x:v>
      </x:c>
      <x:c r="I8" s="11" t="n">
        <x:v>3315.69</x:v>
      </x:c>
      <x:c r="J8" s="11" t="n">
        <x:f>ROUND(I8-H8,3)</x:f>
        <x:v>3315.69</x:v>
      </x:c>
    </x:row>
    <x:row r="9" ht="24" customHeight="1">
      <x:c r="A9" s="2" t="n">
        <x:v>2</x:v>
      </x:c>
      <x:c r="B9" s="2" t="str">
        <x:v>G2</x:v>
      </x:c>
      <x:c r="C9" s="2" t="str">
        <x:v>A型运输无人机</x:v>
      </x:c>
      <x:c r="D9" s="2" t="str">
        <x:v>U01</x:v>
      </x:c>
      <x:c r="E9" s="2" t="str">
        <x:v>U01</x:v>
      </x:c>
      <x:c r="F9" s="2" t="str">
        <x:v>T001</x:v>
      </x:c>
      <x:c r="G9" s="2" t="str">
        <x:v>现有</x:v>
      </x:c>
      <x:c r="H9" s="10" t="n">
        <x:v>0</x:v>
      </x:c>
      <x:c r="I9" s="10" t="n">
        <x:v>1313.477</x:v>
      </x:c>
      <x:c r="J9" s="10" t="n">
        <x:f>ROUND(I9-H9,3)</x:f>
        <x:v>1313.477</x:v>
      </x:c>
    </x:row>
    <x:row r="10" ht="24" customHeight="1">
      <x:c r="A10" s="9" t="n">
        <x:v>2</x:v>
      </x:c>
      <x:c r="B10" s="9" t="str">
        <x:v>G2</x:v>
      </x:c>
      <x:c r="C10" s="9" t="str">
        <x:v>A型运输无人机</x:v>
      </x:c>
      <x:c r="D10" s="9" t="str">
        <x:v>U01</x:v>
      </x:c>
      <x:c r="E10" s="9" t="str">
        <x:v>U01</x:v>
      </x:c>
      <x:c r="F10" s="9" t="str">
        <x:v>T008</x:v>
      </x:c>
      <x:c r="G10" s="9" t="str">
        <x:v>现有</x:v>
      </x:c>
      <x:c r="H10" s="11" t="n">
        <x:v>1641.16</x:v>
      </x:c>
      <x:c r="I10" s="11" t="n">
        <x:v>4316.739</x:v>
      </x:c>
      <x:c r="J10" s="11" t="n">
        <x:f>ROUND(I10-H10,3)</x:f>
        <x:v>2675.579</x:v>
      </x:c>
    </x:row>
    <x:row r="11" ht="24" customHeight="1">
      <x:c r="A11" s="2" t="n">
        <x:v>2</x:v>
      </x:c>
      <x:c r="B11" s="2" t="str">
        <x:v>G2</x:v>
      </x:c>
      <x:c r="C11" s="2" t="str">
        <x:v>A型运输无人机</x:v>
      </x:c>
      <x:c r="D11" s="2" t="str">
        <x:v>U02</x:v>
      </x:c>
      <x:c r="E11" s="2" t="str">
        <x:v>U02</x:v>
      </x:c>
      <x:c r="F11" s="2" t="str">
        <x:v>T009</x:v>
      </x:c>
      <x:c r="G11" s="2" t="str">
        <x:v>现有</x:v>
      </x:c>
      <x:c r="H11" s="10" t="n">
        <x:v>1671.16</x:v>
      </x:c>
      <x:c r="I11" s="10" t="n">
        <x:v>3283.324</x:v>
      </x:c>
      <x:c r="J11" s="10" t="n">
        <x:f>ROUND(I11-H11,3)</x:f>
        <x:v>1612.164</x:v>
      </x:c>
    </x:row>
    <x:row r="12" ht="24" customHeight="1">
      <x:c r="A12" s="9" t="n">
        <x:v>2</x:v>
      </x:c>
      <x:c r="B12" s="9" t="str">
        <x:v>G2</x:v>
      </x:c>
      <x:c r="C12" s="9" t="str">
        <x:v>A型运输无人机</x:v>
      </x:c>
      <x:c r="D12" s="9" t="str">
        <x:v>U03</x:v>
      </x:c>
      <x:c r="E12" s="9" t="str">
        <x:v>U03</x:v>
      </x:c>
      <x:c r="F12" s="9" t="str">
        <x:v>T011</x:v>
      </x:c>
      <x:c r="G12" s="9" t="str">
        <x:v>现有</x:v>
      </x:c>
      <x:c r="H12" s="11" t="n">
        <x:v>1844.884</x:v>
      </x:c>
      <x:c r="I12" s="11" t="n">
        <x:v>3974.033</x:v>
      </x:c>
      <x:c r="J12" s="11" t="n">
        <x:f>ROUND(I12-H12,3)</x:f>
        <x:v>2129.149</x:v>
      </x:c>
    </x:row>
    <x:row r="13" ht="24" customHeight="1">
      <x:c r="A13" s="2" t="n">
        <x:v>2</x:v>
      </x:c>
      <x:c r="B13" s="2" t="str">
        <x:v>G2</x:v>
      </x:c>
      <x:c r="C13" s="2" t="str">
        <x:v>A型运输无人机</x:v>
      </x:c>
      <x:c r="D13" s="2" t="str">
        <x:v>U04</x:v>
      </x:c>
      <x:c r="E13" s="2" t="str">
        <x:v>U04</x:v>
      </x:c>
      <x:c r="F13" s="2" t="str">
        <x:v>T013</x:v>
      </x:c>
      <x:c r="G13" s="2" t="str">
        <x:v>现有</x:v>
      </x:c>
      <x:c r="H13" s="10" t="n">
        <x:v>2488.626</x:v>
      </x:c>
      <x:c r="I13" s="10" t="n">
        <x:v>4216.094</x:v>
      </x:c>
      <x:c r="J13" s="10" t="n">
        <x:f>ROUND(I13-H13,3)</x:f>
        <x:v>1727.468</x:v>
      </x:c>
    </x:row>
    <x:row r="14" ht="24" customHeight="1">
      <x:c r="A14" s="9" t="n">
        <x:v>2</x:v>
      </x:c>
      <x:c r="B14" s="9" t="str">
        <x:v>G2</x:v>
      </x:c>
      <x:c r="C14" s="9" t="str">
        <x:v>A型运输无人机</x:v>
      </x:c>
      <x:c r="D14" s="9" t="str">
        <x:v>U02</x:v>
      </x:c>
      <x:c r="E14" s="9" t="str">
        <x:v>U02</x:v>
      </x:c>
      <x:c r="F14" s="9" t="str">
        <x:v>T015</x:v>
      </x:c>
      <x:c r="G14" s="9" t="str">
        <x:v>现有</x:v>
      </x:c>
      <x:c r="H14" s="11" t="n">
        <x:v>3283.324</x:v>
      </x:c>
      <x:c r="I14" s="11" t="n">
        <x:v>5886.793</x:v>
      </x:c>
      <x:c r="J14" s="11" t="n">
        <x:f>ROUND(I14-H14,3)</x:f>
        <x:v>2603.469</x:v>
      </x:c>
    </x:row>
    <x:row r="15" ht="24" customHeight="1">
      <x:c r="A15" s="2" t="n">
        <x:v>2</x:v>
      </x:c>
      <x:c r="B15" s="2" t="str">
        <x:v>G2</x:v>
      </x:c>
      <x:c r="C15" s="2" t="str">
        <x:v>A型运输无人机</x:v>
      </x:c>
      <x:c r="D15" s="2" t="str">
        <x:v>U03</x:v>
      </x:c>
      <x:c r="E15" s="2" t="str">
        <x:v>U03</x:v>
      </x:c>
      <x:c r="F15" s="2" t="str">
        <x:v>T018</x:v>
      </x:c>
      <x:c r="G15" s="2" t="str">
        <x:v>现有</x:v>
      </x:c>
      <x:c r="H15" s="10" t="n">
        <x:v>3974.033</x:v>
      </x:c>
      <x:c r="I15" s="10" t="n">
        <x:v>5942.687</x:v>
      </x:c>
      <x:c r="J15" s="10" t="n">
        <x:f>ROUND(I15-H15,3)</x:f>
        <x:v>1968.654</x:v>
      </x:c>
    </x:row>
    <x:row r="16" ht="24" customHeight="1">
      <x:c r="A16" s="9" t="n">
        <x:v>2</x:v>
      </x:c>
      <x:c r="B16" s="9" t="str">
        <x:v>G2</x:v>
      </x:c>
      <x:c r="C16" s="9" t="str">
        <x:v>A型运输无人机</x:v>
      </x:c>
      <x:c r="D16" s="9" t="str">
        <x:v>U01</x:v>
      </x:c>
      <x:c r="E16" s="9" t="str">
        <x:v>U01</x:v>
      </x:c>
      <x:c r="F16" s="9" t="str">
        <x:v>T020</x:v>
      </x:c>
      <x:c r="G16" s="9" t="str">
        <x:v>现有</x:v>
      </x:c>
      <x:c r="H16" s="11" t="n">
        <x:v>4368.478</x:v>
      </x:c>
      <x:c r="I16" s="11" t="n">
        <x:v>6057.118</x:v>
      </x:c>
      <x:c r="J16" s="11" t="n">
        <x:f>ROUND(I16-H16,3)</x:f>
        <x:v>1688.64</x:v>
      </x:c>
    </x:row>
    <x:row r="17" ht="24" customHeight="1">
      <x:c r="A17" s="2" t="n">
        <x:v>2</x:v>
      </x:c>
      <x:c r="B17" s="2" t="str">
        <x:v>G2</x:v>
      </x:c>
      <x:c r="C17" s="2" t="str">
        <x:v>B型运输无人机</x:v>
      </x:c>
      <x:c r="D17" s="2" t="str">
        <x:v>U06</x:v>
      </x:c>
      <x:c r="E17" s="2" t="str">
        <x:v>U06</x:v>
      </x:c>
      <x:c r="F17" s="2" t="str">
        <x:v>T003</x:v>
      </x:c>
      <x:c r="G17" s="2" t="str">
        <x:v>现有</x:v>
      </x:c>
      <x:c r="H17" s="10" t="n">
        <x:v>0</x:v>
      </x:c>
      <x:c r="I17" s="10" t="n">
        <x:v>1555.405</x:v>
      </x:c>
      <x:c r="J17" s="10" t="n">
        <x:f>ROUND(I17-H17,3)</x:f>
        <x:v>1555.405</x:v>
      </x:c>
    </x:row>
    <x:row r="18" ht="24" customHeight="1">
      <x:c r="A18" s="9" t="n">
        <x:v>2</x:v>
      </x:c>
      <x:c r="B18" s="9" t="str">
        <x:v>G2</x:v>
      </x:c>
      <x:c r="C18" s="9" t="str">
        <x:v>B型运输无人机</x:v>
      </x:c>
      <x:c r="D18" s="9" t="str">
        <x:v>U05</x:v>
      </x:c>
      <x:c r="E18" s="9" t="str">
        <x:v>U05</x:v>
      </x:c>
      <x:c r="F18" s="9" t="str">
        <x:v>T002</x:v>
      </x:c>
      <x:c r="G18" s="9" t="str">
        <x:v>现有</x:v>
      </x:c>
      <x:c r="H18" s="11" t="n">
        <x:v>0</x:v>
      </x:c>
      <x:c r="I18" s="11" t="n">
        <x:v>1869.749</x:v>
      </x:c>
      <x:c r="J18" s="11" t="n">
        <x:f>ROUND(I18-H18,3)</x:f>
        <x:v>1869.749</x:v>
      </x:c>
    </x:row>
    <x:row r="19" ht="24" customHeight="1">
      <x:c r="A19" s="2" t="n">
        <x:v>2</x:v>
      </x:c>
      <x:c r="B19" s="2" t="str">
        <x:v>G2</x:v>
      </x:c>
      <x:c r="C19" s="2" t="str">
        <x:v>B型运输无人机</x:v>
      </x:c>
      <x:c r="D19" s="2" t="str">
        <x:v>U06</x:v>
      </x:c>
      <x:c r="E19" s="2" t="str">
        <x:v>U06</x:v>
      </x:c>
      <x:c r="F19" s="2" t="str">
        <x:v>T007</x:v>
      </x:c>
      <x:c r="G19" s="2" t="str">
        <x:v>现有</x:v>
      </x:c>
      <x:c r="H19" s="10" t="n">
        <x:v>1555.405</x:v>
      </x:c>
      <x:c r="I19" s="10" t="n">
        <x:v>2762.676</x:v>
      </x:c>
      <x:c r="J19" s="10" t="n">
        <x:f>ROUND(I19-H19,3)</x:f>
        <x:v>1207.271</x:v>
      </x:c>
    </x:row>
    <x:row r="20" ht="24" customHeight="1">
      <x:c r="A20" s="9" t="n">
        <x:v>2</x:v>
      </x:c>
      <x:c r="B20" s="9" t="str">
        <x:v>G2</x:v>
      </x:c>
      <x:c r="C20" s="9" t="str">
        <x:v>B型运输无人机</x:v>
      </x:c>
      <x:c r="D20" s="9" t="str">
        <x:v>U05</x:v>
      </x:c>
      <x:c r="E20" s="9" t="str">
        <x:v>U05</x:v>
      </x:c>
      <x:c r="F20" s="9" t="str">
        <x:v>T012</x:v>
      </x:c>
      <x:c r="G20" s="9" t="str">
        <x:v>现有</x:v>
      </x:c>
      <x:c r="H20" s="11" t="n">
        <x:v>1869.749</x:v>
      </x:c>
      <x:c r="I20" s="11" t="n">
        <x:v>3792.577</x:v>
      </x:c>
      <x:c r="J20" s="11" t="n">
        <x:f>ROUND(I20-H20,3)</x:f>
        <x:v>1922.828</x:v>
      </x:c>
    </x:row>
    <x:row r="21" ht="24" customHeight="1">
      <x:c r="A21" s="2" t="n">
        <x:v>2</x:v>
      </x:c>
      <x:c r="B21" s="2" t="str">
        <x:v>G2</x:v>
      </x:c>
      <x:c r="C21" s="2" t="str">
        <x:v>B型运输无人机</x:v>
      </x:c>
      <x:c r="D21" s="2" t="str">
        <x:v>U06</x:v>
      </x:c>
      <x:c r="E21" s="2" t="str">
        <x:v>U06</x:v>
      </x:c>
      <x:c r="F21" s="2" t="str">
        <x:v>T014</x:v>
      </x:c>
      <x:c r="G21" s="2" t="str">
        <x:v>现有</x:v>
      </x:c>
      <x:c r="H21" s="10" t="n">
        <x:v>3012.133</x:v>
      </x:c>
      <x:c r="I21" s="10" t="n">
        <x:v>4913.976</x:v>
      </x:c>
      <x:c r="J21" s="10" t="n">
        <x:f>ROUND(I21-H21,3)</x:f>
        <x:v>1901.843</x:v>
      </x:c>
    </x:row>
    <x:row r="22" ht="24" customHeight="1">
      <x:c r="A22" s="9" t="n">
        <x:v>2</x:v>
      </x:c>
      <x:c r="B22" s="9" t="str">
        <x:v>G2</x:v>
      </x:c>
      <x:c r="C22" s="9" t="str">
        <x:v>B型运输无人机</x:v>
      </x:c>
      <x:c r="D22" s="9" t="str">
        <x:v>U05</x:v>
      </x:c>
      <x:c r="E22" s="9" t="str">
        <x:v>U05</x:v>
      </x:c>
      <x:c r="F22" s="9" t="str">
        <x:v>T017</x:v>
      </x:c>
      <x:c r="G22" s="9" t="str">
        <x:v>现有</x:v>
      </x:c>
      <x:c r="H22" s="11" t="n">
        <x:v>3792.577</x:v>
      </x:c>
      <x:c r="I22" s="11" t="n">
        <x:v>5754.42</x:v>
      </x:c>
      <x:c r="J22" s="11" t="n">
        <x:f>ROUND(I22-H22,3)</x:f>
        <x:v>1961.843</x:v>
      </x:c>
    </x:row>
    <x:row r="23" ht="24" customHeight="1">
      <x:c r="A23" s="2" t="n">
        <x:v>2</x:v>
      </x:c>
      <x:c r="B23" s="2" t="str">
        <x:v>G2</x:v>
      </x:c>
      <x:c r="C23" s="2" t="str">
        <x:v>B型运输无人机</x:v>
      </x:c>
      <x:c r="D23" s="2" t="str">
        <x:v>U06</x:v>
      </x:c>
      <x:c r="E23" s="2" t="str">
        <x:v>U06</x:v>
      </x:c>
      <x:c r="F23" s="2" t="str">
        <x:v>T021</x:v>
      </x:c>
      <x:c r="G23" s="2" t="str">
        <x:v>现有</x:v>
      </x:c>
      <x:c r="H23" s="10" t="n">
        <x:v>4913.976</x:v>
      </x:c>
      <x:c r="I23" s="10" t="n">
        <x:v>6559.627</x:v>
      </x:c>
      <x:c r="J23" s="10" t="n">
        <x:f>ROUND(I23-H23,3)</x:f>
        <x:v>1645.651</x:v>
      </x:c>
    </x:row>
    <x:row r="24" ht="24" customHeight="1">
      <x:c r="A24" s="9" t="n">
        <x:v>2</x:v>
      </x:c>
      <x:c r="B24" s="9" t="str">
        <x:v>G2</x:v>
      </x:c>
      <x:c r="C24" s="9" t="str">
        <x:v>C型运输无人机</x:v>
      </x:c>
      <x:c r="D24" s="9" t="str">
        <x:v>ADD-U_C-02</x:v>
      </x:c>
      <x:c r="E24" s="9" t="str">
        <x:v>U08</x:v>
      </x:c>
      <x:c r="F24" s="9" t="str">
        <x:v>T006</x:v>
      </x:c>
      <x:c r="G24" s="9" t="str">
        <x:v>待补</x:v>
      </x:c>
      <x:c r="H24" s="11" t="n">
        <x:v>1494.177</x:v>
      </x:c>
      <x:c r="I24" s="11" t="n">
        <x:v>3668.021</x:v>
      </x:c>
      <x:c r="J24" s="11" t="n">
        <x:f>ROUND(I24-H24,3)</x:f>
        <x:v>2173.844</x:v>
      </x:c>
    </x:row>
    <x:row r="25" ht="24" customHeight="1">
      <x:c r="A25" s="2" t="n">
        <x:v>2</x:v>
      </x:c>
      <x:c r="B25" s="2" t="str">
        <x:v>G2</x:v>
      </x:c>
      <x:c r="C25" s="2" t="str">
        <x:v>C型运输无人机</x:v>
      </x:c>
      <x:c r="D25" s="2" t="str">
        <x:v>ADD-U_C-01</x:v>
      </x:c>
      <x:c r="E25" s="2" t="str">
        <x:v>U07</x:v>
      </x:c>
      <x:c r="F25" s="2" t="str">
        <x:v>T010</x:v>
      </x:c>
      <x:c r="G25" s="2" t="str">
        <x:v>待补</x:v>
      </x:c>
      <x:c r="H25" s="10" t="n">
        <x:v>1692.176</x:v>
      </x:c>
      <x:c r="I25" s="10" t="n">
        <x:v>3993.232</x:v>
      </x:c>
      <x:c r="J25" s="10" t="n">
        <x:f>ROUND(I25-H25,3)</x:f>
        <x:v>2301.056</x:v>
      </x:c>
    </x:row>
    <x:row r="26" ht="24" customHeight="1">
      <x:c r="A26" s="9" t="n">
        <x:v>2</x:v>
      </x:c>
      <x:c r="B26" s="9" t="str">
        <x:v>G2</x:v>
      </x:c>
      <x:c r="C26" s="9" t="str">
        <x:v>C型运输无人机</x:v>
      </x:c>
      <x:c r="D26" s="9" t="str">
        <x:v>ADD-U_C-02</x:v>
      </x:c>
      <x:c r="E26" s="9" t="str">
        <x:v>U08</x:v>
      </x:c>
      <x:c r="F26" s="9" t="str">
        <x:v>T016</x:v>
      </x:c>
      <x:c r="G26" s="9" t="str">
        <x:v>待补</x:v>
      </x:c>
      <x:c r="H26" s="11" t="n">
        <x:v>3668.021</x:v>
      </x:c>
      <x:c r="I26" s="11" t="n">
        <x:v>6361.703</x:v>
      </x:c>
      <x:c r="J26" s="11" t="n">
        <x:f>ROUND(I26-H26,3)</x:f>
        <x:v>2693.682</x:v>
      </x:c>
    </x:row>
    <x:row r="27" ht="24" customHeight="1">
      <x:c r="A27" s="2" t="n">
        <x:v>2</x:v>
      </x:c>
      <x:c r="B27" s="2" t="str">
        <x:v>G2</x:v>
      </x:c>
      <x:c r="C27" s="2" t="str">
        <x:v>C型运输无人机</x:v>
      </x:c>
      <x:c r="D27" s="2" t="str">
        <x:v>ADD-U_C-01</x:v>
      </x:c>
      <x:c r="E27" s="2" t="str">
        <x:v>U07</x:v>
      </x:c>
      <x:c r="F27" s="2" t="str">
        <x:v>T019</x:v>
      </x:c>
      <x:c r="G27" s="2" t="str">
        <x:v>待补</x:v>
      </x:c>
      <x:c r="H27" s="10" t="n">
        <x:v>3993.232</x:v>
      </x:c>
      <x:c r="I27" s="10" t="n">
        <x:v>6298.4</x:v>
      </x:c>
      <x:c r="J27" s="10" t="n">
        <x:f>ROUND(I27-H27,3)</x:f>
        <x:v>2305.168</x:v>
      </x:c>
    </x:row>
    <x:row r="28" ht="24" customHeight="1">
      <x:c r="A28" s="9" t="n">
        <x:v>2</x:v>
      </x:c>
      <x:c r="B28" s="9" t="str">
        <x:v>G2</x:v>
      </x:c>
      <x:c r="C28" s="9" t="str">
        <x:v>A型共享电池</x:v>
      </x:c>
      <x:c r="D28" s="9" t="str">
        <x:v>BAT-A-01</x:v>
      </x:c>
      <x:c r="E28" s="9" t="str">
        <x:v>BAT-A-01</x:v>
      </x:c>
      <x:c r="F28" s="9" t="str">
        <x:v>T001</x:v>
      </x:c>
      <x:c r="G28" s="9" t="str">
        <x:v>现有</x:v>
      </x:c>
      <x:c r="H28" s="11" t="n">
        <x:v>0</x:v>
      </x:c>
      <x:c r="I28" s="11" t="n">
        <x:v>2205.503</x:v>
      </x:c>
      <x:c r="J28" s="11" t="n">
        <x:f>ROUND(I28-H28,3)</x:f>
        <x:v>2205.503</x:v>
      </x:c>
    </x:row>
    <x:row r="29" ht="24" customHeight="1">
      <x:c r="A29" s="2" t="n">
        <x:v>2</x:v>
      </x:c>
      <x:c r="B29" s="2" t="str">
        <x:v>G2</x:v>
      </x:c>
      <x:c r="C29" s="2" t="str">
        <x:v>A型共享电池</x:v>
      </x:c>
      <x:c r="D29" s="2" t="str">
        <x:v>BAT-A-02</x:v>
      </x:c>
      <x:c r="E29" s="2" t="str">
        <x:v>BAT-A-02</x:v>
      </x:c>
      <x:c r="F29" s="2" t="str">
        <x:v>T008</x:v>
      </x:c>
      <x:c r="G29" s="2" t="str">
        <x:v>现有</x:v>
      </x:c>
      <x:c r="H29" s="10" t="n">
        <x:v>1641.16</x:v>
      </x:c>
      <x:c r="I29" s="10" t="n">
        <x:v>5806.699</x:v>
      </x:c>
      <x:c r="J29" s="10" t="n">
        <x:f>ROUND(I29-H29,3)</x:f>
        <x:v>4165.539</x:v>
      </x:c>
    </x:row>
    <x:row r="30" ht="24" customHeight="1">
      <x:c r="A30" s="9" t="n">
        <x:v>2</x:v>
      </x:c>
      <x:c r="B30" s="9" t="str">
        <x:v>G2</x:v>
      </x:c>
      <x:c r="C30" s="9" t="str">
        <x:v>A型共享电池</x:v>
      </x:c>
      <x:c r="D30" s="9" t="str">
        <x:v>BAT-A-03</x:v>
      </x:c>
      <x:c r="E30" s="9" t="str">
        <x:v>BAT-A-03</x:v>
      </x:c>
      <x:c r="F30" s="9" t="str">
        <x:v>T009</x:v>
      </x:c>
      <x:c r="G30" s="9" t="str">
        <x:v>现有</x:v>
      </x:c>
      <x:c r="H30" s="11" t="n">
        <x:v>1671.16</x:v>
      </x:c>
      <x:c r="I30" s="11" t="n">
        <x:v>4368.476</x:v>
      </x:c>
      <x:c r="J30" s="11" t="n">
        <x:f>ROUND(I30-H30,3)</x:f>
        <x:v>2697.316</x:v>
      </x:c>
    </x:row>
    <x:row r="31" ht="24" customHeight="1">
      <x:c r="A31" s="2" t="n">
        <x:v>2</x:v>
      </x:c>
      <x:c r="B31" s="2" t="str">
        <x:v>G2</x:v>
      </x:c>
      <x:c r="C31" s="2" t="str">
        <x:v>A型共享电池</x:v>
      </x:c>
      <x:c r="D31" s="2" t="str">
        <x:v>BAT-A-04</x:v>
      </x:c>
      <x:c r="E31" s="2" t="str">
        <x:v>BAT-A-04</x:v>
      </x:c>
      <x:c r="F31" s="2" t="str">
        <x:v>T011</x:v>
      </x:c>
      <x:c r="G31" s="2" t="str">
        <x:v>现有</x:v>
      </x:c>
      <x:c r="H31" s="10" t="n">
        <x:v>1844.884</x:v>
      </x:c>
      <x:c r="I31" s="10" t="n">
        <x:v>5112.21</x:v>
      </x:c>
      <x:c r="J31" s="10" t="n">
        <x:f>ROUND(I31-H31,3)</x:f>
        <x:v>3267.326</x:v>
      </x:c>
    </x:row>
    <x:row r="32" ht="24" customHeight="1">
      <x:c r="A32" s="9" t="n">
        <x:v>2</x:v>
      </x:c>
      <x:c r="B32" s="9" t="str">
        <x:v>G2</x:v>
      </x:c>
      <x:c r="C32" s="9" t="str">
        <x:v>A型共享电池</x:v>
      </x:c>
      <x:c r="D32" s="9" t="str">
        <x:v>BAT-A-01</x:v>
      </x:c>
      <x:c r="E32" s="9" t="str">
        <x:v>BAT-A-01</x:v>
      </x:c>
      <x:c r="F32" s="9" t="str">
        <x:v>T013</x:v>
      </x:c>
      <x:c r="G32" s="9" t="str">
        <x:v>现有</x:v>
      </x:c>
      <x:c r="H32" s="11" t="n">
        <x:v>2488.626</x:v>
      </x:c>
      <x:c r="I32" s="11" t="n">
        <x:v>5285.484</x:v>
      </x:c>
      <x:c r="J32" s="11" t="n">
        <x:f>ROUND(I32-H32,3)</x:f>
        <x:v>2796.858</x:v>
      </x:c>
    </x:row>
    <x:row r="33" ht="24" customHeight="1">
      <x:c r="A33" s="2" t="n">
        <x:v>2</x:v>
      </x:c>
      <x:c r="B33" s="2" t="str">
        <x:v>G2</x:v>
      </x:c>
      <x:c r="C33" s="2" t="str">
        <x:v>A型共享电池</x:v>
      </x:c>
      <x:c r="D33" s="2" t="str">
        <x:v>BAT-A-05</x:v>
      </x:c>
      <x:c r="E33" s="2" t="str">
        <x:v>BAT-A-05</x:v>
      </x:c>
      <x:c r="F33" s="2" t="str">
        <x:v>T015</x:v>
      </x:c>
      <x:c r="G33" s="2" t="str">
        <x:v>现有</x:v>
      </x:c>
      <x:c r="H33" s="10" t="n">
        <x:v>3283.324</x:v>
      </x:c>
      <x:c r="I33" s="10" t="n">
        <x:v>7339.392</x:v>
      </x:c>
      <x:c r="J33" s="10" t="n">
        <x:f>ROUND(I33-H33,3)</x:f>
        <x:v>4056.068</x:v>
      </x:c>
    </x:row>
    <x:row r="34" ht="24" customHeight="1">
      <x:c r="A34" s="9" t="n">
        <x:v>2</x:v>
      </x:c>
      <x:c r="B34" s="9" t="str">
        <x:v>G2</x:v>
      </x:c>
      <x:c r="C34" s="9" t="str">
        <x:v>A型共享电池</x:v>
      </x:c>
      <x:c r="D34" s="9" t="str">
        <x:v>BAT-A-06</x:v>
      </x:c>
      <x:c r="E34" s="9" t="str">
        <x:v>BAT-A-06</x:v>
      </x:c>
      <x:c r="F34" s="9" t="str">
        <x:v>T018</x:v>
      </x:c>
      <x:c r="G34" s="9" t="str">
        <x:v>现有</x:v>
      </x:c>
      <x:c r="H34" s="11" t="n">
        <x:v>3974.033</x:v>
      </x:c>
      <x:c r="I34" s="11" t="n">
        <x:v>7181.603</x:v>
      </x:c>
      <x:c r="J34" s="11" t="n">
        <x:f>ROUND(I34-H34,3)</x:f>
        <x:v>3207.57</x:v>
      </x:c>
    </x:row>
    <x:row r="35" ht="24" customHeight="1">
      <x:c r="A35" s="2" t="n">
        <x:v>2</x:v>
      </x:c>
      <x:c r="B35" s="2" t="str">
        <x:v>G2</x:v>
      </x:c>
      <x:c r="C35" s="2" t="str">
        <x:v>A型共享电池</x:v>
      </x:c>
      <x:c r="D35" s="2" t="str">
        <x:v>BAT-A-03</x:v>
      </x:c>
      <x:c r="E35" s="2" t="str">
        <x:v>BAT-A-03</x:v>
      </x:c>
      <x:c r="F35" s="2" t="str">
        <x:v>T020</x:v>
      </x:c>
      <x:c r="G35" s="2" t="str">
        <x:v>现有</x:v>
      </x:c>
      <x:c r="H35" s="10" t="n">
        <x:v>4368.478</x:v>
      </x:c>
      <x:c r="I35" s="10" t="n">
        <x:v>7230.621</x:v>
      </x:c>
      <x:c r="J35" s="10" t="n">
        <x:f>ROUND(I35-H35,3)</x:f>
        <x:v>2862.143</x:v>
      </x:c>
    </x:row>
    <x:row r="36" ht="24" customHeight="1">
      <x:c r="A36" s="9" t="n">
        <x:v>2</x:v>
      </x:c>
      <x:c r="B36" s="9" t="str">
        <x:v>G2</x:v>
      </x:c>
      <x:c r="C36" s="9" t="str">
        <x:v>B型共享电池</x:v>
      </x:c>
      <x:c r="D36" s="9" t="str">
        <x:v>BAT-B-02</x:v>
      </x:c>
      <x:c r="E36" s="9" t="str">
        <x:v>BAT-B-02</x:v>
      </x:c>
      <x:c r="F36" s="9" t="str">
        <x:v>T003</x:v>
      </x:c>
      <x:c r="G36" s="9" t="str">
        <x:v>现有</x:v>
      </x:c>
      <x:c r="H36" s="11" t="n">
        <x:v>0</x:v>
      </x:c>
      <x:c r="I36" s="11" t="n">
        <x:v>3012.133</x:v>
      </x:c>
      <x:c r="J36" s="11" t="n">
        <x:f>ROUND(I36-H36,3)</x:f>
        <x:v>3012.133</x:v>
      </x:c>
    </x:row>
    <x:row r="37" ht="24" customHeight="1">
      <x:c r="A37" s="2" t="n">
        <x:v>2</x:v>
      </x:c>
      <x:c r="B37" s="2" t="str">
        <x:v>G2</x:v>
      </x:c>
      <x:c r="C37" s="2" t="str">
        <x:v>B型共享电池</x:v>
      </x:c>
      <x:c r="D37" s="2" t="str">
        <x:v>BAT-B-01</x:v>
      </x:c>
      <x:c r="E37" s="2" t="str">
        <x:v>BAT-B-01</x:v>
      </x:c>
      <x:c r="F37" s="2" t="str">
        <x:v>T002</x:v>
      </x:c>
      <x:c r="G37" s="2" t="str">
        <x:v>现有</x:v>
      </x:c>
      <x:c r="H37" s="10" t="n">
        <x:v>0</x:v>
      </x:c>
      <x:c r="I37" s="10" t="n">
        <x:v>3463.876</x:v>
      </x:c>
      <x:c r="J37" s="10" t="n">
        <x:f>ROUND(I37-H37,3)</x:f>
        <x:v>3463.876</x:v>
      </x:c>
    </x:row>
    <x:row r="38" ht="24" customHeight="1">
      <x:c r="A38" s="9" t="n">
        <x:v>2</x:v>
      </x:c>
      <x:c r="B38" s="9" t="str">
        <x:v>G2</x:v>
      </x:c>
      <x:c r="C38" s="9" t="str">
        <x:v>B型共享电池</x:v>
      </x:c>
      <x:c r="D38" s="9" t="str">
        <x:v>BAT-B-03</x:v>
      </x:c>
      <x:c r="E38" s="9" t="str">
        <x:v>BAT-B-03</x:v>
      </x:c>
      <x:c r="F38" s="9" t="str">
        <x:v>T007</x:v>
      </x:c>
      <x:c r="G38" s="9" t="str">
        <x:v>现有</x:v>
      </x:c>
      <x:c r="H38" s="11" t="n">
        <x:v>1555.405</x:v>
      </x:c>
      <x:c r="I38" s="11" t="n">
        <x:v>3989.868</x:v>
      </x:c>
      <x:c r="J38" s="11" t="n">
        <x:f>ROUND(I38-H38,3)</x:f>
        <x:v>2434.463</x:v>
      </x:c>
    </x:row>
    <x:row r="39" ht="24" customHeight="1">
      <x:c r="A39" s="2" t="n">
        <x:v>2</x:v>
      </x:c>
      <x:c r="B39" s="2" t="str">
        <x:v>G2</x:v>
      </x:c>
      <x:c r="C39" s="2" t="str">
        <x:v>B型共享电池</x:v>
      </x:c>
      <x:c r="D39" s="2" t="str">
        <x:v>BAT-B-04</x:v>
      </x:c>
      <x:c r="E39" s="2" t="str">
        <x:v>BAT-B-04</x:v>
      </x:c>
      <x:c r="F39" s="2" t="str">
        <x:v>T012</x:v>
      </x:c>
      <x:c r="G39" s="2" t="str">
        <x:v>现有</x:v>
      </x:c>
      <x:c r="H39" s="10" t="n">
        <x:v>1869.749</x:v>
      </x:c>
      <x:c r="I39" s="10" t="n">
        <x:v>5652.037</x:v>
      </x:c>
      <x:c r="J39" s="10" t="n">
        <x:f>ROUND(I39-H39,3)</x:f>
        <x:v>3782.288</x:v>
      </x:c>
    </x:row>
    <x:row r="40" ht="24" customHeight="1">
      <x:c r="A40" s="9" t="n">
        <x:v>2</x:v>
      </x:c>
      <x:c r="B40" s="9" t="str">
        <x:v>G2</x:v>
      </x:c>
      <x:c r="C40" s="9" t="str">
        <x:v>B型共享电池</x:v>
      </x:c>
      <x:c r="D40" s="9" t="str">
        <x:v>BAT-B-02</x:v>
      </x:c>
      <x:c r="E40" s="9" t="str">
        <x:v>BAT-B-02</x:v>
      </x:c>
      <x:c r="F40" s="9" t="str">
        <x:v>T014</x:v>
      </x:c>
      <x:c r="G40" s="9" t="str">
        <x:v>现有</x:v>
      </x:c>
      <x:c r="H40" s="11" t="n">
        <x:v>3012.133</x:v>
      </x:c>
      <x:c r="I40" s="11" t="n">
        <x:v>6778.13</x:v>
      </x:c>
      <x:c r="J40" s="11" t="n">
        <x:f>ROUND(I40-H40,3)</x:f>
        <x:v>3765.997</x:v>
      </x:c>
    </x:row>
    <x:row r="41" ht="24" customHeight="1">
      <x:c r="A41" s="2" t="n">
        <x:v>2</x:v>
      </x:c>
      <x:c r="B41" s="2" t="str">
        <x:v>G2</x:v>
      </x:c>
      <x:c r="C41" s="2" t="str">
        <x:v>B型共享电池</x:v>
      </x:c>
      <x:c r="D41" s="2" t="str">
        <x:v>BAT-B-01</x:v>
      </x:c>
      <x:c r="E41" s="2" t="str">
        <x:v>BAT-B-01</x:v>
      </x:c>
      <x:c r="F41" s="2" t="str">
        <x:v>T017</x:v>
      </x:c>
      <x:c r="G41" s="2" t="str">
        <x:v>现有</x:v>
      </x:c>
      <x:c r="H41" s="10" t="n">
        <x:v>3792.577</x:v>
      </x:c>
      <x:c r="I41" s="10" t="n">
        <x:v>7710.343</x:v>
      </x:c>
      <x:c r="J41" s="10" t="n">
        <x:f>ROUND(I41-H41,3)</x:f>
        <x:v>3917.766</x:v>
      </x:c>
    </x:row>
    <x:row r="42" ht="24" customHeight="1">
      <x:c r="A42" s="9" t="n">
        <x:v>2</x:v>
      </x:c>
      <x:c r="B42" s="9" t="str">
        <x:v>G2</x:v>
      </x:c>
      <x:c r="C42" s="9" t="str">
        <x:v>B型共享电池</x:v>
      </x:c>
      <x:c r="D42" s="9" t="str">
        <x:v>BAT-B-03</x:v>
      </x:c>
      <x:c r="E42" s="9" t="str">
        <x:v>BAT-B-03</x:v>
      </x:c>
      <x:c r="F42" s="9" t="str">
        <x:v>T021</x:v>
      </x:c>
      <x:c r="G42" s="9" t="str">
        <x:v>现有</x:v>
      </x:c>
      <x:c r="H42" s="11" t="n">
        <x:v>4913.976</x:v>
      </x:c>
      <x:c r="I42" s="11" t="n">
        <x:v>7920.519</x:v>
      </x:c>
      <x:c r="J42" s="11" t="n">
        <x:f>ROUND(I42-H42,3)</x:f>
        <x:v>3006.543</x:v>
      </x:c>
    </x:row>
    <x:row r="43" ht="24" customHeight="1">
      <x:c r="A43" s="2" t="n">
        <x:v>2</x:v>
      </x:c>
      <x:c r="B43" s="2" t="str">
        <x:v>G2</x:v>
      </x:c>
      <x:c r="C43" s="2" t="str">
        <x:v>C型共享电池</x:v>
      </x:c>
      <x:c r="D43" s="2" t="str">
        <x:v>ADD-B_C-01</x:v>
      </x:c>
      <x:c r="E43" s="2" t="str">
        <x:v>BAT-C-03</x:v>
      </x:c>
      <x:c r="F43" s="2" t="str">
        <x:v>T006</x:v>
      </x:c>
      <x:c r="G43" s="2" t="str">
        <x:v>待补</x:v>
      </x:c>
      <x:c r="H43" s="10" t="n">
        <x:v>1494.177</x:v>
      </x:c>
      <x:c r="I43" s="10" t="n">
        <x:v>6202.451</x:v>
      </x:c>
      <x:c r="J43" s="10" t="n">
        <x:f>ROUND(I43-H43,3)</x:f>
        <x:v>4708.274</x:v>
      </x:c>
    </x:row>
    <x:row r="44" ht="24" customHeight="1">
      <x:c r="A44" s="9" t="n">
        <x:v>2</x:v>
      </x:c>
      <x:c r="B44" s="9" t="str">
        <x:v>G2</x:v>
      </x:c>
      <x:c r="C44" s="9" t="str">
        <x:v>C型共享电池</x:v>
      </x:c>
      <x:c r="D44" s="9" t="str">
        <x:v>ADD-B_C-02</x:v>
      </x:c>
      <x:c r="E44" s="9" t="str">
        <x:v>BAT-C-04</x:v>
      </x:c>
      <x:c r="F44" s="9" t="str">
        <x:v>T010</x:v>
      </x:c>
      <x:c r="G44" s="9" t="str">
        <x:v>待补</x:v>
      </x:c>
      <x:c r="H44" s="11" t="n">
        <x:v>1692.176</x:v>
      </x:c>
      <x:c r="I44" s="11" t="n">
        <x:v>6492.965</x:v>
      </x:c>
      <x:c r="J44" s="11" t="n">
        <x:f>ROUND(I44-H44,3)</x:f>
        <x:v>4800.789</x:v>
      </x:c>
    </x:row>
    <x:row r="45" ht="24" customHeight="1">
      <x:c r="A45" s="2" t="n">
        <x:v>2</x:v>
      </x:c>
      <x:c r="B45" s="2" t="str">
        <x:v>G2</x:v>
      </x:c>
      <x:c r="C45" s="2" t="str">
        <x:v>C型共享电池</x:v>
      </x:c>
      <x:c r="D45" s="2" t="str">
        <x:v>BAT-C-03</x:v>
      </x:c>
      <x:c r="E45" s="2" t="str">
        <x:v>BAT-C-01</x:v>
      </x:c>
      <x:c r="F45" s="2" t="str">
        <x:v>T016</x:v>
      </x:c>
      <x:c r="G45" s="2" t="str">
        <x:v>现有</x:v>
      </x:c>
      <x:c r="H45" s="10" t="n">
        <x:v>3668.021</x:v>
      </x:c>
      <x:c r="I45" s="10" t="n">
        <x:v>8926.383</x:v>
      </x:c>
      <x:c r="J45" s="10" t="n">
        <x:f>ROUND(I45-H45,3)</x:f>
        <x:v>5258.362</x:v>
      </x:c>
    </x:row>
    <x:row r="46" ht="24" customHeight="1">
      <x:c r="A46" s="9" t="n">
        <x:v>2</x:v>
      </x:c>
      <x:c r="B46" s="9" t="str">
        <x:v>G2</x:v>
      </x:c>
      <x:c r="C46" s="9" t="str">
        <x:v>C型共享电池</x:v>
      </x:c>
      <x:c r="D46" s="9" t="str">
        <x:v>BAT-C-04</x:v>
      </x:c>
      <x:c r="E46" s="9" t="str">
        <x:v>BAT-C-02</x:v>
      </x:c>
      <x:c r="F46" s="9" t="str">
        <x:v>T019</x:v>
      </x:c>
      <x:c r="G46" s="9" t="str">
        <x:v>现有</x:v>
      </x:c>
      <x:c r="H46" s="11" t="n">
        <x:v>3993.232</x:v>
      </x:c>
      <x:c r="I46" s="11" t="n">
        <x:v>8439.815</x:v>
      </x:c>
      <x:c r="J46" s="11" t="n">
        <x:f>ROUND(I46-H46,3)</x:f>
        <x:v>4446.583</x:v>
      </x:c>
    </x:row>
    <x:row r="47" ht="24" customHeight="1">
      <x:c r="A47" s="2" t="n">
        <x:v>2</x:v>
      </x:c>
      <x:c r="B47" s="2" t="str">
        <x:v>G2</x:v>
      </x:c>
      <x:c r="C47" s="2" t="str">
        <x:v>中继无人机</x:v>
      </x:c>
      <x:c r="D47" s="2" t="str">
        <x:v>R01</x:v>
      </x:c>
      <x:c r="E47" s="2" t="str">
        <x:v>R01</x:v>
      </x:c>
      <x:c r="F47" s="2" t="str">
        <x:v>R001</x:v>
      </x:c>
      <x:c r="G47" s="2" t="str">
        <x:v>现有</x:v>
      </x:c>
      <x:c r="H47" s="10" t="n">
        <x:v>194.652</x:v>
      </x:c>
      <x:c r="I47" s="10" t="n">
        <x:v>2146.524</x:v>
      </x:c>
      <x:c r="J47" s="10" t="n">
        <x:f>ROUND(I47-H47,3)</x:f>
        <x:v>1951.872</x:v>
      </x:c>
    </x:row>
    <x:row r="48" ht="24" customHeight="1">
      <x:c r="A48" s="9" t="n">
        <x:v>2</x:v>
      </x:c>
      <x:c r="B48" s="9" t="str">
        <x:v>G2</x:v>
      </x:c>
      <x:c r="C48" s="9" t="str">
        <x:v>中继无人机</x:v>
      </x:c>
      <x:c r="D48" s="9" t="str">
        <x:v>R02</x:v>
      </x:c>
      <x:c r="E48" s="9" t="str">
        <x:v>R02</x:v>
      </x:c>
      <x:c r="F48" s="9" t="str">
        <x:v>R002</x:v>
      </x:c>
      <x:c r="G48" s="9" t="str">
        <x:v>现有</x:v>
      </x:c>
      <x:c r="H48" s="11" t="n">
        <x:v>1571.428</x:v>
      </x:c>
      <x:c r="I48" s="11" t="n">
        <x:v>4478.986</x:v>
      </x:c>
      <x:c r="J48" s="11" t="n">
        <x:f>ROUND(I48-H48,3)</x:f>
        <x:v>2907.558</x:v>
      </x:c>
    </x:row>
    <x:row r="49" ht="24" customHeight="1">
      <x:c r="A49" s="2" t="n">
        <x:v>2</x:v>
      </x:c>
      <x:c r="B49" s="2" t="str">
        <x:v>G2</x:v>
      </x:c>
      <x:c r="C49" s="2" t="str">
        <x:v>中继无人机</x:v>
      </x:c>
      <x:c r="D49" s="2" t="str">
        <x:v>R01</x:v>
      </x:c>
      <x:c r="E49" s="2" t="str">
        <x:v>R01</x:v>
      </x:c>
      <x:c r="F49" s="2" t="str">
        <x:v>R003</x:v>
      </x:c>
      <x:c r="G49" s="2" t="str">
        <x:v>现有</x:v>
      </x:c>
      <x:c r="H49" s="10" t="n">
        <x:v>2345.282</x:v>
      </x:c>
      <x:c r="I49" s="10" t="n">
        <x:v>6912.284</x:v>
      </x:c>
      <x:c r="J49" s="10" t="n">
        <x:f>ROUND(I49-H49,3)</x:f>
        <x:v>4567.002</x:v>
      </x:c>
    </x:row>
    <x:row r="50" ht="24" customHeight="1">
      <x:c r="A50" s="9" t="n">
        <x:v>2</x:v>
      </x:c>
      <x:c r="B50" s="9" t="str">
        <x:v>G2</x:v>
      </x:c>
      <x:c r="C50" s="9" t="str">
        <x:v>中继能源组件</x:v>
      </x:c>
      <x:c r="D50" s="9" t="str">
        <x:v>RE01</x:v>
      </x:c>
      <x:c r="E50" s="9" t="str">
        <x:v>RE01</x:v>
      </x:c>
      <x:c r="F50" s="9" t="str">
        <x:v>R001</x:v>
      </x:c>
      <x:c r="G50" s="9" t="str">
        <x:v>现有</x:v>
      </x:c>
      <x:c r="H50" s="11" t="n">
        <x:v>194.652</x:v>
      </x:c>
      <x:c r="I50" s="11" t="n">
        <x:v>2519.917</x:v>
      </x:c>
      <x:c r="J50" s="11" t="n">
        <x:f>ROUND(I50-H50,3)</x:f>
        <x:v>2325.265</x:v>
      </x:c>
    </x:row>
    <x:row r="51" ht="24" customHeight="1">
      <x:c r="A51" s="2" t="n">
        <x:v>2</x:v>
      </x:c>
      <x:c r="B51" s="2" t="str">
        <x:v>G2</x:v>
      </x:c>
      <x:c r="C51" s="2" t="str">
        <x:v>中继能源组件</x:v>
      </x:c>
      <x:c r="D51" s="2" t="str">
        <x:v>RE02</x:v>
      </x:c>
      <x:c r="E51" s="2" t="str">
        <x:v>RE02</x:v>
      </x:c>
      <x:c r="F51" s="2" t="str">
        <x:v>R002</x:v>
      </x:c>
      <x:c r="G51" s="2" t="str">
        <x:v>现有</x:v>
      </x:c>
      <x:c r="H51" s="10" t="n">
        <x:v>1571.428</x:v>
      </x:c>
      <x:c r="I51" s="10" t="n">
        <x:v>4969.598</x:v>
      </x:c>
      <x:c r="J51" s="10" t="n">
        <x:f>ROUND(I51-H51,3)</x:f>
        <x:v>3398.17</x:v>
      </x:c>
    </x:row>
    <x:row r="52" ht="24" customHeight="1">
      <x:c r="A52" s="9" t="n">
        <x:v>2</x:v>
      </x:c>
      <x:c r="B52" s="9" t="str">
        <x:v>G2</x:v>
      </x:c>
      <x:c r="C52" s="9" t="str">
        <x:v>中继能源组件</x:v>
      </x:c>
      <x:c r="D52" s="9" t="str">
        <x:v>RE03</x:v>
      </x:c>
      <x:c r="E52" s="9" t="str">
        <x:v>RE03</x:v>
      </x:c>
      <x:c r="F52" s="9" t="str">
        <x:v>R003</x:v>
      </x:c>
      <x:c r="G52" s="9" t="str">
        <x:v>现有</x:v>
      </x:c>
      <x:c r="H52" s="11" t="n">
        <x:v>2345.282</x:v>
      </x:c>
      <x:c r="I52" s="11" t="n">
        <x:v>7602.685</x:v>
      </x:c>
      <x:c r="J52" s="11" t="n">
        <x:f>ROUND(I52-H52,3)</x:f>
        <x:v>5257.403</x:v>
      </x:c>
    </x:row>
    <x:row r="53" ht="24" customHeight="1">
      <x:c r="A53" s="2" t="n">
        <x:v>3</x:v>
      </x:c>
      <x:c r="B53" s="2" t="str">
        <x:v>G1</x:v>
      </x:c>
      <x:c r="C53" s="2" t="str">
        <x:v>C型运输无人机</x:v>
      </x:c>
      <x:c r="D53" s="2" t="str">
        <x:v>U08</x:v>
      </x:c>
      <x:c r="E53" s="2" t="str">
        <x:v>U08</x:v>
      </x:c>
      <x:c r="F53" s="2" t="str">
        <x:v>T005</x:v>
      </x:c>
      <x:c r="G53" s="2" t="str">
        <x:v>现有</x:v>
      </x:c>
      <x:c r="H53" s="10" t="n">
        <x:v>0</x:v>
      </x:c>
      <x:c r="I53" s="10" t="n">
        <x:v>1494.176</x:v>
      </x:c>
      <x:c r="J53" s="10" t="n">
        <x:f>ROUND(I53-H53,3)</x:f>
        <x:v>1494.176</x:v>
      </x:c>
    </x:row>
    <x:row r="54" ht="24" customHeight="1">
      <x:c r="A54" s="9" t="n">
        <x:v>3</x:v>
      </x:c>
      <x:c r="B54" s="9" t="str">
        <x:v>G1</x:v>
      </x:c>
      <x:c r="C54" s="9" t="str">
        <x:v>C型运输无人机</x:v>
      </x:c>
      <x:c r="D54" s="9" t="str">
        <x:v>U07</x:v>
      </x:c>
      <x:c r="E54" s="9" t="str">
        <x:v>U07</x:v>
      </x:c>
      <x:c r="F54" s="9" t="str">
        <x:v>T004</x:v>
      </x:c>
      <x:c r="G54" s="9" t="str">
        <x:v>现有</x:v>
      </x:c>
      <x:c r="H54" s="11" t="n">
        <x:v>0</x:v>
      </x:c>
      <x:c r="I54" s="11" t="n">
        <x:v>1692.176</x:v>
      </x:c>
      <x:c r="J54" s="11" t="n">
        <x:f>ROUND(I54-H54,3)</x:f>
        <x:v>1692.176</x:v>
      </x:c>
    </x:row>
    <x:row r="55" ht="24" customHeight="1">
      <x:c r="A55" s="2" t="n">
        <x:v>3</x:v>
      </x:c>
      <x:c r="B55" s="2" t="str">
        <x:v>G1</x:v>
      </x:c>
      <x:c r="C55" s="2" t="str">
        <x:v>C型共享电池</x:v>
      </x:c>
      <x:c r="D55" s="2" t="str">
        <x:v>BAT-C-02</x:v>
      </x:c>
      <x:c r="E55" s="2" t="str">
        <x:v>BAT-C-02</x:v>
      </x:c>
      <x:c r="F55" s="2" t="str">
        <x:v>T005</x:v>
      </x:c>
      <x:c r="G55" s="2" t="str">
        <x:v>现有</x:v>
      </x:c>
      <x:c r="H55" s="10" t="n">
        <x:v>0</x:v>
      </x:c>
      <x:c r="I55" s="10" t="n">
        <x:v>3138.866</x:v>
      </x:c>
      <x:c r="J55" s="10" t="n">
        <x:f>ROUND(I55-H55,3)</x:f>
        <x:v>3138.866</x:v>
      </x:c>
    </x:row>
    <x:row r="56" ht="24" customHeight="1">
      <x:c r="A56" s="9" t="n">
        <x:v>3</x:v>
      </x:c>
      <x:c r="B56" s="9" t="str">
        <x:v>G1</x:v>
      </x:c>
      <x:c r="C56" s="9" t="str">
        <x:v>C型共享电池</x:v>
      </x:c>
      <x:c r="D56" s="9" t="str">
        <x:v>BAT-C-01</x:v>
      </x:c>
      <x:c r="E56" s="9" t="str">
        <x:v>BAT-C-01</x:v>
      </x:c>
      <x:c r="F56" s="9" t="str">
        <x:v>T004</x:v>
      </x:c>
      <x:c r="G56" s="9" t="str">
        <x:v>现有</x:v>
      </x:c>
      <x:c r="H56" s="11" t="n">
        <x:v>0</x:v>
      </x:c>
      <x:c r="I56" s="11" t="n">
        <x:v>3315.69</x:v>
      </x:c>
      <x:c r="J56" s="11" t="n">
        <x:f>ROUND(I56-H56,3)</x:f>
        <x:v>3315.69</x:v>
      </x:c>
    </x:row>
    <x:row r="57" ht="24" customHeight="1">
      <x:c r="A57" s="2" t="n">
        <x:v>3</x:v>
      </x:c>
      <x:c r="B57" s="2" t="str">
        <x:v>G2</x:v>
      </x:c>
      <x:c r="C57" s="2" t="str">
        <x:v>A型运输无人机</x:v>
      </x:c>
      <x:c r="D57" s="2" t="str">
        <x:v>U01</x:v>
      </x:c>
      <x:c r="E57" s="2" t="str">
        <x:v>U01</x:v>
      </x:c>
      <x:c r="F57" s="2" t="str">
        <x:v>T001</x:v>
      </x:c>
      <x:c r="G57" s="2" t="str">
        <x:v>现有</x:v>
      </x:c>
      <x:c r="H57" s="10" t="n">
        <x:v>0</x:v>
      </x:c>
      <x:c r="I57" s="10" t="n">
        <x:v>1313.477</x:v>
      </x:c>
      <x:c r="J57" s="10" t="n">
        <x:f>ROUND(I57-H57,3)</x:f>
        <x:v>1313.477</x:v>
      </x:c>
    </x:row>
    <x:row r="58" ht="24" customHeight="1">
      <x:c r="A58" s="9" t="n">
        <x:v>3</x:v>
      </x:c>
      <x:c r="B58" s="9" t="str">
        <x:v>G2</x:v>
      </x:c>
      <x:c r="C58" s="9" t="str">
        <x:v>A型运输无人机</x:v>
      </x:c>
      <x:c r="D58" s="9" t="str">
        <x:v>U01</x:v>
      </x:c>
      <x:c r="E58" s="9" t="str">
        <x:v>U01</x:v>
      </x:c>
      <x:c r="F58" s="9" t="str">
        <x:v>T008</x:v>
      </x:c>
      <x:c r="G58" s="9" t="str">
        <x:v>现有</x:v>
      </x:c>
      <x:c r="H58" s="11" t="n">
        <x:v>1641.16</x:v>
      </x:c>
      <x:c r="I58" s="11" t="n">
        <x:v>4316.739</x:v>
      </x:c>
      <x:c r="J58" s="11" t="n">
        <x:f>ROUND(I58-H58,3)</x:f>
        <x:v>2675.579</x:v>
      </x:c>
    </x:row>
    <x:row r="59" ht="24" customHeight="1">
      <x:c r="A59" s="2" t="n">
        <x:v>3</x:v>
      </x:c>
      <x:c r="B59" s="2" t="str">
        <x:v>G2</x:v>
      </x:c>
      <x:c r="C59" s="2" t="str">
        <x:v>A型运输无人机</x:v>
      </x:c>
      <x:c r="D59" s="2" t="str">
        <x:v>U02</x:v>
      </x:c>
      <x:c r="E59" s="2" t="str">
        <x:v>U02</x:v>
      </x:c>
      <x:c r="F59" s="2" t="str">
        <x:v>T009</x:v>
      </x:c>
      <x:c r="G59" s="2" t="str">
        <x:v>现有</x:v>
      </x:c>
      <x:c r="H59" s="10" t="n">
        <x:v>1671.16</x:v>
      </x:c>
      <x:c r="I59" s="10" t="n">
        <x:v>3283.324</x:v>
      </x:c>
      <x:c r="J59" s="10" t="n">
        <x:f>ROUND(I59-H59,3)</x:f>
        <x:v>1612.164</x:v>
      </x:c>
    </x:row>
    <x:row r="60" ht="24" customHeight="1">
      <x:c r="A60" s="9" t="n">
        <x:v>3</x:v>
      </x:c>
      <x:c r="B60" s="9" t="str">
        <x:v>G2</x:v>
      </x:c>
      <x:c r="C60" s="9" t="str">
        <x:v>A型运输无人机</x:v>
      </x:c>
      <x:c r="D60" s="9" t="str">
        <x:v>U03</x:v>
      </x:c>
      <x:c r="E60" s="9" t="str">
        <x:v>U03</x:v>
      </x:c>
      <x:c r="F60" s="9" t="str">
        <x:v>T011</x:v>
      </x:c>
      <x:c r="G60" s="9" t="str">
        <x:v>现有</x:v>
      </x:c>
      <x:c r="H60" s="11" t="n">
        <x:v>1844.884</x:v>
      </x:c>
      <x:c r="I60" s="11" t="n">
        <x:v>3974.033</x:v>
      </x:c>
      <x:c r="J60" s="11" t="n">
        <x:f>ROUND(I60-H60,3)</x:f>
        <x:v>2129.149</x:v>
      </x:c>
    </x:row>
    <x:row r="61" ht="24" customHeight="1">
      <x:c r="A61" s="2" t="n">
        <x:v>3</x:v>
      </x:c>
      <x:c r="B61" s="2" t="str">
        <x:v>G2</x:v>
      </x:c>
      <x:c r="C61" s="2" t="str">
        <x:v>A型运输无人机</x:v>
      </x:c>
      <x:c r="D61" s="2" t="str">
        <x:v>U04</x:v>
      </x:c>
      <x:c r="E61" s="2" t="str">
        <x:v>U04</x:v>
      </x:c>
      <x:c r="F61" s="2" t="str">
        <x:v>T013</x:v>
      </x:c>
      <x:c r="G61" s="2" t="str">
        <x:v>现有</x:v>
      </x:c>
      <x:c r="H61" s="10" t="n">
        <x:v>2488.626</x:v>
      </x:c>
      <x:c r="I61" s="10" t="n">
        <x:v>4216.094</x:v>
      </x:c>
      <x:c r="J61" s="10" t="n">
        <x:f>ROUND(I61-H61,3)</x:f>
        <x:v>1727.468</x:v>
      </x:c>
    </x:row>
    <x:row r="62" ht="24" customHeight="1">
      <x:c r="A62" s="9" t="n">
        <x:v>3</x:v>
      </x:c>
      <x:c r="B62" s="9" t="str">
        <x:v>G2</x:v>
      </x:c>
      <x:c r="C62" s="9" t="str">
        <x:v>A型运输无人机</x:v>
      </x:c>
      <x:c r="D62" s="9" t="str">
        <x:v>U02</x:v>
      </x:c>
      <x:c r="E62" s="9" t="str">
        <x:v>U02</x:v>
      </x:c>
      <x:c r="F62" s="9" t="str">
        <x:v>T015</x:v>
      </x:c>
      <x:c r="G62" s="9" t="str">
        <x:v>现有</x:v>
      </x:c>
      <x:c r="H62" s="11" t="n">
        <x:v>3283.324</x:v>
      </x:c>
      <x:c r="I62" s="11" t="n">
        <x:v>5886.793</x:v>
      </x:c>
      <x:c r="J62" s="11" t="n">
        <x:f>ROUND(I62-H62,3)</x:f>
        <x:v>2603.469</x:v>
      </x:c>
    </x:row>
    <x:row r="63" ht="24" customHeight="1">
      <x:c r="A63" s="2" t="n">
        <x:v>3</x:v>
      </x:c>
      <x:c r="B63" s="2" t="str">
        <x:v>G2</x:v>
      </x:c>
      <x:c r="C63" s="2" t="str">
        <x:v>A型运输无人机</x:v>
      </x:c>
      <x:c r="D63" s="2" t="str">
        <x:v>U03</x:v>
      </x:c>
      <x:c r="E63" s="2" t="str">
        <x:v>U03</x:v>
      </x:c>
      <x:c r="F63" s="2" t="str">
        <x:v>T018</x:v>
      </x:c>
      <x:c r="G63" s="2" t="str">
        <x:v>现有</x:v>
      </x:c>
      <x:c r="H63" s="10" t="n">
        <x:v>3974.033</x:v>
      </x:c>
      <x:c r="I63" s="10" t="n">
        <x:v>5942.687</x:v>
      </x:c>
      <x:c r="J63" s="10" t="n">
        <x:f>ROUND(I63-H63,3)</x:f>
        <x:v>1968.654</x:v>
      </x:c>
    </x:row>
    <x:row r="64" ht="24" customHeight="1">
      <x:c r="A64" s="9" t="n">
        <x:v>3</x:v>
      </x:c>
      <x:c r="B64" s="9" t="str">
        <x:v>G2</x:v>
      </x:c>
      <x:c r="C64" s="9" t="str">
        <x:v>A型运输无人机</x:v>
      </x:c>
      <x:c r="D64" s="9" t="str">
        <x:v>U01</x:v>
      </x:c>
      <x:c r="E64" s="9" t="str">
        <x:v>U01</x:v>
      </x:c>
      <x:c r="F64" s="9" t="str">
        <x:v>T020</x:v>
      </x:c>
      <x:c r="G64" s="9" t="str">
        <x:v>现有</x:v>
      </x:c>
      <x:c r="H64" s="11" t="n">
        <x:v>4368.478</x:v>
      </x:c>
      <x:c r="I64" s="11" t="n">
        <x:v>6057.118</x:v>
      </x:c>
      <x:c r="J64" s="11" t="n">
        <x:f>ROUND(I64-H64,3)</x:f>
        <x:v>1688.64</x:v>
      </x:c>
    </x:row>
    <x:row r="65" ht="24" customHeight="1">
      <x:c r="A65" s="2" t="n">
        <x:v>3</x:v>
      </x:c>
      <x:c r="B65" s="2" t="str">
        <x:v>G2</x:v>
      </x:c>
      <x:c r="C65" s="2" t="str">
        <x:v>B型运输无人机</x:v>
      </x:c>
      <x:c r="D65" s="2" t="str">
        <x:v>U06</x:v>
      </x:c>
      <x:c r="E65" s="2" t="str">
        <x:v>U06</x:v>
      </x:c>
      <x:c r="F65" s="2" t="str">
        <x:v>T007</x:v>
      </x:c>
      <x:c r="G65" s="2" t="str">
        <x:v>现有</x:v>
      </x:c>
      <x:c r="H65" s="10" t="n">
        <x:v>1555.405</x:v>
      </x:c>
      <x:c r="I65" s="10" t="n">
        <x:v>2762.676</x:v>
      </x:c>
      <x:c r="J65" s="10" t="n">
        <x:f>ROUND(I65-H65,3)</x:f>
        <x:v>1207.271</x:v>
      </x:c>
    </x:row>
    <x:row r="66" ht="24" customHeight="1">
      <x:c r="A66" s="9" t="n">
        <x:v>3</x:v>
      </x:c>
      <x:c r="B66" s="9" t="str">
        <x:v>G2</x:v>
      </x:c>
      <x:c r="C66" s="9" t="str">
        <x:v>B型运输无人机</x:v>
      </x:c>
      <x:c r="D66" s="9" t="str">
        <x:v>U05</x:v>
      </x:c>
      <x:c r="E66" s="9" t="str">
        <x:v>U05</x:v>
      </x:c>
      <x:c r="F66" s="9" t="str">
        <x:v>T012</x:v>
      </x:c>
      <x:c r="G66" s="9" t="str">
        <x:v>现有</x:v>
      </x:c>
      <x:c r="H66" s="11" t="n">
        <x:v>1869.749</x:v>
      </x:c>
      <x:c r="I66" s="11" t="n">
        <x:v>3792.577</x:v>
      </x:c>
      <x:c r="J66" s="11" t="n">
        <x:f>ROUND(I66-H66,3)</x:f>
        <x:v>1922.828</x:v>
      </x:c>
    </x:row>
    <x:row r="67" ht="24" customHeight="1">
      <x:c r="A67" s="2" t="n">
        <x:v>3</x:v>
      </x:c>
      <x:c r="B67" s="2" t="str">
        <x:v>G2</x:v>
      </x:c>
      <x:c r="C67" s="2" t="str">
        <x:v>B型运输无人机</x:v>
      </x:c>
      <x:c r="D67" s="2" t="str">
        <x:v>U06</x:v>
      </x:c>
      <x:c r="E67" s="2" t="str">
        <x:v>U06</x:v>
      </x:c>
      <x:c r="F67" s="2" t="str">
        <x:v>T014</x:v>
      </x:c>
      <x:c r="G67" s="2" t="str">
        <x:v>现有</x:v>
      </x:c>
      <x:c r="H67" s="10" t="n">
        <x:v>3012.133</x:v>
      </x:c>
      <x:c r="I67" s="10" t="n">
        <x:v>4913.976</x:v>
      </x:c>
      <x:c r="J67" s="10" t="n">
        <x:f>ROUND(I67-H67,3)</x:f>
        <x:v>1901.843</x:v>
      </x:c>
    </x:row>
    <x:row r="68" ht="24" customHeight="1">
      <x:c r="A68" s="9" t="n">
        <x:v>3</x:v>
      </x:c>
      <x:c r="B68" s="9" t="str">
        <x:v>G2</x:v>
      </x:c>
      <x:c r="C68" s="9" t="str">
        <x:v>B型运输无人机</x:v>
      </x:c>
      <x:c r="D68" s="9" t="str">
        <x:v>U05</x:v>
      </x:c>
      <x:c r="E68" s="9" t="str">
        <x:v>U05</x:v>
      </x:c>
      <x:c r="F68" s="9" t="str">
        <x:v>T017</x:v>
      </x:c>
      <x:c r="G68" s="9" t="str">
        <x:v>现有</x:v>
      </x:c>
      <x:c r="H68" s="11" t="n">
        <x:v>3792.577</x:v>
      </x:c>
      <x:c r="I68" s="11" t="n">
        <x:v>5754.42</x:v>
      </x:c>
      <x:c r="J68" s="11" t="n">
        <x:f>ROUND(I68-H68,3)</x:f>
        <x:v>1961.843</x:v>
      </x:c>
    </x:row>
    <x:row r="69" ht="24" customHeight="1">
      <x:c r="A69" s="2" t="n">
        <x:v>3</x:v>
      </x:c>
      <x:c r="B69" s="2" t="str">
        <x:v>G2</x:v>
      </x:c>
      <x:c r="C69" s="2" t="str">
        <x:v>B型运输无人机</x:v>
      </x:c>
      <x:c r="D69" s="2" t="str">
        <x:v>U06</x:v>
      </x:c>
      <x:c r="E69" s="2" t="str">
        <x:v>U06</x:v>
      </x:c>
      <x:c r="F69" s="2" t="str">
        <x:v>T021</x:v>
      </x:c>
      <x:c r="G69" s="2" t="str">
        <x:v>现有</x:v>
      </x:c>
      <x:c r="H69" s="10" t="n">
        <x:v>4913.976</x:v>
      </x:c>
      <x:c r="I69" s="10" t="n">
        <x:v>6559.627</x:v>
      </x:c>
      <x:c r="J69" s="10" t="n">
        <x:f>ROUND(I69-H69,3)</x:f>
        <x:v>1645.651</x:v>
      </x:c>
    </x:row>
    <x:row r="70" ht="24" customHeight="1">
      <x:c r="A70" s="9" t="n">
        <x:v>3</x:v>
      </x:c>
      <x:c r="B70" s="9" t="str">
        <x:v>G2</x:v>
      </x:c>
      <x:c r="C70" s="9" t="str">
        <x:v>C型运输无人机</x:v>
      </x:c>
      <x:c r="D70" s="9" t="str">
        <x:v>ADD-U_C-02</x:v>
      </x:c>
      <x:c r="E70" s="9" t="str">
        <x:v>U08</x:v>
      </x:c>
      <x:c r="F70" s="9" t="str">
        <x:v>T006</x:v>
      </x:c>
      <x:c r="G70" s="9" t="str">
        <x:v>待补</x:v>
      </x:c>
      <x:c r="H70" s="11" t="n">
        <x:v>1494.177</x:v>
      </x:c>
      <x:c r="I70" s="11" t="n">
        <x:v>3668.021</x:v>
      </x:c>
      <x:c r="J70" s="11" t="n">
        <x:f>ROUND(I70-H70,3)</x:f>
        <x:v>2173.844</x:v>
      </x:c>
    </x:row>
    <x:row r="71" ht="24" customHeight="1">
      <x:c r="A71" s="2" t="n">
        <x:v>3</x:v>
      </x:c>
      <x:c r="B71" s="2" t="str">
        <x:v>G2</x:v>
      </x:c>
      <x:c r="C71" s="2" t="str">
        <x:v>C型运输无人机</x:v>
      </x:c>
      <x:c r="D71" s="2" t="str">
        <x:v>ADD-U_C-01</x:v>
      </x:c>
      <x:c r="E71" s="2" t="str">
        <x:v>U07</x:v>
      </x:c>
      <x:c r="F71" s="2" t="str">
        <x:v>T010</x:v>
      </x:c>
      <x:c r="G71" s="2" t="str">
        <x:v>待补</x:v>
      </x:c>
      <x:c r="H71" s="10" t="n">
        <x:v>1692.176</x:v>
      </x:c>
      <x:c r="I71" s="10" t="n">
        <x:v>3993.232</x:v>
      </x:c>
      <x:c r="J71" s="10" t="n">
        <x:f>ROUND(I71-H71,3)</x:f>
        <x:v>2301.056</x:v>
      </x:c>
    </x:row>
    <x:row r="72" ht="24" customHeight="1">
      <x:c r="A72" s="9" t="n">
        <x:v>3</x:v>
      </x:c>
      <x:c r="B72" s="9" t="str">
        <x:v>G2</x:v>
      </x:c>
      <x:c r="C72" s="9" t="str">
        <x:v>C型运输无人机</x:v>
      </x:c>
      <x:c r="D72" s="9" t="str">
        <x:v>ADD-U_C-02</x:v>
      </x:c>
      <x:c r="E72" s="9" t="str">
        <x:v>U08</x:v>
      </x:c>
      <x:c r="F72" s="9" t="str">
        <x:v>T016</x:v>
      </x:c>
      <x:c r="G72" s="9" t="str">
        <x:v>待补</x:v>
      </x:c>
      <x:c r="H72" s="11" t="n">
        <x:v>3668.021</x:v>
      </x:c>
      <x:c r="I72" s="11" t="n">
        <x:v>6361.703</x:v>
      </x:c>
      <x:c r="J72" s="11" t="n">
        <x:f>ROUND(I72-H72,3)</x:f>
        <x:v>2693.682</x:v>
      </x:c>
    </x:row>
    <x:row r="73" ht="24" customHeight="1">
      <x:c r="A73" s="2" t="n">
        <x:v>3</x:v>
      </x:c>
      <x:c r="B73" s="2" t="str">
        <x:v>G2</x:v>
      </x:c>
      <x:c r="C73" s="2" t="str">
        <x:v>C型运输无人机</x:v>
      </x:c>
      <x:c r="D73" s="2" t="str">
        <x:v>ADD-U_C-01</x:v>
      </x:c>
      <x:c r="E73" s="2" t="str">
        <x:v>U07</x:v>
      </x:c>
      <x:c r="F73" s="2" t="str">
        <x:v>T019</x:v>
      </x:c>
      <x:c r="G73" s="2" t="str">
        <x:v>待补</x:v>
      </x:c>
      <x:c r="H73" s="10" t="n">
        <x:v>3993.232</x:v>
      </x:c>
      <x:c r="I73" s="10" t="n">
        <x:v>6298.4</x:v>
      </x:c>
      <x:c r="J73" s="10" t="n">
        <x:f>ROUND(I73-H73,3)</x:f>
        <x:v>2305.168</x:v>
      </x:c>
    </x:row>
    <x:row r="74" ht="24" customHeight="1">
      <x:c r="A74" s="9" t="n">
        <x:v>3</x:v>
      </x:c>
      <x:c r="B74" s="9" t="str">
        <x:v>G2</x:v>
      </x:c>
      <x:c r="C74" s="9" t="str">
        <x:v>A型共享电池</x:v>
      </x:c>
      <x:c r="D74" s="9" t="str">
        <x:v>BAT-A-01</x:v>
      </x:c>
      <x:c r="E74" s="9" t="str">
        <x:v>BAT-A-01</x:v>
      </x:c>
      <x:c r="F74" s="9" t="str">
        <x:v>T001</x:v>
      </x:c>
      <x:c r="G74" s="9" t="str">
        <x:v>现有</x:v>
      </x:c>
      <x:c r="H74" s="11" t="n">
        <x:v>0</x:v>
      </x:c>
      <x:c r="I74" s="11" t="n">
        <x:v>2205.503</x:v>
      </x:c>
      <x:c r="J74" s="11" t="n">
        <x:f>ROUND(I74-H74,3)</x:f>
        <x:v>2205.503</x:v>
      </x:c>
    </x:row>
    <x:row r="75" ht="24" customHeight="1">
      <x:c r="A75" s="2" t="n">
        <x:v>3</x:v>
      </x:c>
      <x:c r="B75" s="2" t="str">
        <x:v>G2</x:v>
      </x:c>
      <x:c r="C75" s="2" t="str">
        <x:v>A型共享电池</x:v>
      </x:c>
      <x:c r="D75" s="2" t="str">
        <x:v>BAT-A-02</x:v>
      </x:c>
      <x:c r="E75" s="2" t="str">
        <x:v>BAT-A-02</x:v>
      </x:c>
      <x:c r="F75" s="2" t="str">
        <x:v>T008</x:v>
      </x:c>
      <x:c r="G75" s="2" t="str">
        <x:v>现有</x:v>
      </x:c>
      <x:c r="H75" s="10" t="n">
        <x:v>1641.16</x:v>
      </x:c>
      <x:c r="I75" s="10" t="n">
        <x:v>5806.699</x:v>
      </x:c>
      <x:c r="J75" s="10" t="n">
        <x:f>ROUND(I75-H75,3)</x:f>
        <x:v>4165.539</x:v>
      </x:c>
    </x:row>
    <x:row r="76" ht="24" customHeight="1">
      <x:c r="A76" s="9" t="n">
        <x:v>3</x:v>
      </x:c>
      <x:c r="B76" s="9" t="str">
        <x:v>G2</x:v>
      </x:c>
      <x:c r="C76" s="9" t="str">
        <x:v>A型共享电池</x:v>
      </x:c>
      <x:c r="D76" s="9" t="str">
        <x:v>BAT-A-03</x:v>
      </x:c>
      <x:c r="E76" s="9" t="str">
        <x:v>BAT-A-03</x:v>
      </x:c>
      <x:c r="F76" s="9" t="str">
        <x:v>T009</x:v>
      </x:c>
      <x:c r="G76" s="9" t="str">
        <x:v>现有</x:v>
      </x:c>
      <x:c r="H76" s="11" t="n">
        <x:v>1671.16</x:v>
      </x:c>
      <x:c r="I76" s="11" t="n">
        <x:v>4368.476</x:v>
      </x:c>
      <x:c r="J76" s="11" t="n">
        <x:f>ROUND(I76-H76,3)</x:f>
        <x:v>2697.316</x:v>
      </x:c>
    </x:row>
    <x:row r="77" ht="24" customHeight="1">
      <x:c r="A77" s="2" t="n">
        <x:v>3</x:v>
      </x:c>
      <x:c r="B77" s="2" t="str">
        <x:v>G2</x:v>
      </x:c>
      <x:c r="C77" s="2" t="str">
        <x:v>A型共享电池</x:v>
      </x:c>
      <x:c r="D77" s="2" t="str">
        <x:v>BAT-A-04</x:v>
      </x:c>
      <x:c r="E77" s="2" t="str">
        <x:v>BAT-A-04</x:v>
      </x:c>
      <x:c r="F77" s="2" t="str">
        <x:v>T011</x:v>
      </x:c>
      <x:c r="G77" s="2" t="str">
        <x:v>现有</x:v>
      </x:c>
      <x:c r="H77" s="10" t="n">
        <x:v>1844.884</x:v>
      </x:c>
      <x:c r="I77" s="10" t="n">
        <x:v>5112.21</x:v>
      </x:c>
      <x:c r="J77" s="10" t="n">
        <x:f>ROUND(I77-H77,3)</x:f>
        <x:v>3267.326</x:v>
      </x:c>
    </x:row>
    <x:row r="78" ht="24" customHeight="1">
      <x:c r="A78" s="9" t="n">
        <x:v>3</x:v>
      </x:c>
      <x:c r="B78" s="9" t="str">
        <x:v>G2</x:v>
      </x:c>
      <x:c r="C78" s="9" t="str">
        <x:v>A型共享电池</x:v>
      </x:c>
      <x:c r="D78" s="9" t="str">
        <x:v>BAT-A-01</x:v>
      </x:c>
      <x:c r="E78" s="9" t="str">
        <x:v>BAT-A-01</x:v>
      </x:c>
      <x:c r="F78" s="9" t="str">
        <x:v>T013</x:v>
      </x:c>
      <x:c r="G78" s="9" t="str">
        <x:v>现有</x:v>
      </x:c>
      <x:c r="H78" s="11" t="n">
        <x:v>2488.626</x:v>
      </x:c>
      <x:c r="I78" s="11" t="n">
        <x:v>5285.484</x:v>
      </x:c>
      <x:c r="J78" s="11" t="n">
        <x:f>ROUND(I78-H78,3)</x:f>
        <x:v>2796.858</x:v>
      </x:c>
    </x:row>
    <x:row r="79" ht="24" customHeight="1">
      <x:c r="A79" s="2" t="n">
        <x:v>3</x:v>
      </x:c>
      <x:c r="B79" s="2" t="str">
        <x:v>G2</x:v>
      </x:c>
      <x:c r="C79" s="2" t="str">
        <x:v>A型共享电池</x:v>
      </x:c>
      <x:c r="D79" s="2" t="str">
        <x:v>BAT-A-05</x:v>
      </x:c>
      <x:c r="E79" s="2" t="str">
        <x:v>BAT-A-05</x:v>
      </x:c>
      <x:c r="F79" s="2" t="str">
        <x:v>T015</x:v>
      </x:c>
      <x:c r="G79" s="2" t="str">
        <x:v>现有</x:v>
      </x:c>
      <x:c r="H79" s="10" t="n">
        <x:v>3283.324</x:v>
      </x:c>
      <x:c r="I79" s="10" t="n">
        <x:v>7339.392</x:v>
      </x:c>
      <x:c r="J79" s="10" t="n">
        <x:f>ROUND(I79-H79,3)</x:f>
        <x:v>4056.068</x:v>
      </x:c>
    </x:row>
    <x:row r="80" ht="24" customHeight="1">
      <x:c r="A80" s="9" t="n">
        <x:v>3</x:v>
      </x:c>
      <x:c r="B80" s="9" t="str">
        <x:v>G2</x:v>
      </x:c>
      <x:c r="C80" s="9" t="str">
        <x:v>A型共享电池</x:v>
      </x:c>
      <x:c r="D80" s="9" t="str">
        <x:v>BAT-A-06</x:v>
      </x:c>
      <x:c r="E80" s="9" t="str">
        <x:v>BAT-A-06</x:v>
      </x:c>
      <x:c r="F80" s="9" t="str">
        <x:v>T018</x:v>
      </x:c>
      <x:c r="G80" s="9" t="str">
        <x:v>现有</x:v>
      </x:c>
      <x:c r="H80" s="11" t="n">
        <x:v>3974.033</x:v>
      </x:c>
      <x:c r="I80" s="11" t="n">
        <x:v>7181.603</x:v>
      </x:c>
      <x:c r="J80" s="11" t="n">
        <x:f>ROUND(I80-H80,3)</x:f>
        <x:v>3207.57</x:v>
      </x:c>
    </x:row>
    <x:row r="81" ht="24" customHeight="1">
      <x:c r="A81" s="2" t="n">
        <x:v>3</x:v>
      </x:c>
      <x:c r="B81" s="2" t="str">
        <x:v>G2</x:v>
      </x:c>
      <x:c r="C81" s="2" t="str">
        <x:v>A型共享电池</x:v>
      </x:c>
      <x:c r="D81" s="2" t="str">
        <x:v>BAT-A-03</x:v>
      </x:c>
      <x:c r="E81" s="2" t="str">
        <x:v>BAT-A-03</x:v>
      </x:c>
      <x:c r="F81" s="2" t="str">
        <x:v>T020</x:v>
      </x:c>
      <x:c r="G81" s="2" t="str">
        <x:v>现有</x:v>
      </x:c>
      <x:c r="H81" s="10" t="n">
        <x:v>4368.478</x:v>
      </x:c>
      <x:c r="I81" s="10" t="n">
        <x:v>7230.621</x:v>
      </x:c>
      <x:c r="J81" s="10" t="n">
        <x:f>ROUND(I81-H81,3)</x:f>
        <x:v>2862.143</x:v>
      </x:c>
    </x:row>
    <x:row r="82" ht="24" customHeight="1">
      <x:c r="A82" s="9" t="n">
        <x:v>3</x:v>
      </x:c>
      <x:c r="B82" s="9" t="str">
        <x:v>G2</x:v>
      </x:c>
      <x:c r="C82" s="9" t="str">
        <x:v>B型共享电池</x:v>
      </x:c>
      <x:c r="D82" s="9" t="str">
        <x:v>BAT-B-03</x:v>
      </x:c>
      <x:c r="E82" s="9" t="str">
        <x:v>BAT-B-03</x:v>
      </x:c>
      <x:c r="F82" s="9" t="str">
        <x:v>T007</x:v>
      </x:c>
      <x:c r="G82" s="9" t="str">
        <x:v>现有</x:v>
      </x:c>
      <x:c r="H82" s="11" t="n">
        <x:v>1555.405</x:v>
      </x:c>
      <x:c r="I82" s="11" t="n">
        <x:v>3989.868</x:v>
      </x:c>
      <x:c r="J82" s="11" t="n">
        <x:f>ROUND(I82-H82,3)</x:f>
        <x:v>2434.463</x:v>
      </x:c>
    </x:row>
    <x:row r="83" ht="24" customHeight="1">
      <x:c r="A83" s="2" t="n">
        <x:v>3</x:v>
      </x:c>
      <x:c r="B83" s="2" t="str">
        <x:v>G2</x:v>
      </x:c>
      <x:c r="C83" s="2" t="str">
        <x:v>B型共享电池</x:v>
      </x:c>
      <x:c r="D83" s="2" t="str">
        <x:v>BAT-B-04</x:v>
      </x:c>
      <x:c r="E83" s="2" t="str">
        <x:v>BAT-B-04</x:v>
      </x:c>
      <x:c r="F83" s="2" t="str">
        <x:v>T012</x:v>
      </x:c>
      <x:c r="G83" s="2" t="str">
        <x:v>现有</x:v>
      </x:c>
      <x:c r="H83" s="10" t="n">
        <x:v>1869.749</x:v>
      </x:c>
      <x:c r="I83" s="10" t="n">
        <x:v>5652.037</x:v>
      </x:c>
      <x:c r="J83" s="10" t="n">
        <x:f>ROUND(I83-H83,3)</x:f>
        <x:v>3782.288</x:v>
      </x:c>
    </x:row>
    <x:row r="84" ht="24" customHeight="1">
      <x:c r="A84" s="9" t="n">
        <x:v>3</x:v>
      </x:c>
      <x:c r="B84" s="9" t="str">
        <x:v>G2</x:v>
      </x:c>
      <x:c r="C84" s="9" t="str">
        <x:v>B型共享电池</x:v>
      </x:c>
      <x:c r="D84" s="9" t="str">
        <x:v>BAT-B-02</x:v>
      </x:c>
      <x:c r="E84" s="9" t="str">
        <x:v>BAT-B-02</x:v>
      </x:c>
      <x:c r="F84" s="9" t="str">
        <x:v>T014</x:v>
      </x:c>
      <x:c r="G84" s="9" t="str">
        <x:v>现有</x:v>
      </x:c>
      <x:c r="H84" s="11" t="n">
        <x:v>3012.133</x:v>
      </x:c>
      <x:c r="I84" s="11" t="n">
        <x:v>6778.13</x:v>
      </x:c>
      <x:c r="J84" s="11" t="n">
        <x:f>ROUND(I84-H84,3)</x:f>
        <x:v>3765.997</x:v>
      </x:c>
    </x:row>
    <x:row r="85" ht="24" customHeight="1">
      <x:c r="A85" s="2" t="n">
        <x:v>3</x:v>
      </x:c>
      <x:c r="B85" s="2" t="str">
        <x:v>G2</x:v>
      </x:c>
      <x:c r="C85" s="2" t="str">
        <x:v>B型共享电池</x:v>
      </x:c>
      <x:c r="D85" s="2" t="str">
        <x:v>BAT-B-01</x:v>
      </x:c>
      <x:c r="E85" s="2" t="str">
        <x:v>BAT-B-01</x:v>
      </x:c>
      <x:c r="F85" s="2" t="str">
        <x:v>T017</x:v>
      </x:c>
      <x:c r="G85" s="2" t="str">
        <x:v>现有</x:v>
      </x:c>
      <x:c r="H85" s="10" t="n">
        <x:v>3792.577</x:v>
      </x:c>
      <x:c r="I85" s="10" t="n">
        <x:v>7710.343</x:v>
      </x:c>
      <x:c r="J85" s="10" t="n">
        <x:f>ROUND(I85-H85,3)</x:f>
        <x:v>3917.766</x:v>
      </x:c>
    </x:row>
    <x:row r="86" ht="24" customHeight="1">
      <x:c r="A86" s="9" t="n">
        <x:v>3</x:v>
      </x:c>
      <x:c r="B86" s="9" t="str">
        <x:v>G2</x:v>
      </x:c>
      <x:c r="C86" s="9" t="str">
        <x:v>B型共享电池</x:v>
      </x:c>
      <x:c r="D86" s="9" t="str">
        <x:v>BAT-B-03</x:v>
      </x:c>
      <x:c r="E86" s="9" t="str">
        <x:v>BAT-B-03</x:v>
      </x:c>
      <x:c r="F86" s="9" t="str">
        <x:v>T021</x:v>
      </x:c>
      <x:c r="G86" s="9" t="str">
        <x:v>现有</x:v>
      </x:c>
      <x:c r="H86" s="11" t="n">
        <x:v>4913.976</x:v>
      </x:c>
      <x:c r="I86" s="11" t="n">
        <x:v>7920.519</x:v>
      </x:c>
      <x:c r="J86" s="11" t="n">
        <x:f>ROUND(I86-H86,3)</x:f>
        <x:v>3006.543</x:v>
      </x:c>
    </x:row>
    <x:row r="87" ht="24" customHeight="1">
      <x:c r="A87" s="2" t="n">
        <x:v>3</x:v>
      </x:c>
      <x:c r="B87" s="2" t="str">
        <x:v>G2</x:v>
      </x:c>
      <x:c r="C87" s="2" t="str">
        <x:v>C型共享电池</x:v>
      </x:c>
      <x:c r="D87" s="2" t="str">
        <x:v>ADD-B_C-01</x:v>
      </x:c>
      <x:c r="E87" s="2" t="str">
        <x:v>BAT-C-03</x:v>
      </x:c>
      <x:c r="F87" s="2" t="str">
        <x:v>T006</x:v>
      </x:c>
      <x:c r="G87" s="2" t="str">
        <x:v>待补</x:v>
      </x:c>
      <x:c r="H87" s="10" t="n">
        <x:v>1494.177</x:v>
      </x:c>
      <x:c r="I87" s="10" t="n">
        <x:v>6202.451</x:v>
      </x:c>
      <x:c r="J87" s="10" t="n">
        <x:f>ROUND(I87-H87,3)</x:f>
        <x:v>4708.274</x:v>
      </x:c>
    </x:row>
    <x:row r="88" ht="24" customHeight="1">
      <x:c r="A88" s="9" t="n">
        <x:v>3</x:v>
      </x:c>
      <x:c r="B88" s="9" t="str">
        <x:v>G2</x:v>
      </x:c>
      <x:c r="C88" s="9" t="str">
        <x:v>C型共享电池</x:v>
      </x:c>
      <x:c r="D88" s="9" t="str">
        <x:v>ADD-B_C-02</x:v>
      </x:c>
      <x:c r="E88" s="9" t="str">
        <x:v>BAT-C-04</x:v>
      </x:c>
      <x:c r="F88" s="9" t="str">
        <x:v>T010</x:v>
      </x:c>
      <x:c r="G88" s="9" t="str">
        <x:v>待补</x:v>
      </x:c>
      <x:c r="H88" s="11" t="n">
        <x:v>1692.176</x:v>
      </x:c>
      <x:c r="I88" s="11" t="n">
        <x:v>6492.965</x:v>
      </x:c>
      <x:c r="J88" s="11" t="n">
        <x:f>ROUND(I88-H88,3)</x:f>
        <x:v>4800.789</x:v>
      </x:c>
    </x:row>
    <x:row r="89" ht="24" customHeight="1">
      <x:c r="A89" s="2" t="n">
        <x:v>3</x:v>
      </x:c>
      <x:c r="B89" s="2" t="str">
        <x:v>G2</x:v>
      </x:c>
      <x:c r="C89" s="2" t="str">
        <x:v>C型共享电池</x:v>
      </x:c>
      <x:c r="D89" s="2" t="str">
        <x:v>BAT-C-03</x:v>
      </x:c>
      <x:c r="E89" s="2" t="str">
        <x:v>BAT-C-01</x:v>
      </x:c>
      <x:c r="F89" s="2" t="str">
        <x:v>T016</x:v>
      </x:c>
      <x:c r="G89" s="2" t="str">
        <x:v>现有</x:v>
      </x:c>
      <x:c r="H89" s="10" t="n">
        <x:v>3668.021</x:v>
      </x:c>
      <x:c r="I89" s="10" t="n">
        <x:v>8926.383</x:v>
      </x:c>
      <x:c r="J89" s="10" t="n">
        <x:f>ROUND(I89-H89,3)</x:f>
        <x:v>5258.362</x:v>
      </x:c>
    </x:row>
    <x:row r="90" ht="24" customHeight="1">
      <x:c r="A90" s="9" t="n">
        <x:v>3</x:v>
      </x:c>
      <x:c r="B90" s="9" t="str">
        <x:v>G2</x:v>
      </x:c>
      <x:c r="C90" s="9" t="str">
        <x:v>C型共享电池</x:v>
      </x:c>
      <x:c r="D90" s="9" t="str">
        <x:v>BAT-C-04</x:v>
      </x:c>
      <x:c r="E90" s="9" t="str">
        <x:v>BAT-C-02</x:v>
      </x:c>
      <x:c r="F90" s="9" t="str">
        <x:v>T019</x:v>
      </x:c>
      <x:c r="G90" s="9" t="str">
        <x:v>现有</x:v>
      </x:c>
      <x:c r="H90" s="11" t="n">
        <x:v>3993.232</x:v>
      </x:c>
      <x:c r="I90" s="11" t="n">
        <x:v>8439.815</x:v>
      </x:c>
      <x:c r="J90" s="11" t="n">
        <x:f>ROUND(I90-H90,3)</x:f>
        <x:v>4446.583</x:v>
      </x:c>
    </x:row>
    <x:row r="91" ht="24" customHeight="1">
      <x:c r="A91" s="2" t="n">
        <x:v>3</x:v>
      </x:c>
      <x:c r="B91" s="2" t="str">
        <x:v>G2</x:v>
      </x:c>
      <x:c r="C91" s="2" t="str">
        <x:v>中继无人机</x:v>
      </x:c>
      <x:c r="D91" s="2" t="str">
        <x:v>R02</x:v>
      </x:c>
      <x:c r="E91" s="2" t="str">
        <x:v>R02</x:v>
      </x:c>
      <x:c r="F91" s="2" t="str">
        <x:v>R002</x:v>
      </x:c>
      <x:c r="G91" s="2" t="str">
        <x:v>现有</x:v>
      </x:c>
      <x:c r="H91" s="10" t="n">
        <x:v>1571.428</x:v>
      </x:c>
      <x:c r="I91" s="10" t="n">
        <x:v>4478.986</x:v>
      </x:c>
      <x:c r="J91" s="10" t="n">
        <x:f>ROUND(I91-H91,3)</x:f>
        <x:v>2907.558</x:v>
      </x:c>
    </x:row>
    <x:row r="92" ht="24" customHeight="1">
      <x:c r="A92" s="9" t="n">
        <x:v>3</x:v>
      </x:c>
      <x:c r="B92" s="9" t="str">
        <x:v>G2</x:v>
      </x:c>
      <x:c r="C92" s="9" t="str">
        <x:v>中继无人机</x:v>
      </x:c>
      <x:c r="D92" s="9" t="str">
        <x:v>R01</x:v>
      </x:c>
      <x:c r="E92" s="9" t="str">
        <x:v>R01</x:v>
      </x:c>
      <x:c r="F92" s="9" t="str">
        <x:v>R003</x:v>
      </x:c>
      <x:c r="G92" s="9" t="str">
        <x:v>现有</x:v>
      </x:c>
      <x:c r="H92" s="11" t="n">
        <x:v>2345.282</x:v>
      </x:c>
      <x:c r="I92" s="11" t="n">
        <x:v>6912.284</x:v>
      </x:c>
      <x:c r="J92" s="11" t="n">
        <x:f>ROUND(I92-H92,3)</x:f>
        <x:v>4567.002</x:v>
      </x:c>
    </x:row>
    <x:row r="93" ht="24" customHeight="1">
      <x:c r="A93" s="2" t="n">
        <x:v>3</x:v>
      </x:c>
      <x:c r="B93" s="2" t="str">
        <x:v>G2</x:v>
      </x:c>
      <x:c r="C93" s="2" t="str">
        <x:v>中继能源组件</x:v>
      </x:c>
      <x:c r="D93" s="2" t="str">
        <x:v>RE02</x:v>
      </x:c>
      <x:c r="E93" s="2" t="str">
        <x:v>RE02</x:v>
      </x:c>
      <x:c r="F93" s="2" t="str">
        <x:v>R002</x:v>
      </x:c>
      <x:c r="G93" s="2" t="str">
        <x:v>现有</x:v>
      </x:c>
      <x:c r="H93" s="10" t="n">
        <x:v>1571.428</x:v>
      </x:c>
      <x:c r="I93" s="10" t="n">
        <x:v>4969.598</x:v>
      </x:c>
      <x:c r="J93" s="10" t="n">
        <x:f>ROUND(I93-H93,3)</x:f>
        <x:v>3398.17</x:v>
      </x:c>
    </x:row>
    <x:row r="94" ht="24" customHeight="1">
      <x:c r="A94" s="9" t="n">
        <x:v>3</x:v>
      </x:c>
      <x:c r="B94" s="9" t="str">
        <x:v>G2</x:v>
      </x:c>
      <x:c r="C94" s="9" t="str">
        <x:v>中继能源组件</x:v>
      </x:c>
      <x:c r="D94" s="9" t="str">
        <x:v>RE03</x:v>
      </x:c>
      <x:c r="E94" s="9" t="str">
        <x:v>RE03</x:v>
      </x:c>
      <x:c r="F94" s="9" t="str">
        <x:v>R003</x:v>
      </x:c>
      <x:c r="G94" s="9" t="str">
        <x:v>现有</x:v>
      </x:c>
      <x:c r="H94" s="11" t="n">
        <x:v>2345.282</x:v>
      </x:c>
      <x:c r="I94" s="11" t="n">
        <x:v>7602.685</x:v>
      </x:c>
      <x:c r="J94" s="11" t="n">
        <x:f>ROUND(I94-H94,3)</x:f>
        <x:v>5257.403</x:v>
      </x:c>
    </x:row>
    <x:row r="95" ht="24" customHeight="1">
      <x:c r="A95" s="2" t="n">
        <x:v>3</x:v>
      </x:c>
      <x:c r="B95" s="2" t="str">
        <x:v>G3</x:v>
      </x:c>
      <x:c r="C95" s="2" t="str">
        <x:v>B型运输无人机</x:v>
      </x:c>
      <x:c r="D95" s="2" t="str">
        <x:v>ADD-U_B-02</x:v>
      </x:c>
      <x:c r="E95" s="2" t="str">
        <x:v>U06</x:v>
      </x:c>
      <x:c r="F95" s="2" t="str">
        <x:v>T003</x:v>
      </x:c>
      <x:c r="G95" s="2" t="str">
        <x:v>待补</x:v>
      </x:c>
      <x:c r="H95" s="10" t="n">
        <x:v>0</x:v>
      </x:c>
      <x:c r="I95" s="10" t="n">
        <x:v>1555.405</x:v>
      </x:c>
      <x:c r="J95" s="10" t="n">
        <x:f>ROUND(I95-H95,3)</x:f>
        <x:v>1555.405</x:v>
      </x:c>
    </x:row>
    <x:row r="96" ht="24" customHeight="1">
      <x:c r="A96" s="9" t="n">
        <x:v>3</x:v>
      </x:c>
      <x:c r="B96" s="9" t="str">
        <x:v>G3</x:v>
      </x:c>
      <x:c r="C96" s="9" t="str">
        <x:v>B型运输无人机</x:v>
      </x:c>
      <x:c r="D96" s="9" t="str">
        <x:v>ADD-U_B-01</x:v>
      </x:c>
      <x:c r="E96" s="9" t="str">
        <x:v>U05</x:v>
      </x:c>
      <x:c r="F96" s="9" t="str">
        <x:v>T002</x:v>
      </x:c>
      <x:c r="G96" s="9" t="str">
        <x:v>待补</x:v>
      </x:c>
      <x:c r="H96" s="11" t="n">
        <x:v>0</x:v>
      </x:c>
      <x:c r="I96" s="11" t="n">
        <x:v>1869.749</x:v>
      </x:c>
      <x:c r="J96" s="11" t="n">
        <x:f>ROUND(I96-H96,3)</x:f>
        <x:v>1869.749</x:v>
      </x:c>
    </x:row>
    <x:row r="97" ht="24" customHeight="1">
      <x:c r="A97" s="2" t="n">
        <x:v>3</x:v>
      </x:c>
      <x:c r="B97" s="2" t="str">
        <x:v>G3</x:v>
      </x:c>
      <x:c r="C97" s="2" t="str">
        <x:v>B型共享电池</x:v>
      </x:c>
      <x:c r="D97" s="2" t="str">
        <x:v>ADD-B_B-02</x:v>
      </x:c>
      <x:c r="E97" s="2" t="str">
        <x:v>BAT-B-02</x:v>
      </x:c>
      <x:c r="F97" s="2" t="str">
        <x:v>T003</x:v>
      </x:c>
      <x:c r="G97" s="2" t="str">
        <x:v>待补</x:v>
      </x:c>
      <x:c r="H97" s="10" t="n">
        <x:v>0</x:v>
      </x:c>
      <x:c r="I97" s="10" t="n">
        <x:v>3012.133</x:v>
      </x:c>
      <x:c r="J97" s="10" t="n">
        <x:f>ROUND(I97-H97,3)</x:f>
        <x:v>3012.133</x:v>
      </x:c>
    </x:row>
    <x:row r="98" ht="24" customHeight="1">
      <x:c r="A98" s="9" t="n">
        <x:v>3</x:v>
      </x:c>
      <x:c r="B98" s="9" t="str">
        <x:v>G3</x:v>
      </x:c>
      <x:c r="C98" s="9" t="str">
        <x:v>B型共享电池</x:v>
      </x:c>
      <x:c r="D98" s="9" t="str">
        <x:v>ADD-B_B-01</x:v>
      </x:c>
      <x:c r="E98" s="9" t="str">
        <x:v>BAT-B-01</x:v>
      </x:c>
      <x:c r="F98" s="9" t="str">
        <x:v>T002</x:v>
      </x:c>
      <x:c r="G98" s="9" t="str">
        <x:v>待补</x:v>
      </x:c>
      <x:c r="H98" s="11" t="n">
        <x:v>0</x:v>
      </x:c>
      <x:c r="I98" s="11" t="n">
        <x:v>3463.876</x:v>
      </x:c>
      <x:c r="J98" s="11" t="n">
        <x:f>ROUND(I98-H98,3)</x:f>
        <x:v>3463.876</x:v>
      </x:c>
    </x:row>
    <x:row r="99" ht="24" customHeight="1">
      <x:c r="A99" s="2" t="n">
        <x:v>3</x:v>
      </x:c>
      <x:c r="B99" s="2" t="str">
        <x:v>G3</x:v>
      </x:c>
      <x:c r="C99" s="2" t="str">
        <x:v>中继无人机</x:v>
      </x:c>
      <x:c r="D99" s="2" t="str">
        <x:v>ADD-R-01</x:v>
      </x:c>
      <x:c r="E99" s="2" t="str">
        <x:v>R01</x:v>
      </x:c>
      <x:c r="F99" s="2" t="str">
        <x:v>R001</x:v>
      </x:c>
      <x:c r="G99" s="2" t="str">
        <x:v>待补</x:v>
      </x:c>
      <x:c r="H99" s="10" t="n">
        <x:v>194.652</x:v>
      </x:c>
      <x:c r="I99" s="10" t="n">
        <x:v>2146.524</x:v>
      </x:c>
      <x:c r="J99" s="10" t="n">
        <x:f>ROUND(I99-H99,3)</x:f>
        <x:v>1951.872</x:v>
      </x:c>
    </x:row>
    <x:row r="100" ht="24" customHeight="1">
      <x:c r="A100" s="9" t="n">
        <x:v>3</x:v>
      </x:c>
      <x:c r="B100" s="9" t="str">
        <x:v>G3</x:v>
      </x:c>
      <x:c r="C100" s="9" t="str">
        <x:v>中继能源组件</x:v>
      </x:c>
      <x:c r="D100" s="9" t="str">
        <x:v>RE01</x:v>
      </x:c>
      <x:c r="E100" s="9" t="str">
        <x:v>RE01</x:v>
      </x:c>
      <x:c r="F100" s="9" t="str">
        <x:v>R001</x:v>
      </x:c>
      <x:c r="G100" s="9" t="str">
        <x:v>现有</x:v>
      </x:c>
      <x:c r="H100" s="11" t="n">
        <x:v>194.652</x:v>
      </x:c>
      <x:c r="I100" s="11" t="n">
        <x:v>2519.917</x:v>
      </x:c>
      <x:c r="J100" s="11" t="n">
        <x:f>ROUND(I100-H100,3)</x:f>
        <x:v>2325.265</x:v>
      </x:c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</x:sheetData>
  <x:conditionalFormatting sqref="G5:G100">
    <x:cfRule type="containsText" dxfId="2" priority="1" operator="containsText" text="待补"/>
  </x:conditionalFormatting>
  <x:pageMargins left="0.7" right="0.7" top="0.75" bottom="0.75" header="0.3" footer="0.3"/>
  <x:tableParts count="1">
    <x:tablePart xmlns:r="http://schemas.openxmlformats.org/officeDocument/2006/relationships" r:id="Rb3532236fefb48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" hidden="0" customWidth="1"/>
    <x:col min="3" max="3" width="13" hidden="0" customWidth="1"/>
    <x:col min="4" max="4" width="6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  <x:col min="12" max="12" width="14" hidden="0" customWidth="1"/>
    <x:col min="13" max="13" width="14" hidden="0" customWidth="1"/>
    <x:col min="14" max="14" width="13" hidden="0" customWidth="1"/>
    <x:col min="15" max="15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分区目标权衡与中继复制敏感性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38" customHeight="1">
      <x:c r="A4" s="8" t="str">
        <x:v>中继口径</x:v>
      </x:c>
      <x:c r="B4" s="8" t="str">
        <x:v>K</x:v>
      </x:c>
      <x:c r="C4" s="8" t="str">
        <x:v>目标偏好</x:v>
      </x:c>
      <x:c r="D4" s="8" t="str">
        <x:v>任务分区</x:v>
      </x:c>
      <x:c r="E4" s="8" t="str">
        <x:v>运输A</x:v>
      </x:c>
      <x:c r="F4" s="8" t="str">
        <x:v>运输B</x:v>
      </x:c>
      <x:c r="G4" s="8" t="str">
        <x:v>运输C</x:v>
      </x:c>
      <x:c r="H4" s="8" t="str">
        <x:v>电池A</x:v>
      </x:c>
      <x:c r="I4" s="8" t="str">
        <x:v>电池B</x:v>
      </x:c>
      <x:c r="J4" s="8" t="str">
        <x:v>电池C</x:v>
      </x:c>
      <x:c r="K4" s="8" t="str">
        <x:v>中继机</x:v>
      </x:c>
      <x:c r="L4" s="8" t="str">
        <x:v>中继组件</x:v>
      </x:c>
      <x:c r="M4" s="8" t="str">
        <x:v>运输CV</x:v>
      </x:c>
      <x:c r="N4" s="8" t="str">
        <x:v>中继架次</x:v>
      </x:c>
      <x:c r="O4" s="8" t="str">
        <x:v>总能耗/kWh</x:v>
      </x:c>
    </x:row>
    <x:row r="5" ht="94" customHeight="1">
      <x:c r="A5" s="2" t="str">
        <x:v>原中继不复制</x:v>
      </x:c>
      <x:c r="B5" s="2" t="n">
        <x:v>2</x:v>
      </x:c>
      <x:c r="C5" s="2" t="str">
        <x:v>完整候选</x:v>
      </x:c>
      <x:c r="D5" s="15" t="str">
        <x:v>G1: S001、S002、S003、S004、S005、S006
S007、S008、S009、S011、S012、S013
S015
G2: S010、S014</x:v>
      </x:c>
      <x:c r="E5" s="2" t="n">
        <x:v>4</x:v>
      </x:c>
      <x:c r="F5" s="2" t="n">
        <x:v>4</x:v>
      </x:c>
      <x:c r="G5" s="2" t="n">
        <x:v>2</x:v>
      </x:c>
      <x:c r="H5" s="2" t="n">
        <x:v>6</x:v>
      </x:c>
      <x:c r="I5" s="2" t="n">
        <x:v>6</x:v>
      </x:c>
      <x:c r="J5" s="2" t="n">
        <x:v>4</x:v>
      </x:c>
      <x:c r="K5" s="2" t="n">
        <x:v>3</x:v>
      </x:c>
      <x:c r="L5" s="2" t="n">
        <x:v>3</x:v>
      </x:c>
      <x:c r="M5" s="12" t="n">
        <x:v>0.8306194263315657</x:v>
      </x:c>
      <x:c r="N5" s="2" t="n">
        <x:v>3</x:v>
      </x:c>
      <x:c r="O5" s="12" t="n">
        <x:v>66.44527328256848</x:v>
      </x:c>
    </x:row>
    <x:row r="6" ht="94" customHeight="1">
      <x:c r="A6" s="9" t="str">
        <x:v>原中继不复制</x:v>
      </x:c>
      <x:c r="B6" s="9" t="n">
        <x:v>2</x:v>
      </x:c>
      <x:c r="C6" s="9" t="str">
        <x:v>完整候选</x:v>
      </x:c>
      <x:c r="D6" s="14" t="str">
        <x:v>G1: S001、S010、S014
G2: S002、S003、S004、S005、S006、S007
S008、S009、S011、S012、S013、S015</x:v>
      </x:c>
      <x:c r="E6" s="9" t="n">
        <x:v>4</x:v>
      </x:c>
      <x:c r="F6" s="9" t="n">
        <x:v>4</x:v>
      </x:c>
      <x:c r="G6" s="9" t="n">
        <x:v>4</x:v>
      </x:c>
      <x:c r="H6" s="9" t="n">
        <x:v>6</x:v>
      </x:c>
      <x:c r="I6" s="9" t="n">
        <x:v>6</x:v>
      </x:c>
      <x:c r="J6" s="9" t="n">
        <x:v>6</x:v>
      </x:c>
      <x:c r="K6" s="9" t="n">
        <x:v>3</x:v>
      </x:c>
      <x:c r="L6" s="9" t="n">
        <x:v>3</x:v>
      </x:c>
      <x:c r="M6" s="13" t="n">
        <x:v>0.673048079271094</x:v>
      </x:c>
      <x:c r="N6" s="9" t="n">
        <x:v>3</x:v>
      </x:c>
      <x:c r="O6" s="13" t="n">
        <x:v>66.44527328256848</x:v>
      </x:c>
    </x:row>
    <x:row r="7" ht="94" customHeight="1">
      <x:c r="A7" s="2" t="str">
        <x:v>原中继不复制</x:v>
      </x:c>
      <x:c r="B7" s="2" t="n">
        <x:v>2</x:v>
      </x:c>
      <x:c r="C7" s="2" t="str">
        <x:v>完整候选</x:v>
      </x:c>
      <x:c r="D7" s="15" t="str">
        <x:v>G1: S001
G2: S002、S003、S004、S005、S006、S007
S008、S009、S010、S011、S012、S013
S014、S015</x:v>
      </x:c>
      <x:c r="E7" s="2" t="n">
        <x:v>4</x:v>
      </x:c>
      <x:c r="F7" s="2" t="n">
        <x:v>2</x:v>
      </x:c>
      <x:c r="G7" s="2" t="n">
        <x:v>4</x:v>
      </x:c>
      <x:c r="H7" s="2" t="n">
        <x:v>6</x:v>
      </x:c>
      <x:c r="I7" s="2" t="n">
        <x:v>4</x:v>
      </x:c>
      <x:c r="J7" s="2" t="n">
        <x:v>6</x:v>
      </x:c>
      <x:c r="K7" s="2" t="n">
        <x:v>2</x:v>
      </x:c>
      <x:c r="L7" s="2" t="n">
        <x:v>3</x:v>
      </x:c>
      <x:c r="M7" s="12" t="n">
        <x:v>0.8424286529395283</x:v>
      </x:c>
      <x:c r="N7" s="2" t="n">
        <x:v>3</x:v>
      </x:c>
      <x:c r="O7" s="12" t="n">
        <x:v>66.44527328256848</x:v>
      </x:c>
    </x:row>
    <x:row r="8" ht="94" customHeight="1">
      <x:c r="A8" s="9" t="str">
        <x:v>原中继不复制</x:v>
      </x:c>
      <x:c r="B8" s="9" t="n">
        <x:v>3</x:v>
      </x:c>
      <x:c r="C8" s="9" t="str">
        <x:v>完整候选</x:v>
      </x:c>
      <x:c r="D8" s="14" t="str">
        <x:v>G1: S001
G2: S002、S003、S004、S005、S006、S007
S008、S009、S011、S012、S013、S015
G3: S010、S014</x:v>
      </x:c>
      <x:c r="E8" s="9" t="n">
        <x:v>4</x:v>
      </x:c>
      <x:c r="F8" s="9" t="n">
        <x:v>4</x:v>
      </x:c>
      <x:c r="G8" s="9" t="n">
        <x:v>4</x:v>
      </x:c>
      <x:c r="H8" s="9" t="n">
        <x:v>6</x:v>
      </x:c>
      <x:c r="I8" s="9" t="n">
        <x:v>6</x:v>
      </x:c>
      <x:c r="J8" s="9" t="n">
        <x:v>6</x:v>
      </x:c>
      <x:c r="K8" s="9" t="n">
        <x:v>3</x:v>
      </x:c>
      <x:c r="L8" s="9" t="n">
        <x:v>3</x:v>
      </x:c>
      <x:c r="M8" s="13" t="n">
        <x:v>1.0674531782600805</x:v>
      </x:c>
      <x:c r="N8" s="9" t="n">
        <x:v>3</x:v>
      </x:c>
      <x:c r="O8" s="13" t="n">
        <x:v>66.44527328256848</x:v>
      </x:c>
    </x:row>
    <x:row r="9" ht="94" customHeight="1">
      <x:c r="A9" s="2" t="str">
        <x:v>允许完整中继复制</x:v>
      </x:c>
      <x:c r="B9" s="2" t="n">
        <x:v>2</x:v>
      </x:c>
      <x:c r="C9" s="2" t="str">
        <x:v>资源优先</x:v>
      </x:c>
      <x:c r="D9" s="15" t="str">
        <x:v>G1: S001、S002、S003、S005、S006、S007
S008、S009、S010、S011、S012、S013
S014、S015
G2: S004</x:v>
      </x:c>
      <x:c r="E9" s="2" t="n">
        <x:v>4</x:v>
      </x:c>
      <x:c r="F9" s="2" t="n">
        <x:v>2</x:v>
      </x:c>
      <x:c r="G9" s="2" t="n">
        <x:v>3</x:v>
      </x:c>
      <x:c r="H9" s="2" t="n">
        <x:v>6</x:v>
      </x:c>
      <x:c r="I9" s="2" t="n">
        <x:v>4</x:v>
      </x:c>
      <x:c r="J9" s="2" t="n">
        <x:v>4</x:v>
      </x:c>
      <x:c r="K9" s="2" t="n">
        <x:v>3</x:v>
      </x:c>
      <x:c r="L9" s="2" t="n">
        <x:v>4</x:v>
      </x:c>
      <x:c r="M9" s="12" t="n">
        <x:v>0.886208274044556</x:v>
      </x:c>
      <x:c r="N9" s="2" t="n">
        <x:v>4</x:v>
      </x:c>
      <x:c r="O9" s="12" t="n">
        <x:v>67.16062500108146</x:v>
      </x:c>
    </x:row>
    <x:row r="10" ht="94" customHeight="1">
      <x:c r="A10" s="9" t="str">
        <x:v>允许完整中继复制</x:v>
      </x:c>
      <x:c r="B10" s="9" t="n">
        <x:v>2</x:v>
      </x:c>
      <x:c r="C10" s="9" t="str">
        <x:v>均衡优先</x:v>
      </x:c>
      <x:c r="D10" s="14" t="str">
        <x:v>G1: S001、S002、S008、S009、S010、S012
S013、S014
G2: S003、S004、S005、S006、S007、S011
S015</x:v>
      </x:c>
      <x:c r="E10" s="9" t="n">
        <x:v>5</x:v>
      </x:c>
      <x:c r="F10" s="9" t="n">
        <x:v>3</x:v>
      </x:c>
      <x:c r="G10" s="9" t="n">
        <x:v>4</x:v>
      </x:c>
      <x:c r="H10" s="9" t="n">
        <x:v>6</x:v>
      </x:c>
      <x:c r="I10" s="9" t="n">
        <x:v>4</x:v>
      </x:c>
      <x:c r="J10" s="9" t="n">
        <x:v>6</x:v>
      </x:c>
      <x:c r="K10" s="9" t="n">
        <x:v>4</x:v>
      </x:c>
      <x:c r="L10" s="9" t="n">
        <x:v>5</x:v>
      </x:c>
      <x:c r="M10" s="13" t="n">
        <x:v>0.01615105911754167</x:v>
      </x:c>
      <x:c r="N10" s="9" t="n">
        <x:v>5</x:v>
      </x:c>
      <x:c r="O10" s="13" t="n">
        <x:v>68.36776585048835</x:v>
      </x:c>
    </x:row>
    <x:row r="11" ht="94" customHeight="1">
      <x:c r="A11" s="2" t="str">
        <x:v>允许完整中继复制</x:v>
      </x:c>
      <x:c r="B11" s="2" t="n">
        <x:v>3</x:v>
      </x:c>
      <x:c r="C11" s="2" t="str">
        <x:v>资源优先</x:v>
      </x:c>
      <x:c r="D11" s="15" t="str">
        <x:v>G1: S001、S002、S003、S004、S005、S006
S007、S009、S011、S013、S015
G2: S008、S010、S014
G3: S012</x:v>
      </x:c>
      <x:c r="E11" s="2" t="n">
        <x:v>4</x:v>
      </x:c>
      <x:c r="F11" s="2" t="n">
        <x:v>4</x:v>
      </x:c>
      <x:c r="G11" s="2" t="n">
        <x:v>2</x:v>
      </x:c>
      <x:c r="H11" s="2" t="n">
        <x:v>6</x:v>
      </x:c>
      <x:c r="I11" s="2" t="n">
        <x:v>4</x:v>
      </x:c>
      <x:c r="J11" s="2" t="n">
        <x:v>4</x:v>
      </x:c>
      <x:c r="K11" s="2" t="n">
        <x:v>4</x:v>
      </x:c>
      <x:c r="L11" s="2" t="n">
        <x:v>5</x:v>
      </x:c>
      <x:c r="M11" s="12" t="n">
        <x:v>0.9451201192750016</x:v>
      </x:c>
      <x:c r="N11" s="2" t="n">
        <x:v>5</x:v>
      </x:c>
      <x:c r="O11" s="12" t="n">
        <x:v>68.36776585048835</x:v>
      </x:c>
    </x:row>
    <x:row r="12" ht="94" customHeight="1">
      <x:c r="A12" s="9" t="str">
        <x:v>允许完整中继复制</x:v>
      </x:c>
      <x:c r="B12" s="9" t="n">
        <x:v>3</x:v>
      </x:c>
      <x:c r="C12" s="9" t="str">
        <x:v>均衡优先</x:v>
      </x:c>
      <x:c r="D12" s="14" t="str">
        <x:v>G1: S001、S002、S009、S013
G2: S003、S005、S006、S007、S011、S015
G3: S004、S008、S010、S012、S014</x:v>
      </x:c>
      <x:c r="E12" s="9" t="n">
        <x:v>5</x:v>
      </x:c>
      <x:c r="F12" s="9" t="n">
        <x:v>3</x:v>
      </x:c>
      <x:c r="G12" s="9" t="n">
        <x:v>5</x:v>
      </x:c>
      <x:c r="H12" s="9" t="n">
        <x:v>6</x:v>
      </x:c>
      <x:c r="I12" s="9" t="n">
        <x:v>4</x:v>
      </x:c>
      <x:c r="J12" s="9" t="n">
        <x:v>6</x:v>
      </x:c>
      <x:c r="K12" s="9" t="n">
        <x:v>5</x:v>
      </x:c>
      <x:c r="L12" s="9" t="n">
        <x:v>6</x:v>
      </x:c>
      <x:c r="M12" s="13" t="n">
        <x:v>0.21579419181676499</x:v>
      </x:c>
      <x:c r="N12" s="9" t="n">
        <x:v>6</x:v>
      </x:c>
      <x:c r="O12" s="13" t="n">
        <x:v>69.57490669989525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4" customHeight="1">
      <x:c r="A14" s="2" t="str">
        <x:v>完整中继复制需要额外假设，增加实际架次及能耗，不作为严格主方案。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4" customHeight="1">
      <x:c r="A15" s="2" t="str">
        <x:v>每类缺口为MAX(0,本列配置数－库存)。全部枚举数据另存CSV。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</x:sheetData>
  <x:pageMargins left="0.7" right="0.7" top="0.75" bottom="0.75" header="0.3" footer="0.3"/>
  <x:tableParts count="1">
    <x:tablePart xmlns:r="http://schemas.openxmlformats.org/officeDocument/2006/relationships" r:id="Rf5c4a63cc88540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4" hidden="0" customWidth="1"/>
    <x:col min="4" max="4" width="16" hidden="0" customWidth="1"/>
    <x:col min="5" max="5" width="82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库存、基线与核算口径</x:v>
      </x:c>
      <x:c r="B2" s="2"/>
      <x:c r="C2" s="2"/>
      <x:c r="D2" s="2"/>
      <x:c r="E2" s="2"/>
    </x:row>
    <x:row r="3" ht="24" customHeight="1">
      <x:c r="A3" s="4"/>
      <x:c r="B3" s="4"/>
      <x:c r="C3" s="4"/>
      <x:c r="D3" s="4"/>
      <x:c r="E3" s="4"/>
    </x:row>
    <x:row r="4" ht="38" customHeight="1">
      <x:c r="A4" s="8" t="str">
        <x:v>资源</x:v>
      </x:c>
      <x:c r="B4" s="8" t="str">
        <x:v>单位</x:v>
      </x:c>
      <x:c r="C4" s="8" t="str">
        <x:v>现有库存</x:v>
      </x:c>
      <x:c r="D4" s="8" t="str">
        <x:v>未分组最低需求</x:v>
      </x:c>
      <x:c r="E4" s="8" t="str">
        <x:v>来源</x:v>
      </x:c>
    </x:row>
    <x:row r="5" ht="24" customHeight="1">
      <x:c r="A5" s="2" t="str">
        <x:v>A型运输无人机</x:v>
      </x:c>
      <x:c r="B5" s="2" t="str">
        <x:v>架</x:v>
      </x:c>
      <x:c r="C5" s="2" t="n">
        <x:v>4</x:v>
      </x:c>
      <x:c r="D5" s="2" t="n">
        <x:v>4</x:v>
      </x:c>
      <x:c r="E5" s="2" t="str">
        <x:v>运输无人机数据.xlsx 数据!A9:C16</x:v>
      </x:c>
    </x:row>
    <x:row r="6" ht="24" customHeight="1">
      <x:c r="A6" s="9" t="str">
        <x:v>B型运输无人机</x:v>
      </x:c>
      <x:c r="B6" s="9" t="str">
        <x:v>架</x:v>
      </x:c>
      <x:c r="C6" s="9" t="n">
        <x:v>2</x:v>
      </x:c>
      <x:c r="D6" s="9" t="n">
        <x:v>2</x:v>
      </x:c>
      <x:c r="E6" s="9" t="str">
        <x:v>运输无人机数据.xlsx 数据!A9:C16</x:v>
      </x:c>
    </x:row>
    <x:row r="7" ht="24" customHeight="1">
      <x:c r="A7" s="2" t="str">
        <x:v>C型运输无人机</x:v>
      </x:c>
      <x:c r="B7" s="2" t="str">
        <x:v>架</x:v>
      </x:c>
      <x:c r="C7" s="2" t="n">
        <x:v>2</x:v>
      </x:c>
      <x:c r="D7" s="2" t="n">
        <x:v>2</x:v>
      </x:c>
      <x:c r="E7" s="2" t="str">
        <x:v>运输无人机数据.xlsx 数据!A9:C16</x:v>
      </x:c>
    </x:row>
    <x:row r="8" ht="24" customHeight="1">
      <x:c r="A8" s="9" t="str">
        <x:v>A型共享电池</x:v>
      </x:c>
      <x:c r="B8" s="9" t="str">
        <x:v>组</x:v>
      </x:c>
      <x:c r="C8" s="9" t="n">
        <x:v>6</x:v>
      </x:c>
      <x:c r="D8" s="9" t="n">
        <x:v>6</x:v>
      </x:c>
      <x:c r="E8" s="9" t="str">
        <x:v>运输无人机数据.xlsx 数据!A20:C22</x:v>
      </x:c>
    </x:row>
    <x:row r="9" ht="24" customHeight="1">
      <x:c r="A9" s="2" t="str">
        <x:v>B型共享电池</x:v>
      </x:c>
      <x:c r="B9" s="2" t="str">
        <x:v>组</x:v>
      </x:c>
      <x:c r="C9" s="2" t="n">
        <x:v>4</x:v>
      </x:c>
      <x:c r="D9" s="2" t="n">
        <x:v>4</x:v>
      </x:c>
      <x:c r="E9" s="2" t="str">
        <x:v>运输无人机数据.xlsx 数据!A20:C22</x:v>
      </x:c>
    </x:row>
    <x:row r="10" ht="24" customHeight="1">
      <x:c r="A10" s="9" t="str">
        <x:v>C型共享电池</x:v>
      </x:c>
      <x:c r="B10" s="9" t="str">
        <x:v>组</x:v>
      </x:c>
      <x:c r="C10" s="9" t="n">
        <x:v>4</x:v>
      </x:c>
      <x:c r="D10" s="9" t="n">
        <x:v>4</x:v>
      </x:c>
      <x:c r="E10" s="9" t="str">
        <x:v>运输无人机数据.xlsx 数据!A20:C22</x:v>
      </x:c>
    </x:row>
    <x:row r="11" ht="24" customHeight="1">
      <x:c r="A11" s="2" t="str">
        <x:v>中继无人机</x:v>
      </x:c>
      <x:c r="B11" s="2" t="str">
        <x:v>架</x:v>
      </x:c>
      <x:c r="C11" s="2" t="n">
        <x:v>2</x:v>
      </x:c>
      <x:c r="D11" s="2" t="n">
        <x:v>2</x:v>
      </x:c>
      <x:c r="E11" s="2" t="str">
        <x:v>中继无人机数据.xlsx 数据!A7:C8</x:v>
      </x:c>
    </x:row>
    <x:row r="12" ht="24" customHeight="1">
      <x:c r="A12" s="9" t="str">
        <x:v>中继能源组件</x:v>
      </x:c>
      <x:c r="B12" s="9" t="str">
        <x:v>组</x:v>
      </x:c>
      <x:c r="C12" s="9" t="n">
        <x:v>6</x:v>
      </x:c>
      <x:c r="D12" s="9" t="n">
        <x:v>3</x:v>
      </x:c>
      <x:c r="E12" s="9" t="str">
        <x:v>中继无人机数据.xlsx 数据!A12:C12</x:v>
      </x:c>
    </x:row>
    <x:row r="13" ht="24" customHeight="1">
      <x:c r="A13" s="2"/>
      <x:c r="B13" s="2"/>
      <x:c r="C13" s="2"/>
      <x:c r="D13" s="2"/>
      <x:c r="E13" s="2"/>
    </x:row>
    <x:row r="14" ht="24" customHeight="1">
      <x:c r="A14" s="2"/>
      <x:c r="B14" s="2"/>
      <x:c r="C14" s="2"/>
      <x:c r="D14" s="2"/>
      <x:c r="E14" s="2"/>
    </x:row>
    <x:row r="15" ht="38" customHeight="1">
      <x:c r="A15" s="2" t="str">
        <x:v>第三问基线</x:v>
      </x:c>
      <x:c r="B15" s="2"/>
      <x:c r="C15" s="2"/>
      <x:c r="D15" s="2"/>
      <x:c r="E15" s="15" t="str">
        <x:v>results\question3_agent_update\solution_recommended.json</x:v>
      </x:c>
    </x:row>
    <x:row r="16" ht="38" customHeight="1">
      <x:c r="A16" s="2" t="str">
        <x:v>方案指纹</x:v>
      </x:c>
      <x:c r="B16" s="2"/>
      <x:c r="C16" s="2"/>
      <x:c r="D16" s="2"/>
      <x:c r="E16" s="15" t="str">
        <x:v>45734e940dbec226d19fd21537c02952e7897e35c1ae0059c193cc3f24c69b9b</x:v>
      </x:c>
    </x:row>
    <x:row r="17" ht="38" customHeight="1">
      <x:c r="A17" s="2" t="str">
        <x:v>中继主口径</x:v>
      </x:c>
      <x:c r="B17" s="2"/>
      <x:c r="C17" s="2"/>
      <x:c r="D17" s="2"/>
      <x:c r="E17" s="15" t="str">
        <x:v>每个原中继架次仅执行一次，相关运输任务必须同组。</x:v>
      </x:c>
    </x:row>
    <x:row r="18" ht="38" customHeight="1">
      <x:c r="A18" s="2" t="str">
        <x:v>复制扩展</x:v>
      </x:c>
      <x:c r="B18" s="2"/>
      <x:c r="C18" s="2"/>
      <x:c r="D18" s="2"/>
      <x:c r="E18" s="15" t="str">
        <x:v>每组复制完整中继时段与位置，会增加物理架次和能耗，仅作敏感性。</x:v>
      </x:c>
    </x:row>
    <x:row r="19" ht="38" customHeight="1">
      <x:c r="A19" s="2" t="str">
        <x:v>机体占用</x:v>
      </x:c>
      <x:c r="B19" s="2"/>
      <x:c r="C19" s="2"/>
      <x:c r="D19" s="2"/>
      <x:c r="E19" s="15" t="str">
        <x:v>运输机从准备至释放；中继机从准备至返航加300秒周转。</x:v>
      </x:c>
    </x:row>
    <x:row r="20" ht="38" customHeight="1">
      <x:c r="A20" s="2" t="str">
        <x:v>能源占用</x:v>
      </x:c>
      <x:c r="B20" s="2"/>
      <x:c r="C20" s="2"/>
      <x:c r="D20" s="2"/>
      <x:c r="E20" s="15" t="str">
        <x:v>准备开始至返航后充至100%；同型可在组内复用，组间禁止调配。</x:v>
      </x:c>
    </x:row>
    <x:row r="21" ht="38" customHeight="1">
      <x:c r="A21" s="2" t="str">
        <x:v>资源计数</x:v>
      </x:c>
      <x:c r="B21" s="2"/>
      <x:c r="C21" s="2"/>
      <x:c r="D21" s="2"/>
      <x:c r="E21" s="15" t="str">
        <x:v>半开区间最大重叠；推荐组内保持原编号复用关系，计数恰好达到下界。</x:v>
      </x:c>
    </x:row>
    <x:row r="22" ht="38" customHeight="1">
      <x:c r="A22" s="2" t="str">
        <x:v>缺口定义</x:v>
      </x:c>
      <x:c r="B22" s="2"/>
      <x:c r="C22" s="2"/>
      <x:c r="D22" s="2"/>
      <x:c r="E22" s="15" t="str">
        <x:v>各组独立需求之和减去一份全局库存，负值取0。</x:v>
      </x:c>
    </x:row>
    <x:row r="23" ht="38" customHeight="1">
      <x:c r="A23" s="2" t="str">
        <x:v>排序优先级</x:v>
      </x:c>
      <x:c r="B23" s="2"/>
      <x:c r="C23" s="2"/>
      <x:c r="D23" s="2"/>
      <x:c r="E23" s="15" t="str">
        <x:v>飞机缺口 → 能源缺口 → 飞机配置 → 能源配置 → 运输工作量CV。</x:v>
      </x:c>
    </x:row>
    <x:row r="24" ht="38" customHeight="1">
      <x:c r="A24" s="2" t="str">
        <x:v>工作量</x:v>
      </x:c>
      <x:c r="B24" s="2"/>
      <x:c r="C24" s="2"/>
      <x:c r="D24" s="2"/>
      <x:c r="E24" s="15" t="str">
        <x:v>运输准备至返航持续时间之和，单位为无人机·秒；CV越小越均衡。</x:v>
      </x:c>
    </x:row>
    <x:row r="25" ht="38" customHeight="1">
      <x:c r="A25" s="2" t="str">
        <x:v>精确性范围</x:v>
      </x:c>
      <x:c r="B25" s="2"/>
      <x:c r="C25" s="2"/>
      <x:c r="D25" s="2"/>
      <x:c r="E25" s="15" t="str">
        <x:v>给定第三问、给定中继规则及声明排序下精确枚举；不代表Q3全局最优。</x:v>
      </x:c>
    </x:row>
    <x:row r="26" ht="38" customHeight="1">
      <x:c r="A26" s="2" t="str">
        <x:v>完整候选</x:v>
      </x:c>
      <x:c r="B26" s="2"/>
      <x:c r="C26" s="2"/>
      <x:c r="D26" s="2"/>
      <x:c r="E26" s="15" t="str">
        <x:v>全部2194条评价记录见本版本结果目录的all_partitions.csv。</x:v>
      </x:c>
    </x:row>
    <x:row r="27" ht="24" customHeight="1">
      <x:c r="A27" s="2"/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</x:sheetData>
  <x:pageMargins left="0.7" right="0.7" top="0.75" bottom="0.75" header="0.3" footer="0.3"/>
  <x:tableParts count="1">
    <x:tablePart xmlns:r="http://schemas.openxmlformats.org/officeDocument/2006/relationships" r:id="R75389094ccf54e6d"/>
  </x:tableParts>
</x:worksheet>
</file>