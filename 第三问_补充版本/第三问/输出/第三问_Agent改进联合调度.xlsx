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43a4dc8f2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汇总" sheetId="1" r:id="R2d206da02ea14e8f"/>
    <x:sheet xmlns:r="http://schemas.openxmlformats.org/officeDocument/2006/relationships" name="Q3_运输架次" sheetId="2" r:id="R2a28435ba1034f10"/>
    <x:sheet xmlns:r="http://schemas.openxmlformats.org/officeDocument/2006/relationships" name="逐箱交付" sheetId="3" r:id="Rbff7bd0b086348b3"/>
    <x:sheet xmlns:r="http://schemas.openxmlformats.org/officeDocument/2006/relationships" name="Q3_中继架次" sheetId="4" r:id="R793e64ebcf7a45b0"/>
    <x:sheet xmlns:r="http://schemas.openxmlformats.org/officeDocument/2006/relationships" name="Q3_通信保障" sheetId="5" r:id="Re2a1fbdf628d4e85"/>
    <x:sheet xmlns:r="http://schemas.openxmlformats.org/officeDocument/2006/relationships" name="运输资源" sheetId="6" r:id="R30da8f3c1df346e7"/>
    <x:sheet xmlns:r="http://schemas.openxmlformats.org/officeDocument/2006/relationships" name="算法说明" sheetId="7" r:id="R31c2da50244f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0"/>
    <x:numFmt numFmtId="202" formatCode="0"/>
    <x:numFmt numFmtId="203" formatCode="0.000000000"/>
    <x:numFmt numFmtId="204" formatCode="0.0000"/>
  </x:numFmts>
  <x:fonts count="5">
    <x:font>
      <x:sz val="11"/>
      <x:name val="Carlito"/>
    </x:font>
    <x:font>
      <x:sz val="10"/>
      <x:color rgb="FF25384A"/>
      <x:name val="Microsoft YaHei"/>
    </x:font>
    <x:font>
      <x:b/>
      <x:sz val="10"/>
      <x:color rgb="FFFFFFFF"/>
      <x:name val="Microsoft YaHei"/>
    </x:font>
    <x:font>
      <x:b/>
      <x:sz val="14"/>
      <x:color rgb="FF213B56"/>
      <x:name val="Microsoft YaHei"/>
    </x:font>
    <x:font>
      <x:b/>
      <x:sz val="12"/>
      <x:color rgb="FF213B5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13B56"/>
      </x:patternFill>
    </x:fill>
    <x:fill>
      <x:patternFill patternType="solid">
        <x:fgColor rgb="FFF0F4F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B2222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2b63215aa4159" /><Relationship Type="http://schemas.openxmlformats.org/officeDocument/2006/relationships/theme" Target="/xl/theme/theme1.xml" Id="R66699572099e4c92" /><Relationship Type="http://schemas.openxmlformats.org/officeDocument/2006/relationships/sharedStrings" Target="/xl/sharedStrings.xml" Id="R88bbc3371db84850" /><Relationship Type="http://schemas.openxmlformats.org/officeDocument/2006/relationships/worksheet" Target="/xl/worksheets/sheet1.xml" Id="R2d206da02ea14e8f" /><Relationship Type="http://schemas.openxmlformats.org/officeDocument/2006/relationships/worksheet" Target="/xl/worksheets/sheet2.xml" Id="R2a28435ba1034f10" /><Relationship Type="http://schemas.openxmlformats.org/officeDocument/2006/relationships/worksheet" Target="/xl/worksheets/sheet3.xml" Id="Rbff7bd0b086348b3" /><Relationship Type="http://schemas.openxmlformats.org/officeDocument/2006/relationships/worksheet" Target="/xl/worksheets/sheet4.xml" Id="R793e64ebcf7a45b0" /><Relationship Type="http://schemas.openxmlformats.org/officeDocument/2006/relationships/worksheet" Target="/xl/worksheets/sheet5.xml" Id="Re2a1fbdf628d4e85" /><Relationship Type="http://schemas.openxmlformats.org/officeDocument/2006/relationships/worksheet" Target="/xl/worksheets/sheet6.xml" Id="R30da8f3c1df346e7" /><Relationship Type="http://schemas.openxmlformats.org/officeDocument/2006/relationships/worksheet" Target="/xl/worksheets/sheet7.xml" Id="R31c2da50244f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3B56"/>
  </x:sheetPr>
  <x:sheetViews>
    <x:sheetView showGridLines="0" workbookViewId="0"/>
  </x:sheetViews>
  <x:sheetFormatPr defaultRowHeight="15"/>
  <x:cols>
    <x:col min="1" max="1" width="32.5" hidden="0" customWidth="1"/>
    <x:col min="2" max="2" width="22.25" hidden="0" customWidth="1"/>
    <x:col min="3" max="3" width="22.25" hidden="0" customWidth="1"/>
    <x:col min="4" max="4" width="81.25" hidden="0" customWidth="1"/>
  </x:cols>
  <x:sheetData>
    <x:row r="1" ht="28" customHeight="1">
      <x:c r="A1" s="2"/>
      <x:c r="B1" s="2"/>
      <x:c r="C1" s="2"/>
      <x:c r="D1" s="2"/>
    </x:row>
    <x:row r="2" ht="28" customHeight="1">
      <x:c r="A2" s="31" t="str">
        <x:v>第三问运输与中继联合调度</x:v>
      </x:c>
      <x:c r="B2" s="2"/>
      <x:c r="C2" s="2"/>
      <x:c r="D2" s="2"/>
    </x:row>
    <x:row r="3" ht="28" customHeight="1">
      <x:c r="A3" s="2"/>
      <x:c r="B3" s="2"/>
      <x:c r="C3" s="2"/>
      <x:c r="D3" s="2"/>
    </x:row>
    <x:row r="4" ht="48" customHeight="1">
      <x:c r="A4" s="7" t="str">
        <x:v>指标</x:v>
      </x:c>
      <x:c r="B4" s="8" t="str">
        <x:v>第三问推荐方案</x:v>
      </x:c>
      <x:c r="C4" s="8" t="str">
        <x:v>师兄第二问参照</x:v>
      </x:c>
      <x:c r="D4" s="9" t="str">
        <x:v>口径</x:v>
      </x:c>
    </x:row>
    <x:row r="5" ht="28" customHeight="1">
      <x:c r="A5" s="2" t="str">
        <x:v>交付货箱数</x:v>
      </x:c>
      <x:c r="B5" s="21" t="n">
        <x:f>COUNTA('逐箱交付'!A2:A81)</x:f>
        <x:v>80</x:v>
      </x:c>
      <x:c r="C5" s="21" t="n">
        <x:v>80</x:v>
      </x:c>
      <x:c r="D5" s="2" t="str">
        <x:v>　每个货箱单独记录，不拆箱</x:v>
      </x:c>
    </x:row>
    <x:row r="6" ht="28" customHeight="1">
      <x:c r="A6" s="10" t="str">
        <x:v>运输架次数</x:v>
      </x:c>
      <x:c r="B6" s="22" t="n">
        <x:f>COUNTA('Q3_运输架次'!A2:A22)</x:f>
        <x:v>21</x:v>
      </x:c>
      <x:c r="C6" s="22" t="n">
        <x:v>21</x:v>
      </x:c>
      <x:c r="D6" s="10" t="str">
        <x:v>　包含多服务区架次</x:v>
      </x:c>
    </x:row>
    <x:row r="7" ht="28" customHeight="1">
      <x:c r="A7" s="2" t="str">
        <x:v>中继架次数</x:v>
      </x:c>
      <x:c r="B7" s="21" t="n">
        <x:f>COUNTA('Q3_中继架次'!A2:A4)</x:f>
        <x:v>3</x:v>
      </x:c>
      <x:c r="C7" s="21"/>
      <x:c r="D7" s="2" t="str">
        <x:v>　实体资源安排见运输资源表</x:v>
      </x:c>
    </x:row>
    <x:row r="8" ht="28" customHeight="1">
      <x:c r="A8" s="10" t="str">
        <x:v>运输总能耗（kWh）</x:v>
      </x:c>
      <x:c r="B8" s="18" t="n">
        <x:f>SUM('Q3_运输架次'!H2:H22)</x:f>
        <x:v>64.09596908039462</x:v>
      </x:c>
      <x:c r="C8" s="18" t="n">
        <x:v>63.84504008245794</x:v>
      </x:c>
      <x:c r="D8" s="10" t="str">
        <x:v>　逐段真实载荷能耗之和</x:v>
      </x:c>
    </x:row>
    <x:row r="9" ht="28" customHeight="1">
      <x:c r="A9" s="2" t="str">
        <x:v>中继总能耗（kWh）</x:v>
      </x:c>
      <x:c r="B9" s="17" t="n">
        <x:f>SUM('Q3_中继架次'!K2:K4)</x:f>
        <x:v>2.349304202173859</x:v>
      </x:c>
      <x:c r="C9" s="17"/>
      <x:c r="D9" s="2" t="str">
        <x:v>　含往返、服务及建链的保守能耗</x:v>
      </x:c>
    </x:row>
    <x:row r="10" ht="28" customHeight="1">
      <x:c r="A10" s="10" t="str">
        <x:v>联合总能耗（kWh）</x:v>
      </x:c>
      <x:c r="B10" s="18" t="n">
        <x:f>SUM(B8:B9)</x:f>
        <x:v>66.44527328256848</x:v>
      </x:c>
      <x:c r="C10" s="18" t="n">
        <x:v>63.84504008245794</x:v>
      </x:c>
      <x:c r="D10" s="10" t="str">
        <x:v>　运输与中继之和</x:v>
      </x:c>
    </x:row>
    <x:row r="11" ht="28" customHeight="1">
      <x:c r="A11" s="2" t="str">
        <x:v>联合完成时刻（s）</x:v>
      </x:c>
      <x:c r="B11" s="15" t="n">
        <x:f>MAX('Q3_运输架次'!G2:G22,'Q3_中继架次'!J2:J4)</x:f>
        <x:v>6612.284</x:v>
      </x:c>
      <x:c r="C11" s="15" t="n">
        <x:v>6361.702</x:v>
      </x:c>
      <x:c r="D11" s="2" t="str">
        <x:v>　两类无人机最后物理返航的最晚时刻</x:v>
      </x:c>
    </x:row>
    <x:row r="12" ht="28" customHeight="1">
      <x:c r="A12" s="10" t="str">
        <x:v>联合完成时间（h）</x:v>
      </x:c>
      <x:c r="B12" s="16" t="n">
        <x:f>B11/3600</x:f>
        <x:v>1.8367455555555554</x:v>
      </x:c>
      <x:c r="C12" s="16" t="n">
        <x:v>1.7671394444444446</x:v>
      </x:c>
      <x:c r="D12" s="10" t="str">
        <x:v>　从任务零时刻开始</x:v>
      </x:c>
    </x:row>
    <x:row r="13" ht="28" customHeight="1">
      <x:c r="A13" s="2" t="str">
        <x:v>最后交付完成（s）</x:v>
      </x:c>
      <x:c r="B13" s="15" t="n">
        <x:f>MAX('逐箱交付'!D2:D81)</x:f>
        <x:v>6234.755</x:v>
      </x:c>
      <x:c r="C13" s="15"/>
      <x:c r="D13" s="2" t="str">
        <x:v>　按站内优化箱序逐箱完成交付计</x:v>
      </x:c>
    </x:row>
    <x:row r="14" ht="28" customHeight="1">
      <x:c r="A14" s="10" t="str">
        <x:v>期望送达拖期箱数</x:v>
      </x:c>
      <x:c r="B14" s="22" t="n">
        <x:f>COUNTIFS('逐箱交付'!J2:J81,"&gt;0.000001")</x:f>
        <x:v>0</x:v>
      </x:c>
      <x:c r="C14" s="22" t="n">
        <x:v>0</x:v>
      </x:c>
      <x:c r="D14" s="10" t="str">
        <x:v>　非医疗非首批的期望时间是软指标</x:v>
      </x:c>
    </x:row>
    <x:row r="15" ht="28" customHeight="1">
      <x:c r="A15" s="2" t="str">
        <x:v>医疗或首批硬违约箱数</x:v>
      </x:c>
      <x:c r="B15" s="21" t="n">
        <x:f>COUNTIFS('逐箱交付'!K2:K81,"&gt;0.000001")</x:f>
        <x:v>0</x:v>
      </x:c>
      <x:c r="C15" s="21" t="n">
        <x:v>0</x:v>
      </x:c>
      <x:c r="D15" s="2" t="str">
        <x:v>　同时适用两个时限时检查两者</x:v>
      </x:c>
    </x:row>
    <x:row r="16" ht="28" customHeight="1">
      <x:c r="A16" s="10" t="str">
        <x:v>加权拖期（s）</x:v>
      </x:c>
      <x:c r="B16" s="16" t="n">
        <x:f>SUM('逐箱交付'!L2:L81)</x:f>
        <x:v>0</x:v>
      </x:c>
      <x:c r="C16" s="16" t="n">
        <x:v>0</x:v>
      </x:c>
      <x:c r="D16" s="10" t="str">
        <x:v>　优先系数乘期望拖期</x:v>
      </x:c>
    </x:row>
    <x:row r="17" ht="28" customHeight="1">
      <x:c r="A17" s="2" t="str">
        <x:v>运输最低返航SOC（%）</x:v>
      </x:c>
      <x:c r="B17" s="15" t="n">
        <x:f>MIN('Q3_运输架次'!P2:P22)</x:f>
        <x:v>20.09171095022737</x:v>
      </x:c>
      <x:c r="C17" s="15" t="n">
        <x:v>20.09171095022737</x:v>
      </x:c>
      <x:c r="D17" s="2" t="str">
        <x:v>　题设下限20%</x:v>
      </x:c>
    </x:row>
    <x:row r="18" ht="28" customHeight="1">
      <x:c r="A18" s="10" t="str">
        <x:v>中继最低返航SOC（%）</x:v>
      </x:c>
      <x:c r="B18" s="16" t="n">
        <x:f>MIN('Q3_中继架次'!O2:O4)</x:f>
        <x:v>62.27684845603449</x:v>
      </x:c>
      <x:c r="C18" s="16"/>
      <x:c r="D18" s="10" t="str">
        <x:v>　题设下限20%</x:v>
      </x:c>
    </x:row>
    <x:row r="19" ht="28" customHeight="1">
      <x:c r="A19" s="2" t="str">
        <x:v>通信证书区间数</x:v>
      </x:c>
      <x:c r="B19" s="21" t="n">
        <x:f>SUM('Q3_通信保障'!J2:J239)</x:f>
        <x:v>240</x:v>
      </x:c>
      <x:c r="C19" s="21"/>
      <x:c r="D19" s="2" t="str">
        <x:v>　展示表合并相邻同阶段、航段与保障策略区间</x:v>
      </x:c>
    </x:row>
    <x:row r="20" ht="28" customHeight="1">
      <x:c r="A20" s="10" t="str">
        <x:v>两类无人机总架次数</x:v>
      </x:c>
      <x:c r="B20" s="22" t="n">
        <x:f>SUM(B6:B7)</x:f>
        <x:v>24</x:v>
      </x:c>
      <x:c r="C20" s="22" t="n">
        <x:v>21</x:v>
      </x:c>
      <x:c r="D20" s="10" t="str">
        <x:v>　Q3同时计算运输与中继；Q2只有运输</x:v>
      </x:c>
    </x:row>
    <x:row r="21" ht="28" customHeight="1">
      <x:c r="A21" s="2" t="str">
        <x:v>固定权重评分 F</x:v>
      </x:c>
      <x:c r="B21" s="25" t="n">
        <x:f>SUM(D28:D31)</x:f>
        <x:v>0.0037081055399544836</x:v>
      </x:c>
      <x:c r="C21" s="25" t="n">
        <x:v>-0.051740363128042303</x:v>
      </x:c>
      <x:c r="D21" s="2" t="str">
        <x:v>　权重3:1.5:1:0.5；沿用师兄Q2归一化尺度，分数越小越优</x:v>
      </x:c>
    </x:row>
    <x:row r="22" ht="28" customHeight="1">
      <x:c r="A22" s="2"/>
      <x:c r="B22" s="2"/>
      <x:c r="C22" s="2"/>
      <x:c r="D22" s="2"/>
    </x:row>
    <x:row r="23" ht="42" customHeight="1">
      <x:c r="A23" s="2" t="str">
        <x:v>求解状态</x:v>
      </x:c>
      <x:c r="B23" s="2" t="str">
        <x:v>FEASIBLE</x:v>
      </x:c>
      <x:c r="C23" s="2" t="str">
        <x:v>最优性范围</x:v>
      </x:c>
      <x:c r="D23" s="11" t="str">
        <x:v>有限运输候选与悬停站点组合搜索中的可行解（FEASIBLE）；未证明第三问全局最优。</x:v>
      </x:c>
    </x:row>
    <x:row r="24" ht="28" customHeight="1">
      <x:c r="A24" s="2"/>
      <x:c r="B24" s="2"/>
      <x:c r="C24" s="2"/>
      <x:c r="D24" s="2"/>
    </x:row>
    <x:row r="25" ht="28" customHeight="1">
      <x:c r="A25" s="2"/>
      <x:c r="B25" s="2"/>
      <x:c r="C25" s="2"/>
      <x:c r="D25" s="2"/>
    </x:row>
    <x:row r="26" ht="28" customHeight="1">
      <x:c r="A26" s="32" t="str">
        <x:v>评分复算（固定Q2尺度）</x:v>
      </x:c>
      <x:c r="B26" s="2"/>
      <x:c r="C26" s="2"/>
      <x:c r="D26" s="2"/>
    </x:row>
    <x:row r="27" ht="48" customHeight="1">
      <x:c r="A27" s="7" t="str">
        <x:v>指标</x:v>
      </x:c>
      <x:c r="B27" s="8" t="str">
        <x:v>当前原生整数值</x:v>
      </x:c>
      <x:c r="C27" s="8" t="str">
        <x:v>归一化值</x:v>
      </x:c>
      <x:c r="D27" s="9" t="str">
        <x:v>加权贡献</x:v>
      </x:c>
    </x:row>
    <x:row r="28" ht="28" customHeight="1">
      <x:c r="A28" s="2" t="str">
        <x:v>加权迟到（系数×ms）</x:v>
      </x:c>
      <x:c r="B28" s="21" t="n">
        <x:f>ROUND(B16*1000,0)</x:f>
        <x:v>0</x:v>
      </x:c>
      <x:c r="C28" s="25" t="n">
        <x:f>(B28-C36)/D36</x:f>
        <x:v>0</x:v>
      </x:c>
      <x:c r="D28" s="25" t="n">
        <x:f>B36*C28</x:f>
        <x:v>0</x:v>
      </x:c>
    </x:row>
    <x:row r="29" ht="28" customHeight="1">
      <x:c r="A29" s="2" t="str">
        <x:v>联合完工（ms）</x:v>
      </x:c>
      <x:c r="B29" s="21" t="n">
        <x:f>ROUND(B11*1000,0)</x:f>
        <x:v>6612284</x:v>
      </x:c>
      <x:c r="C29" s="25" t="n">
        <x:f>(B29-C37)/D37</x:f>
        <x:v>-0.23343336009148893</x:v>
      </x:c>
      <x:c r="D29" s="25" t="n">
        <x:f>B37*C29</x:f>
        <x:v>-0.058358340022872233</x:v>
      </x:c>
    </x:row>
    <x:row r="30" ht="28" customHeight="1">
      <x:c r="A30" s="2" t="str">
        <x:v>两类总能耗（10^-9 kWh）</x:v>
      </x:c>
      <x:c r="B30" s="21" t="n">
        <x:f>SUM('Q3_运输架次'!R2:R22)+SUM('Q3_中继架次'!S2:S4)</x:f>
        <x:v>66445273284</x:v>
      </x:c>
      <x:c r="C30" s="25" t="n">
        <x:f>(B30-C38)/D38</x:f>
        <x:v>0.16406534004362697</x:v>
      </x:c>
      <x:c r="D30" s="25" t="n">
        <x:f>B38*C30</x:f>
        <x:v>0.027344223340604493</x:v>
      </x:c>
    </x:row>
    <x:row r="31" ht="28" customHeight="1">
      <x:c r="A31" s="2" t="str">
        <x:v>两类总架次</x:v>
      </x:c>
      <x:c r="B31" s="21" t="n">
        <x:f>B20</x:f>
        <x:v>24</x:v>
      </x:c>
      <x:c r="C31" s="25" t="n">
        <x:f>(B31-C39)/D39</x:f>
        <x:v>0.4166666666666667</x:v>
      </x:c>
      <x:c r="D31" s="25" t="n">
        <x:f>B39*C31</x:f>
        <x:v>0.034722222222222224</x:v>
      </x:c>
    </x:row>
    <x:row r="32" ht="28" customHeight="1">
      <x:c r="A32" s="2"/>
      <x:c r="B32" s="2"/>
      <x:c r="C32" s="2"/>
      <x:c r="D32" s="2"/>
    </x:row>
    <x:row r="33" ht="28" customHeight="1">
      <x:c r="A33" s="2"/>
      <x:c r="B33" s="2"/>
      <x:c r="C33" s="2"/>
      <x:c r="D33" s="2"/>
    </x:row>
    <x:row r="34" ht="28" customHeight="1">
      <x:c r="A34" s="2"/>
      <x:c r="B34" s="2"/>
      <x:c r="C34" s="2"/>
      <x:c r="D34" s="2"/>
    </x:row>
    <x:row r="35" ht="48" customHeight="1">
      <x:c r="A35" s="7" t="str">
        <x:v>固定评分参数</x:v>
      </x:c>
      <x:c r="B35" s="8" t="str">
        <x:v>归一权重 alpha</x:v>
      </x:c>
      <x:c r="C35" s="8" t="str">
        <x:v>基准下界</x:v>
      </x:c>
      <x:c r="D35" s="9" t="str">
        <x:v>尺度跨度</x:v>
      </x:c>
    </x:row>
    <x:row r="36" ht="28" customHeight="1">
      <x:c r="A36" s="2" t="str">
        <x:v>tardiness</x:v>
      </x:c>
      <x:c r="B36" s="25" t="n">
        <x:v>0.5</x:v>
      </x:c>
      <x:c r="C36" s="21" t="n">
        <x:v>0</x:v>
      </x:c>
      <x:c r="D36" s="21" t="n">
        <x:v>429204104</x:v>
      </x:c>
    </x:row>
    <x:row r="37" ht="28" customHeight="1">
      <x:c r="A37" s="2" t="str">
        <x:v>makespan</x:v>
      </x:c>
      <x:c r="B37" s="25" t="n">
        <x:v>0.25</x:v>
      </x:c>
      <x:c r="C37" s="21" t="n">
        <x:v>7528576</x:v>
      </x:c>
      <x:c r="D37" s="21" t="n">
        <x:v>3925283</x:v>
      </x:c>
    </x:row>
    <x:row r="38" ht="28" customHeight="1">
      <x:c r="A38" s="2" t="str">
        <x:v>energy</x:v>
      </x:c>
      <x:c r="B38" s="25" t="n">
        <x:v>0.16666666666666666</x:v>
      </x:c>
      <x:c r="C38" s="21" t="n">
        <x:v>62634022492</x:v>
      </x:c>
      <x:c r="D38" s="21" t="n">
        <x:v>23230078888</x:v>
      </x:c>
    </x:row>
    <x:row r="39" ht="28" customHeight="1">
      <x:c r="A39" s="2" t="str">
        <x:v>sorties</x:v>
      </x:c>
      <x:c r="B39" s="25" t="n">
        <x:v>0.08333333333333333</x:v>
      </x:c>
      <x:c r="C39" s="21" t="n">
        <x:v>19</x:v>
      </x:c>
      <x:c r="D39" s="21" t="n">
        <x:v>12</x:v>
      </x:c>
    </x:row>
    <x:row r="40" ht="40" customHeight="1">
      <x:c r="A40" s="2" t="str">
        <x:v>尺度来源</x:v>
      </x:c>
      <x:c r="B40" s="2" t="str">
        <x:v>4个已归档Q2字典序解</x:v>
      </x:c>
      <x:c r="C40" s="2"/>
      <x:c r="D40" s="11" t="str">
        <x:v>沿用师兄冻结尺度；不是Q3全局上下界。原生单位时间为毫秒，能耗为kWh×10^9。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.75" hidden="0" customWidth="1"/>
    <x:col min="2" max="2" width="12.5" hidden="0" customWidth="1"/>
    <x:col min="3" max="3" width="10" hidden="0" customWidth="1"/>
    <x:col min="4" max="4" width="11.880000114440918" hidden="0" customWidth="1"/>
    <x:col min="5" max="5" width="15.5" hidden="0" customWidth="1"/>
    <x:col min="6" max="6" width="24.75" hidden="0" customWidth="1"/>
    <x:col min="7" max="7" width="17.75" hidden="0" customWidth="1"/>
    <x:col min="8" max="8" width="16.6299991607666" hidden="0" customWidth="1"/>
    <x:col min="9" max="9" width="50" hidden="0" customWidth="1"/>
    <x:col min="10" max="10" width="15" hidden="0" customWidth="1"/>
    <x:col min="11" max="11" width="16.5" hidden="0" customWidth="1"/>
    <x:col min="12" max="12" width="18.75" hidden="0" customWidth="1"/>
    <x:col min="13" max="13" width="18" hidden="0" customWidth="1"/>
    <x:col min="14" max="14" width="20.25" hidden="0" customWidth="1"/>
    <x:col min="15" max="15" width="17" hidden="0" customWidth="1"/>
    <x:col min="16" max="16" width="14.380000114440918" hidden="0" customWidth="1"/>
    <x:col min="17" max="17" width="21.1299991607666" hidden="0" customWidth="1"/>
    <x:col min="18" max="18" width="21.5" hidden="0" customWidth="1"/>
  </x:cols>
  <x:sheetData>
    <x:row r="1" ht="48" customHeight="1">
      <x:c r="A1" s="7" t="str">
        <x:v>架次编号</x:v>
      </x:c>
      <x:c r="B1" s="8" t="str">
        <x:v>无人机编号</x:v>
      </x:c>
      <x:c r="C1" s="8" t="str">
        <x:v>机型编号</x:v>
      </x:c>
      <x:c r="D1" s="8" t="str">
        <x:v>电池编号</x:v>
      </x:c>
      <x:c r="E1" s="8" t="str">
        <x:v>开始时刻（s）</x:v>
      </x:c>
      <x:c r="F1" s="8" t="str">
        <x:v>访问服务区顺序</x:v>
      </x:c>
      <x:c r="G1" s="8" t="str">
        <x:v>返回O01时刻（s）</x:v>
      </x:c>
      <x:c r="H1" s="8" t="str">
        <x:v>架次能耗（kWh）</x:v>
      </x:c>
      <x:c r="I1" s="8" t="str">
        <x:v>货箱编号列表</x:v>
      </x:c>
      <x:c r="J1" s="8" t="str">
        <x:v>载质量（kg）</x:v>
      </x:c>
      <x:c r="K1" s="8" t="str">
        <x:v>装载体积（m³）</x:v>
      </x:c>
      <x:c r="L1" s="8" t="str">
        <x:v>实际起飞时刻（s）</x:v>
      </x:c>
      <x:c r="M1" s="8" t="str">
        <x:v>架次作业时长（s）</x:v>
      </x:c>
      <x:c r="N1" s="8" t="str">
        <x:v>电池可再用时刻（s）</x:v>
      </x:c>
      <x:c r="O1" s="8" t="str">
        <x:v>电池能量（kWh）</x:v>
      </x:c>
      <x:c r="P1" s="8" t="str">
        <x:v>返航SOC（%）</x:v>
      </x:c>
      <x:c r="Q1" s="8" t="str">
        <x:v>实体释放时刻（s）</x:v>
      </x:c>
      <x:c r="R1" s="9" t="str">
        <x:v>评分用整数能耗</x:v>
      </x:c>
    </x:row>
    <x:row r="2" ht="30" customHeight="1">
      <x:c r="A2" s="2" t="str">
        <x:v>T001</x:v>
      </x:c>
      <x:c r="B2" s="2" t="str">
        <x:v>U01</x:v>
      </x:c>
      <x:c r="C2" s="2" t="str">
        <x:v>A</x:v>
      </x:c>
      <x:c r="D2" s="2" t="str">
        <x:v>BAT-A-01</x:v>
      </x:c>
      <x:c r="E2" s="15" t="n">
        <x:v>0</x:v>
      </x:c>
      <x:c r="F2" s="2" t="str">
        <x:v>S006</x:v>
      </x:c>
      <x:c r="G2" s="15" t="n">
        <x:v>1313.477</x:v>
      </x:c>
      <x:c r="H2" s="17" t="n">
        <x:v>1.3570116703911381</x:v>
      </x:c>
      <x:c r="I2" s="11" t="str">
        <x:v>S006-FOD-01; S006-WAT-01</x:v>
      </x:c>
      <x:c r="J2" s="15" t="n">
        <x:v>22</x:v>
      </x:c>
      <x:c r="K2" s="15" t="n">
        <x:v>0.055</x:v>
      </x:c>
      <x:c r="L2" s="15" t="n">
        <x:v>360</x:v>
      </x:c>
      <x:c r="M2" s="15" t="n">
        <x:v>1313.477</x:v>
      </x:c>
      <x:c r="N2" s="15" t="n">
        <x:v>2205.503</x:v>
      </x:c>
      <x:c r="O2" s="15" t="n">
        <x:v>4.5</x:v>
      </x:c>
      <x:c r="P2" s="15" t="n">
        <x:f>(1-H2/O2)*100</x:f>
        <x:v>69.84418510241916</x:v>
      </x:c>
      <x:c r="Q2" s="15" t="n">
        <x:v>1313.477</x:v>
      </x:c>
      <x:c r="R2" s="21" t="n">
        <x:f>ROUND(H2*1000000000,0)</x:f>
        <x:v>1357011670</x:v>
      </x:c>
    </x:row>
    <x:row r="3" ht="30" customHeight="1">
      <x:c r="A3" s="10" t="str">
        <x:v>T002</x:v>
      </x:c>
      <x:c r="B3" s="10" t="str">
        <x:v>U05</x:v>
      </x:c>
      <x:c r="C3" s="10" t="str">
        <x:v>B</x:v>
      </x:c>
      <x:c r="D3" s="10" t="str">
        <x:v>BAT-B-01</x:v>
      </x:c>
      <x:c r="E3" s="16" t="n">
        <x:v>0</x:v>
      </x:c>
      <x:c r="F3" s="10" t="str">
        <x:v>S014</x:v>
      </x:c>
      <x:c r="G3" s="16" t="n">
        <x:v>1869.749</x:v>
      </x:c>
      <x:c r="H3" s="18" t="n">
        <x:v>2.1402909781417883</x:v>
      </x:c>
      <x:c r="I3" s="12" t="str">
        <x:v>S014-FOD-01; S014-MED-01; S014-WAT-01</x:v>
      </x:c>
      <x:c r="J3" s="16" t="n">
        <x:v>25</x:v>
      </x:c>
      <x:c r="K3" s="16" t="n">
        <x:v>0.067</x:v>
      </x:c>
      <x:c r="L3" s="16" t="n">
        <x:v>390</x:v>
      </x:c>
      <x:c r="M3" s="16" t="n">
        <x:v>1869.749</x:v>
      </x:c>
      <x:c r="N3" s="16" t="n">
        <x:v>3463.876</x:v>
      </x:c>
      <x:c r="O3" s="16" t="n">
        <x:v>4</x:v>
      </x:c>
      <x:c r="P3" s="16" t="n">
        <x:f>(1-H3/O3)*100</x:f>
        <x:v>46.49272554645529</x:v>
      </x:c>
      <x:c r="Q3" s="16" t="n">
        <x:v>1869.749</x:v>
      </x:c>
      <x:c r="R3" s="22" t="n">
        <x:f>ROUND(H3*1000000000,0)</x:f>
        <x:v>2140290978</x:v>
      </x:c>
    </x:row>
    <x:row r="4" ht="30" customHeight="1">
      <x:c r="A4" s="2" t="str">
        <x:v>T003</x:v>
      </x:c>
      <x:c r="B4" s="2" t="str">
        <x:v>U06</x:v>
      </x:c>
      <x:c r="C4" s="2" t="str">
        <x:v>B</x:v>
      </x:c>
      <x:c r="D4" s="2" t="str">
        <x:v>BAT-B-02</x:v>
      </x:c>
      <x:c r="E4" s="15" t="n">
        <x:v>0</x:v>
      </x:c>
      <x:c r="F4" s="2" t="str">
        <x:v>S010</x:v>
      </x:c>
      <x:c r="G4" s="15" t="n">
        <x:v>1555.405</x:v>
      </x:c>
      <x:c r="H4" s="17" t="n">
        <x:v>1.823216564231414</x:v>
      </x:c>
      <x:c r="I4" s="11" t="str">
        <x:v>S010-FOD-01; S010-MED-01; S010-WAT-01</x:v>
      </x:c>
      <x:c r="J4" s="15" t="n">
        <x:v>25</x:v>
      </x:c>
      <x:c r="K4" s="15" t="n">
        <x:v>0.067</x:v>
      </x:c>
      <x:c r="L4" s="15" t="n">
        <x:v>390</x:v>
      </x:c>
      <x:c r="M4" s="15" t="n">
        <x:v>1555.405</x:v>
      </x:c>
      <x:c r="N4" s="15" t="n">
        <x:v>3012.133</x:v>
      </x:c>
      <x:c r="O4" s="15" t="n">
        <x:v>4</x:v>
      </x:c>
      <x:c r="P4" s="15" t="n">
        <x:f>(1-H4/O4)*100</x:f>
        <x:v>54.41958589421465</x:v>
      </x:c>
      <x:c r="Q4" s="15" t="n">
        <x:v>1555.405</x:v>
      </x:c>
      <x:c r="R4" s="21" t="n">
        <x:f>ROUND(H4*1000000000,0)</x:f>
        <x:v>1823216564</x:v>
      </x:c>
    </x:row>
    <x:row r="5" ht="59" customHeight="1">
      <x:c r="A5" s="10" t="str">
        <x:v>T004</x:v>
      </x:c>
      <x:c r="B5" s="10" t="str">
        <x:v>U07</x:v>
      </x:c>
      <x:c r="C5" s="10" t="str">
        <x:v>C</x:v>
      </x:c>
      <x:c r="D5" s="10" t="str">
        <x:v>BAT-C-01</x:v>
      </x:c>
      <x:c r="E5" s="16" t="n">
        <x:v>0</x:v>
      </x:c>
      <x:c r="F5" s="10" t="str">
        <x:v>S001</x:v>
      </x:c>
      <x:c r="G5" s="16" t="n">
        <x:v>1692.176</x:v>
      </x:c>
      <x:c r="H5" s="18" t="n">
        <x:v>2.9175880955868267</x:v>
      </x:c>
      <x:c r="I5" s="12" t="str">
        <x:v>S001-FOD-01; S001-FOD-02; S001-HYG-01; S001-HYG-02; S001-MED-01; S001-MED-02; S001-WAT-05; S001-WAT-07; S001-WAT-08</x:v>
      </x:c>
      <x:c r="J5" s="16" t="n">
        <x:v>76</x:v>
      </x:c>
      <x:c r="K5" s="16" t="n">
        <x:v>0.231</x:v>
      </x:c>
      <x:c r="L5" s="16" t="n">
        <x:v>570</x:v>
      </x:c>
      <x:c r="M5" s="16" t="n">
        <x:v>1692.176</x:v>
      </x:c>
      <x:c r="N5" s="16" t="n">
        <x:v>3315.69</x:v>
      </x:c>
      <x:c r="O5" s="16" t="n">
        <x:v>8</x:v>
      </x:c>
      <x:c r="P5" s="16" t="n">
        <x:f>(1-H5/O5)*100</x:f>
        <x:v>63.530148805164664</x:v>
      </x:c>
      <x:c r="Q5" s="16" t="n">
        <x:v>1692.176</x:v>
      </x:c>
      <x:c r="R5" s="22" t="n">
        <x:f>ROUND(H5*1000000000,0)</x:f>
        <x:v>2917588096</x:v>
      </x:c>
    </x:row>
    <x:row r="6" ht="42" customHeight="1">
      <x:c r="A6" s="2" t="str">
        <x:v>T005</x:v>
      </x:c>
      <x:c r="B6" s="2" t="str">
        <x:v>U08</x:v>
      </x:c>
      <x:c r="C6" s="2" t="str">
        <x:v>C</x:v>
      </x:c>
      <x:c r="D6" s="2" t="str">
        <x:v>BAT-C-02</x:v>
      </x:c>
      <x:c r="E6" s="15" t="n">
        <x:v>0</x:v>
      </x:c>
      <x:c r="F6" s="2" t="str">
        <x:v>S001</x:v>
      </x:c>
      <x:c r="G6" s="15" t="n">
        <x:v>1494.176</x:v>
      </x:c>
      <x:c r="H6" s="17" t="n">
        <x:v>2.995775804904669</x:v>
      </x:c>
      <x:c r="I6" s="11" t="str">
        <x:v>S001-FOD-03; S001-WAT-01; S001-WAT-02; S001-WAT-03; S001-WAT-04; S001-WAT-06</x:v>
      </x:c>
      <x:c r="J6" s="15" t="n">
        <x:v>78</x:v>
      </x:c>
      <x:c r="K6" s="15" t="n">
        <x:v>0.163</x:v>
      </x:c>
      <x:c r="L6" s="15" t="n">
        <x:v>480</x:v>
      </x:c>
      <x:c r="M6" s="15" t="n">
        <x:v>1494.176</x:v>
      </x:c>
      <x:c r="N6" s="15" t="n">
        <x:v>3138.866</x:v>
      </x:c>
      <x:c r="O6" s="15" t="n">
        <x:v>8</x:v>
      </x:c>
      <x:c r="P6" s="15" t="n">
        <x:f>(1-H6/O6)*100</x:f>
        <x:v>62.552802438691636</x:v>
      </x:c>
      <x:c r="Q6" s="15" t="n">
        <x:v>1494.176</x:v>
      </x:c>
      <x:c r="R6" s="21" t="n">
        <x:f>ROUND(H6*1000000000,0)</x:f>
        <x:v>2995775805</x:v>
      </x:c>
    </x:row>
    <x:row r="7" ht="59" customHeight="1">
      <x:c r="A7" s="10" t="str">
        <x:v>T006</x:v>
      </x:c>
      <x:c r="B7" s="10" t="str">
        <x:v>U08</x:v>
      </x:c>
      <x:c r="C7" s="10" t="str">
        <x:v>C</x:v>
      </x:c>
      <x:c r="D7" s="10" t="str">
        <x:v>BAT-C-03</x:v>
      </x:c>
      <x:c r="E7" s="16" t="n">
        <x:v>1494.177</x:v>
      </x:c>
      <x:c r="F7" s="10" t="str">
        <x:v>S002</x:v>
      </x:c>
      <x:c r="G7" s="16" t="n">
        <x:v>3668.021</x:v>
      </x:c>
      <x:c r="H7" s="18" t="n">
        <x:v>6.280970256414267</x:v>
      </x:c>
      <x:c r="I7" s="12" t="str">
        <x:v>S002-FOD-01; S002-FOD-02; S002-HYG-01; S002-MED-01; S002-WAT-01; S002-WAT-02; S002-WAT-04</x:v>
      </x:c>
      <x:c r="J7" s="16" t="n">
        <x:v>67</x:v>
      </x:c>
      <x:c r="K7" s="16" t="n">
        <x:v>0.184</x:v>
      </x:c>
      <x:c r="L7" s="16" t="n">
        <x:v>2004.177</x:v>
      </x:c>
      <x:c r="M7" s="16" t="n">
        <x:v>2173.844</x:v>
      </x:c>
      <x:c r="N7" s="16" t="n">
        <x:v>6202.451</x:v>
      </x:c>
      <x:c r="O7" s="16" t="n">
        <x:v>8</x:v>
      </x:c>
      <x:c r="P7" s="16" t="n">
        <x:f>(1-H7/O7)*100</x:f>
        <x:v>21.487871794821668</x:v>
      </x:c>
      <x:c r="Q7" s="16" t="n">
        <x:v>3668.021</x:v>
      </x:c>
      <x:c r="R7" s="22" t="n">
        <x:f>ROUND(H7*1000000000,0)</x:f>
        <x:v>6280970256</x:v>
      </x:c>
    </x:row>
    <x:row r="8" ht="30" customHeight="1">
      <x:c r="A8" s="2" t="str">
        <x:v>T007</x:v>
      </x:c>
      <x:c r="B8" s="2" t="str">
        <x:v>U06</x:v>
      </x:c>
      <x:c r="C8" s="2" t="str">
        <x:v>B</x:v>
      </x:c>
      <x:c r="D8" s="2" t="str">
        <x:v>BAT-B-03</x:v>
      </x:c>
      <x:c r="E8" s="15" t="n">
        <x:v>1555.405</x:v>
      </x:c>
      <x:c r="F8" s="2" t="str">
        <x:v>S006</x:v>
      </x:c>
      <x:c r="G8" s="15" t="n">
        <x:v>2762.676</x:v>
      </x:c>
      <x:c r="H8" s="17" t="n">
        <x:v>1.2935179229261098</x:v>
      </x:c>
      <x:c r="I8" s="11" t="str">
        <x:v>S006-WAT-02; S006-WAT-03</x:v>
      </x:c>
      <x:c r="J8" s="15" t="n">
        <x:v>28</x:v>
      </x:c>
      <x:c r="K8" s="15" t="n">
        <x:v>0.054</x:v>
      </x:c>
      <x:c r="L8" s="15" t="n">
        <x:v>1915.405</x:v>
      </x:c>
      <x:c r="M8" s="15" t="n">
        <x:v>1207.271</x:v>
      </x:c>
      <x:c r="N8" s="15" t="n">
        <x:v>3989.868</x:v>
      </x:c>
      <x:c r="O8" s="15" t="n">
        <x:v>4</x:v>
      </x:c>
      <x:c r="P8" s="15" t="n">
        <x:f>(1-H8/O8)*100</x:f>
        <x:v>67.66205192684725</x:v>
      </x:c>
      <x:c r="Q8" s="15" t="n">
        <x:v>2762.676</x:v>
      </x:c>
      <x:c r="R8" s="21" t="n">
        <x:f>ROUND(H8*1000000000,0)</x:f>
        <x:v>1293517923</x:v>
      </x:c>
    </x:row>
    <x:row r="9" ht="30" customHeight="1">
      <x:c r="A9" s="10" t="str">
        <x:v>T008</x:v>
      </x:c>
      <x:c r="B9" s="10" t="str">
        <x:v>U01</x:v>
      </x:c>
      <x:c r="C9" s="10" t="str">
        <x:v>A</x:v>
      </x:c>
      <x:c r="D9" s="10" t="str">
        <x:v>BAT-A-02</x:v>
      </x:c>
      <x:c r="E9" s="16" t="n">
        <x:v>1641.16</x:v>
      </x:c>
      <x:c r="F9" s="10" t="str">
        <x:v>S013→S002→S009</x:v>
      </x:c>
      <x:c r="G9" s="16" t="n">
        <x:v>4316.739</x:v>
      </x:c>
      <x:c r="H9" s="18" t="n">
        <x:v>3.4267843211779936</x:v>
      </x:c>
      <x:c r="I9" s="12" t="str">
        <x:v>S002-WAT-03; S009-MED-01; S013-MED-01</x:v>
      </x:c>
      <x:c r="J9" s="16" t="n">
        <x:v>20</x:v>
      </x:c>
      <x:c r="K9" s="16" t="n">
        <x:v>0.051000000000000004</x:v>
      </x:c>
      <x:c r="L9" s="16" t="n">
        <x:v>2031.16</x:v>
      </x:c>
      <x:c r="M9" s="16" t="n">
        <x:v>2675.579</x:v>
      </x:c>
      <x:c r="N9" s="16" t="n">
        <x:v>5806.699</x:v>
      </x:c>
      <x:c r="O9" s="16" t="n">
        <x:v>4.5</x:v>
      </x:c>
      <x:c r="P9" s="16" t="n">
        <x:f>(1-H9/O9)*100</x:f>
        <x:v>23.8492373071557</x:v>
      </x:c>
      <x:c r="Q9" s="16" t="n">
        <x:v>4316.739</x:v>
      </x:c>
      <x:c r="R9" s="22" t="n">
        <x:f>ROUND(H9*1000000000,0)</x:f>
        <x:v>3426784321</x:v>
      </x:c>
    </x:row>
    <x:row r="10" ht="30" customHeight="1">
      <x:c r="A10" s="2" t="str">
        <x:v>T009</x:v>
      </x:c>
      <x:c r="B10" s="2" t="str">
        <x:v>U02</x:v>
      </x:c>
      <x:c r="C10" s="2" t="str">
        <x:v>A</x:v>
      </x:c>
      <x:c r="D10" s="2" t="str">
        <x:v>BAT-A-03</x:v>
      </x:c>
      <x:c r="E10" s="15" t="n">
        <x:v>1671.16</x:v>
      </x:c>
      <x:c r="F10" s="2" t="str">
        <x:v>S013</x:v>
      </x:c>
      <x:c r="G10" s="15" t="n">
        <x:v>3283.324</x:v>
      </x:c>
      <x:c r="H10" s="17" t="n">
        <x:v>2.0255255619357206</x:v>
      </x:c>
      <x:c r="I10" s="11" t="str">
        <x:v>S013-FOD-01; S013-WAT-01</x:v>
      </x:c>
      <x:c r="J10" s="15" t="n">
        <x:v>22</x:v>
      </x:c>
      <x:c r="K10" s="15" t="n">
        <x:v>0.055</x:v>
      </x:c>
      <x:c r="L10" s="15" t="n">
        <x:v>2031.16</x:v>
      </x:c>
      <x:c r="M10" s="15" t="n">
        <x:v>1612.164</x:v>
      </x:c>
      <x:c r="N10" s="15" t="n">
        <x:v>4368.476</x:v>
      </x:c>
      <x:c r="O10" s="15" t="n">
        <x:v>4.5</x:v>
      </x:c>
      <x:c r="P10" s="15" t="n">
        <x:f>(1-H10/O10)*100</x:f>
        <x:v>54.98832084587287</x:v>
      </x:c>
      <x:c r="Q10" s="15" t="n">
        <x:v>3283.324</x:v>
      </x:c>
      <x:c r="R10" s="21" t="n">
        <x:f>ROUND(H10*1000000000,0)</x:f>
        <x:v>2025525562</x:v>
      </x:c>
    </x:row>
    <x:row r="11" ht="42" customHeight="1">
      <x:c r="A11" s="10" t="str">
        <x:v>T010</x:v>
      </x:c>
      <x:c r="B11" s="10" t="str">
        <x:v>U07</x:v>
      </x:c>
      <x:c r="C11" s="10" t="str">
        <x:v>C</x:v>
      </x:c>
      <x:c r="D11" s="10" t="str">
        <x:v>BAT-C-04</x:v>
      </x:c>
      <x:c r="E11" s="16" t="n">
        <x:v>1692.176</x:v>
      </x:c>
      <x:c r="F11" s="10" t="str">
        <x:v>S004</x:v>
      </x:c>
      <x:c r="G11" s="16" t="n">
        <x:v>3993.232</x:v>
      </x:c>
      <x:c r="H11" s="18" t="n">
        <x:v>6.152860129174583</x:v>
      </x:c>
      <x:c r="I11" s="12" t="str">
        <x:v>S004-FOD-01; S004-HYG-01; S004-MED-01; S004-WAT-01; S004-WAT-02; S004-WAT-03</x:v>
      </x:c>
      <x:c r="J11" s="16" t="n">
        <x:v>59</x:v>
      </x:c>
      <x:c r="K11" s="16" t="n">
        <x:v>0.156</x:v>
      </x:c>
      <x:c r="L11" s="16" t="n">
        <x:v>2172.176</x:v>
      </x:c>
      <x:c r="M11" s="16" t="n">
        <x:v>2301.056</x:v>
      </x:c>
      <x:c r="N11" s="16" t="n">
        <x:v>6492.965</x:v>
      </x:c>
      <x:c r="O11" s="16" t="n">
        <x:v>8</x:v>
      </x:c>
      <x:c r="P11" s="16" t="n">
        <x:f>(1-H11/O11)*100</x:f>
        <x:v>23.089248385317717</x:v>
      </x:c>
      <x:c r="Q11" s="16" t="n">
        <x:v>3993.232</x:v>
      </x:c>
      <x:c r="R11" s="22" t="n">
        <x:f>ROUND(H11*1000000000,0)</x:f>
        <x:v>6152860129</x:v>
      </x:c>
    </x:row>
    <x:row r="12" ht="30" customHeight="1">
      <x:c r="A12" s="2" t="str">
        <x:v>T011</x:v>
      </x:c>
      <x:c r="B12" s="2" t="str">
        <x:v>U03</x:v>
      </x:c>
      <x:c r="C12" s="2" t="str">
        <x:v>A</x:v>
      </x:c>
      <x:c r="D12" s="2" t="str">
        <x:v>BAT-A-04</x:v>
      </x:c>
      <x:c r="E12" s="15" t="n">
        <x:v>1844.884</x:v>
      </x:c>
      <x:c r="F12" s="2" t="str">
        <x:v>S006→S007</x:v>
      </x:c>
      <x:c r="G12" s="15" t="n">
        <x:v>3974.033</x:v>
      </x:c>
      <x:c r="H12" s="17" t="n">
        <x:v>2.20907382605914</x:v>
      </x:c>
      <x:c r="I12" s="11" t="str">
        <x:v>S006-MED-01; S007-MED-01; S007-WAT-01</x:v>
      </x:c>
      <x:c r="J12" s="15" t="n">
        <x:v>20</x:v>
      </x:c>
      <x:c r="K12" s="15" t="n">
        <x:v>0.051000000000000004</x:v>
      </x:c>
      <x:c r="L12" s="15" t="n">
        <x:v>2234.884</x:v>
      </x:c>
      <x:c r="M12" s="15" t="n">
        <x:v>2129.149</x:v>
      </x:c>
      <x:c r="N12" s="15" t="n">
        <x:v>5112.21</x:v>
      </x:c>
      <x:c r="O12" s="15" t="n">
        <x:v>4.5</x:v>
      </x:c>
      <x:c r="P12" s="15" t="n">
        <x:f>(1-H12/O12)*100</x:f>
        <x:v>50.90947053201911</x:v>
      </x:c>
      <x:c r="Q12" s="15" t="n">
        <x:v>3974.033</x:v>
      </x:c>
      <x:c r="R12" s="21" t="n">
        <x:f>ROUND(H12*1000000000,0)</x:f>
        <x:v>2209073826</x:v>
      </x:c>
    </x:row>
    <x:row r="13" ht="30" customHeight="1">
      <x:c r="A13" s="10" t="str">
        <x:v>T012</x:v>
      </x:c>
      <x:c r="B13" s="10" t="str">
        <x:v>U05</x:v>
      </x:c>
      <x:c r="C13" s="10" t="str">
        <x:v>B</x:v>
      </x:c>
      <x:c r="D13" s="10" t="str">
        <x:v>BAT-B-04</x:v>
      </x:c>
      <x:c r="E13" s="16" t="n">
        <x:v>1869.749</x:v>
      </x:c>
      <x:c r="F13" s="10" t="str">
        <x:v>S012</x:v>
      </x:c>
      <x:c r="G13" s="16" t="n">
        <x:v>3792.577</x:v>
      </x:c>
      <x:c r="H13" s="18" t="n">
        <x:v>2.7525999542899324</x:v>
      </x:c>
      <x:c r="I13" s="12" t="str">
        <x:v>S012-FOD-01; S012-MED-01; S012-WAT-01</x:v>
      </x:c>
      <x:c r="J13" s="16" t="n">
        <x:v>25</x:v>
      </x:c>
      <x:c r="K13" s="16" t="n">
        <x:v>0.067</x:v>
      </x:c>
      <x:c r="L13" s="16" t="n">
        <x:v>2259.749</x:v>
      </x:c>
      <x:c r="M13" s="16" t="n">
        <x:v>1922.828</x:v>
      </x:c>
      <x:c r="N13" s="16" t="n">
        <x:v>5652.037</x:v>
      </x:c>
      <x:c r="O13" s="16" t="n">
        <x:v>4</x:v>
      </x:c>
      <x:c r="P13" s="16" t="n">
        <x:f>(1-H13/O13)*100</x:f>
        <x:v>31.185001142751688</x:v>
      </x:c>
      <x:c r="Q13" s="16" t="n">
        <x:v>3792.577</x:v>
      </x:c>
      <x:c r="R13" s="22" t="n">
        <x:f>ROUND(H13*1000000000,0)</x:f>
        <x:v>2752599954</x:v>
      </x:c>
    </x:row>
    <x:row r="14" ht="30" customHeight="1">
      <x:c r="A14" s="2" t="str">
        <x:v>T013</x:v>
      </x:c>
      <x:c r="B14" s="2" t="str">
        <x:v>U04</x:v>
      </x:c>
      <x:c r="C14" s="2" t="str">
        <x:v>A</x:v>
      </x:c>
      <x:c r="D14" s="2" t="str">
        <x:v>BAT-A-01</x:v>
      </x:c>
      <x:c r="E14" s="15" t="n">
        <x:v>2488.626</x:v>
      </x:c>
      <x:c r="F14" s="2" t="str">
        <x:v>S007</x:v>
      </x:c>
      <x:c r="G14" s="15" t="n">
        <x:v>4216.094</x:v>
      </x:c>
      <x:c r="H14" s="17" t="n">
        <x:v>1.9709635056721377</x:v>
      </x:c>
      <x:c r="I14" s="11" t="str">
        <x:v>S007-FOD-01; S007-WAT-02</x:v>
      </x:c>
      <x:c r="J14" s="15" t="n">
        <x:v>22</x:v>
      </x:c>
      <x:c r="K14" s="15" t="n">
        <x:v>0.055</x:v>
      </x:c>
      <x:c r="L14" s="15" t="n">
        <x:v>2848.626</x:v>
      </x:c>
      <x:c r="M14" s="15" t="n">
        <x:v>1727.468</x:v>
      </x:c>
      <x:c r="N14" s="15" t="n">
        <x:v>5285.484</x:v>
      </x:c>
      <x:c r="O14" s="15" t="n">
        <x:v>4.5</x:v>
      </x:c>
      <x:c r="P14" s="15" t="n">
        <x:f>(1-H14/O14)*100</x:f>
        <x:v>56.2008109850636</x:v>
      </x:c>
      <x:c r="Q14" s="15" t="n">
        <x:v>4216.094</x:v>
      </x:c>
      <x:c r="R14" s="21" t="n">
        <x:f>ROUND(H14*1000000000,0)</x:f>
        <x:v>1970963506</x:v>
      </x:c>
    </x:row>
    <x:row r="15" ht="30" customHeight="1">
      <x:c r="A15" s="10" t="str">
        <x:v>T014</x:v>
      </x:c>
      <x:c r="B15" s="10" t="str">
        <x:v>U06</x:v>
      </x:c>
      <x:c r="C15" s="10" t="str">
        <x:v>B</x:v>
      </x:c>
      <x:c r="D15" s="10" t="str">
        <x:v>BAT-B-02</x:v>
      </x:c>
      <x:c r="E15" s="16" t="n">
        <x:v>3012.133</x:v>
      </x:c>
      <x:c r="F15" s="10" t="str">
        <x:v>S008</x:v>
      </x:c>
      <x:c r="G15" s="16" t="n">
        <x:v>4913.976</x:v>
      </x:c>
      <x:c r="H15" s="18" t="n">
        <x:v>2.7634312052333714</x:v>
      </x:c>
      <x:c r="I15" s="12" t="str">
        <x:v>S008-HYG-01; S008-WAT-01</x:v>
      </x:c>
      <x:c r="J15" s="16" t="n">
        <x:v>20</x:v>
      </x:c>
      <x:c r="K15" s="16" t="n">
        <x:v>0.062</x:v>
      </x:c>
      <x:c r="L15" s="16" t="n">
        <x:v>3372.133</x:v>
      </x:c>
      <x:c r="M15" s="16" t="n">
        <x:v>1901.843</x:v>
      </x:c>
      <x:c r="N15" s="16" t="n">
        <x:v>6778.13</x:v>
      </x:c>
      <x:c r="O15" s="16" t="n">
        <x:v>4</x:v>
      </x:c>
      <x:c r="P15" s="16" t="n">
        <x:f>(1-H15/O15)*100</x:f>
        <x:v>30.914219869165716</x:v>
      </x:c>
      <x:c r="Q15" s="16" t="n">
        <x:v>4913.976</x:v>
      </x:c>
      <x:c r="R15" s="22" t="n">
        <x:f>ROUND(H15*1000000000,0)</x:f>
        <x:v>2763431205</x:v>
      </x:c>
    </x:row>
    <x:row r="16" ht="30" customHeight="1">
      <x:c r="A16" s="2" t="str">
        <x:v>T015</x:v>
      </x:c>
      <x:c r="B16" s="2" t="str">
        <x:v>U02</x:v>
      </x:c>
      <x:c r="C16" s="2" t="str">
        <x:v>A</x:v>
      </x:c>
      <x:c r="D16" s="2" t="str">
        <x:v>BAT-A-05</x:v>
      </x:c>
      <x:c r="E16" s="15" t="n">
        <x:v>3283.324</x:v>
      </x:c>
      <x:c r="F16" s="2" t="str">
        <x:v>S003→S015</x:v>
      </x:c>
      <x:c r="G16" s="15" t="n">
        <x:v>5886.793</x:v>
      </x:c>
      <x:c r="H16" s="17" t="n">
        <x:v>3.2974580584469555</x:v>
      </x:c>
      <x:c r="I16" s="11" t="str">
        <x:v>S003-MED-01; S003-WAT-01; S015-MED-01</x:v>
      </x:c>
      <x:c r="J16" s="15" t="n">
        <x:v>20</x:v>
      </x:c>
      <x:c r="K16" s="15" t="n">
        <x:v>0.051000000000000004</x:v>
      </x:c>
      <x:c r="L16" s="15" t="n">
        <x:v>3673.324</x:v>
      </x:c>
      <x:c r="M16" s="15" t="n">
        <x:v>2603.469</x:v>
      </x:c>
      <x:c r="N16" s="15" t="n">
        <x:v>7339.392</x:v>
      </x:c>
      <x:c r="O16" s="15" t="n">
        <x:v>4.5</x:v>
      </x:c>
      <x:c r="P16" s="15" t="n">
        <x:f>(1-H16/O16)*100</x:f>
        <x:v>26.723154256734325</x:v>
      </x:c>
      <x:c r="Q16" s="15" t="n">
        <x:v>5886.793</x:v>
      </x:c>
      <x:c r="R16" s="21" t="n">
        <x:f>ROUND(H16*1000000000,0)</x:f>
        <x:v>3297458058</x:v>
      </x:c>
    </x:row>
    <x:row r="17" ht="59" customHeight="1">
      <x:c r="A17" s="10" t="str">
        <x:v>T016</x:v>
      </x:c>
      <x:c r="B17" s="10" t="str">
        <x:v>U08</x:v>
      </x:c>
      <x:c r="C17" s="10" t="str">
        <x:v>C</x:v>
      </x:c>
      <x:c r="D17" s="10" t="str">
        <x:v>BAT-C-01</x:v>
      </x:c>
      <x:c r="E17" s="16" t="n">
        <x:v>3668.021</x:v>
      </x:c>
      <x:c r="F17" s="10" t="str">
        <x:v>S007→S003</x:v>
      </x:c>
      <x:c r="G17" s="16" t="n">
        <x:v>6361.703</x:v>
      </x:c>
      <x:c r="H17" s="18" t="n">
        <x:v>6.39266312398181</x:v>
      </x:c>
      <x:c r="I17" s="12" t="str">
        <x:v>S003-FOD-01; S003-FOD-02; S003-HYG-01; S003-WAT-02; S003-WAT-03; S003-WAT-04; S007-HYG-01</x:v>
      </x:c>
      <x:c r="J17" s="16" t="n">
        <x:v>70</x:v>
      </x:c>
      <x:c r="K17" s="16" t="n">
        <x:v>0.20700000000000002</x:v>
      </x:c>
      <x:c r="L17" s="16" t="n">
        <x:v>4178.021000000001</x:v>
      </x:c>
      <x:c r="M17" s="16" t="n">
        <x:v>2693.682</x:v>
      </x:c>
      <x:c r="N17" s="16" t="n">
        <x:v>8926.383</x:v>
      </x:c>
      <x:c r="O17" s="16" t="n">
        <x:v>8</x:v>
      </x:c>
      <x:c r="P17" s="16" t="n">
        <x:f>(1-H17/O17)*100</x:f>
        <x:v>20.09171095022737</x:v>
      </x:c>
      <x:c r="Q17" s="16" t="n">
        <x:v>6361.703</x:v>
      </x:c>
      <x:c r="R17" s="22" t="n">
        <x:f>ROUND(H17*1000000000,0)</x:f>
        <x:v>6392663124</x:v>
      </x:c>
    </x:row>
    <x:row r="18" ht="30" customHeight="1">
      <x:c r="A18" s="2" t="str">
        <x:v>T017</x:v>
      </x:c>
      <x:c r="B18" s="2" t="str">
        <x:v>U05</x:v>
      </x:c>
      <x:c r="C18" s="2" t="str">
        <x:v>B</x:v>
      </x:c>
      <x:c r="D18" s="2" t="str">
        <x:v>BAT-B-01</x:v>
      </x:c>
      <x:c r="E18" s="15" t="n">
        <x:v>3792.577</x:v>
      </x:c>
      <x:c r="F18" s="2" t="str">
        <x:v>S008</x:v>
      </x:c>
      <x:c r="G18" s="15" t="n">
        <x:v>5754.42</x:v>
      </x:c>
      <x:c r="H18" s="17" t="n">
        <x:v>2.9752068745422333</x:v>
      </x:c>
      <x:c r="I18" s="11" t="str">
        <x:v>S008-FOD-01; S008-MED-01; S008-WAT-02</x:v>
      </x:c>
      <x:c r="J18" s="15" t="n">
        <x:v>25</x:v>
      </x:c>
      <x:c r="K18" s="15" t="n">
        <x:v>0.067</x:v>
      </x:c>
      <x:c r="L18" s="15" t="n">
        <x:v>4182.577</x:v>
      </x:c>
      <x:c r="M18" s="15" t="n">
        <x:v>1961.843</x:v>
      </x:c>
      <x:c r="N18" s="15" t="n">
        <x:v>7710.343</x:v>
      </x:c>
      <x:c r="O18" s="15" t="n">
        <x:v>4</x:v>
      </x:c>
      <x:c r="P18" s="15" t="n">
        <x:f>(1-H18/O18)*100</x:f>
        <x:v>25.619828136444166</x:v>
      </x:c>
      <x:c r="Q18" s="15" t="n">
        <x:v>5754.42</x:v>
      </x:c>
      <x:c r="R18" s="21" t="n">
        <x:f>ROUND(H18*1000000000,0)</x:f>
        <x:v>2975206875</x:v>
      </x:c>
    </x:row>
    <x:row r="19" ht="30" customHeight="1">
      <x:c r="A19" s="10" t="str">
        <x:v>T018</x:v>
      </x:c>
      <x:c r="B19" s="10" t="str">
        <x:v>U03</x:v>
      </x:c>
      <x:c r="C19" s="10" t="str">
        <x:v>A</x:v>
      </x:c>
      <x:c r="D19" s="10" t="str">
        <x:v>BAT-A-06</x:v>
      </x:c>
      <x:c r="E19" s="16" t="n">
        <x:v>3974.033</x:v>
      </x:c>
      <x:c r="F19" s="10" t="str">
        <x:v>S015</x:v>
      </x:c>
      <x:c r="G19" s="16" t="n">
        <x:v>5942.687</x:v>
      </x:c>
      <x:c r="H19" s="18" t="n">
        <x:v>2.5577839515021354</x:v>
      </x:c>
      <x:c r="I19" s="12" t="str">
        <x:v>S015-FOD-01; S015-WAT-01</x:v>
      </x:c>
      <x:c r="J19" s="16" t="n">
        <x:v>22</x:v>
      </x:c>
      <x:c r="K19" s="16" t="n">
        <x:v>0.055</x:v>
      </x:c>
      <x:c r="L19" s="16" t="n">
        <x:v>4334.032999999999</x:v>
      </x:c>
      <x:c r="M19" s="16" t="n">
        <x:v>1968.654</x:v>
      </x:c>
      <x:c r="N19" s="16" t="n">
        <x:v>7181.603</x:v>
      </x:c>
      <x:c r="O19" s="16" t="n">
        <x:v>4.5</x:v>
      </x:c>
      <x:c r="P19" s="16" t="n">
        <x:f>(1-H19/O19)*100</x:f>
        <x:v>43.16035663328588</x:v>
      </x:c>
      <x:c r="Q19" s="16" t="n">
        <x:v>5942.687</x:v>
      </x:c>
      <x:c r="R19" s="22" t="n">
        <x:f>ROUND(H19*1000000000,0)</x:f>
        <x:v>2557783952</x:v>
      </x:c>
    </x:row>
    <x:row r="20" ht="59" customHeight="1">
      <x:c r="A20" s="2" t="str">
        <x:v>T019</x:v>
      </x:c>
      <x:c r="B20" s="2" t="str">
        <x:v>U07</x:v>
      </x:c>
      <x:c r="C20" s="2" t="str">
        <x:v>C</x:v>
      </x:c>
      <x:c r="D20" s="2" t="str">
        <x:v>BAT-C-02</x:v>
      </x:c>
      <x:c r="E20" s="15" t="n">
        <x:v>3993.232</x:v>
      </x:c>
      <x:c r="F20" s="2" t="str">
        <x:v>S005→S011</x:v>
      </x:c>
      <x:c r="G20" s="15" t="n">
        <x:v>6298.4</x:v>
      </x:c>
      <x:c r="H20" s="17" t="n">
        <x:v>4.829837032987866</x:v>
      </x:c>
      <x:c r="I20" s="11" t="str">
        <x:v>S005-FOD-01; S005-HYG-01; S005-MED-01; S005-WAT-01; S005-WAT-02; S005-WAT-03; S011-FOD-01; S011-MED-01</x:v>
      </x:c>
      <x:c r="J20" s="15" t="n">
        <x:v>70</x:v>
      </x:c>
      <x:c r="K20" s="15" t="n">
        <x:v>0.196</x:v>
      </x:c>
      <x:c r="L20" s="15" t="n">
        <x:v>4533.232</x:v>
      </x:c>
      <x:c r="M20" s="15" t="n">
        <x:v>2305.168</x:v>
      </x:c>
      <x:c r="N20" s="15" t="n">
        <x:v>8439.815</x:v>
      </x:c>
      <x:c r="O20" s="15" t="n">
        <x:v>8</x:v>
      </x:c>
      <x:c r="P20" s="15" t="n">
        <x:f>(1-H20/O20)*100</x:f>
        <x:v>39.62703708765167</x:v>
      </x:c>
      <x:c r="Q20" s="15" t="n">
        <x:v>6298.4</x:v>
      </x:c>
      <x:c r="R20" s="21" t="n">
        <x:f>ROUND(H20*1000000000,0)</x:f>
        <x:v>4829837033</x:v>
      </x:c>
    </x:row>
    <x:row r="21" ht="30" customHeight="1">
      <x:c r="A21" s="10" t="str">
        <x:v>T020</x:v>
      </x:c>
      <x:c r="B21" s="10" t="str">
        <x:v>U01</x:v>
      </x:c>
      <x:c r="C21" s="10" t="str">
        <x:v>A</x:v>
      </x:c>
      <x:c r="D21" s="10" t="str">
        <x:v>BAT-A-03</x:v>
      </x:c>
      <x:c r="E21" s="16" t="n">
        <x:v>4368.478</x:v>
      </x:c>
      <x:c r="F21" s="10" t="str">
        <x:v>S009</x:v>
      </x:c>
      <x:c r="G21" s="16" t="n">
        <x:v>6057.118</x:v>
      </x:c>
      <x:c r="H21" s="18" t="n">
        <x:v>2.331353700458349</x:v>
      </x:c>
      <x:c r="I21" s="12" t="str">
        <x:v>S009-FOD-01; S009-WAT-01</x:v>
      </x:c>
      <x:c r="J21" s="16" t="n">
        <x:v>22</x:v>
      </x:c>
      <x:c r="K21" s="16" t="n">
        <x:v>0.055</x:v>
      </x:c>
      <x:c r="L21" s="16" t="n">
        <x:v>4728.478</x:v>
      </x:c>
      <x:c r="M21" s="16" t="n">
        <x:v>1688.64</x:v>
      </x:c>
      <x:c r="N21" s="16" t="n">
        <x:v>7230.621</x:v>
      </x:c>
      <x:c r="O21" s="16" t="n">
        <x:v>4.5</x:v>
      </x:c>
      <x:c r="P21" s="16" t="n">
        <x:f>(1-H21/O21)*100</x:f>
        <x:v>48.192139989814464</x:v>
      </x:c>
      <x:c r="Q21" s="16" t="n">
        <x:v>6057.118</x:v>
      </x:c>
      <x:c r="R21" s="22" t="n">
        <x:f>ROUND(H21*1000000000,0)</x:f>
        <x:v>2331353700</x:v>
      </x:c>
    </x:row>
    <x:row r="22" ht="30" customHeight="1">
      <x:c r="A22" s="2" t="str">
        <x:v>T021</x:v>
      </x:c>
      <x:c r="B22" s="2" t="str">
        <x:v>U06</x:v>
      </x:c>
      <x:c r="C22" s="2" t="str">
        <x:v>B</x:v>
      </x:c>
      <x:c r="D22" s="2" t="str">
        <x:v>BAT-B-03</x:v>
      </x:c>
      <x:c r="E22" s="15" t="n">
        <x:v>4913.976</x:v>
      </x:c>
      <x:c r="F22" s="2" t="str">
        <x:v>S011→S006</x:v>
      </x:c>
      <x:c r="G22" s="15" t="n">
        <x:v>6559.627</x:v>
      </x:c>
      <x:c r="H22" s="17" t="n">
        <x:v>1.602056542336175</x:v>
      </x:c>
      <x:c r="I22" s="11" t="str">
        <x:v>S006-HYG-01; S011-WAT-01</x:v>
      </x:c>
      <x:c r="J22" s="15" t="n">
        <x:v>20</x:v>
      </x:c>
      <x:c r="K22" s="15" t="n">
        <x:v>0.062</x:v>
      </x:c>
      <x:c r="L22" s="15" t="n">
        <x:v>5273.976</x:v>
      </x:c>
      <x:c r="M22" s="15" t="n">
        <x:v>1645.651</x:v>
      </x:c>
      <x:c r="N22" s="15" t="n">
        <x:v>7920.519</x:v>
      </x:c>
      <x:c r="O22" s="15" t="n">
        <x:v>4</x:v>
      </x:c>
      <x:c r="P22" s="15" t="n">
        <x:f>(1-H22/O22)*100</x:f>
        <x:v>59.94858644159562</x:v>
      </x:c>
      <x:c r="Q22" s="15" t="n">
        <x:v>6559.627</x:v>
      </x:c>
      <x:c r="R22" s="21" t="n">
        <x:f>ROUND(H22*1000000000,0)</x:f>
        <x:v>1602056542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.75" hidden="0" customWidth="1"/>
    <x:col min="2" max="2" width="10.75" hidden="0" customWidth="1"/>
    <x:col min="3" max="3" width="13.130000114440918" hidden="0" customWidth="1"/>
    <x:col min="4" max="4" width="18.75" hidden="0" customWidth="1"/>
    <x:col min="5" max="5" width="10.25" hidden="0" customWidth="1"/>
    <x:col min="6" max="6" width="10.75" hidden="0" customWidth="1"/>
    <x:col min="7" max="7" width="16.75" hidden="0" customWidth="1"/>
    <x:col min="8" max="8" width="18.3799991607666" hidden="0" customWidth="1"/>
    <x:col min="9" max="9" width="18.3799991607666" hidden="0" customWidth="1"/>
    <x:col min="10" max="10" width="16.8799991607666" hidden="0" customWidth="1"/>
    <x:col min="11" max="11" width="18.3799991607666" hidden="0" customWidth="1"/>
    <x:col min="12" max="12" width="17" hidden="0" customWidth="1"/>
    <x:col min="13" max="13" width="14.25" hidden="0" customWidth="1"/>
    <x:col min="14" max="14" width="16" hidden="0" customWidth="1"/>
  </x:cols>
  <x:sheetData>
    <x:row r="1" ht="48" customHeight="1">
      <x:c r="A1" s="7" t="str">
        <x:v>货箱编号</x:v>
      </x:c>
      <x:c r="B1" s="8" t="str">
        <x:v>架次编号</x:v>
      </x:c>
      <x:c r="C1" s="8" t="str">
        <x:v>服务区编号</x:v>
      </x:c>
      <x:c r="D1" s="8" t="str">
        <x:v>交付完成时刻（s）</x:v>
      </x:c>
      <x:c r="E1" s="8" t="str">
        <x:v>物资类型</x:v>
      </x:c>
      <x:c r="F1" s="8" t="str">
        <x:v>优先系数</x:v>
      </x:c>
      <x:c r="G1" s="8" t="str">
        <x:v>期望送达（s）</x:v>
      </x:c>
      <x:c r="H1" s="8" t="str">
        <x:v>首批硬截止（s）</x:v>
      </x:c>
      <x:c r="I1" s="8" t="str">
        <x:v>医疗硬截止（s）</x:v>
      </x:c>
      <x:c r="J1" s="8" t="str">
        <x:v>期望拖期（s）</x:v>
      </x:c>
      <x:c r="K1" s="8" t="str">
        <x:v>硬时限拖期（s）</x:v>
      </x:c>
      <x:c r="L1" s="8" t="str">
        <x:v>加权拖期（s）</x:v>
      </x:c>
      <x:c r="M1" s="8" t="str">
        <x:v>硬时限状态</x:v>
      </x:c>
      <x:c r="N1" s="9" t="str">
        <x:v>站内交付顺序</x:v>
      </x:c>
    </x:row>
    <x:row r="2" ht="28" customHeight="1">
      <x:c r="A2" s="2" t="str">
        <x:v>S001-FOD-01</x:v>
      </x:c>
      <x:c r="B2" s="2" t="str">
        <x:v>T004</x:v>
      </x:c>
      <x:c r="C2" s="2" t="str">
        <x:v>S001</x:v>
      </x:c>
      <x:c r="D2" s="15" t="n">
        <x:v>1380.273</x:v>
      </x:c>
      <x:c r="E2" s="2" t="str">
        <x:v>FOD</x:v>
      </x:c>
      <x:c r="F2" s="21" t="n">
        <x:v>10</x:v>
      </x:c>
      <x:c r="G2" s="15" t="n">
        <x:v>7200</x:v>
      </x:c>
      <x:c r="H2" s="15"/>
      <x:c r="I2" s="15"/>
      <x:c r="J2" s="15" t="n">
        <x:f>MAX(0,D2-G2)</x:f>
        <x:v>0</x:v>
      </x:c>
      <x:c r="K2" s="15" t="n">
        <x:f>MAX(0,IF(ISNUMBER(H2),D2-H2,0),IF(ISNUMBER(I2),D2-I2,0))</x:f>
        <x:v>0</x:v>
      </x:c>
      <x:c r="L2" s="15" t="n">
        <x:f>F2*J2</x:f>
        <x:v>0</x:v>
      </x:c>
      <x:c r="M2" s="2" t="str">
        <x:f>IF(AND(H2="",I2=""),"无硬时限",IF(K2&gt;0.000001,"超期","满足"))</x:f>
        <x:v>无硬时限</x:v>
      </x:c>
      <x:c r="N2" s="21" t="n">
        <x:v>9</x:v>
      </x:c>
    </x:row>
    <x:row r="3" ht="28" customHeight="1">
      <x:c r="A3" s="10" t="str">
        <x:v>S001-FOD-02</x:v>
      </x:c>
      <x:c r="B3" s="10" t="str">
        <x:v>T004</x:v>
      </x:c>
      <x:c r="C3" s="10" t="str">
        <x:v>S001</x:v>
      </x:c>
      <x:c r="D3" s="16" t="n">
        <x:v>1092.273</x:v>
      </x:c>
      <x:c r="E3" s="10" t="str">
        <x:v>FOD</x:v>
      </x:c>
      <x:c r="F3" s="22" t="n">
        <x:v>10</x:v>
      </x:c>
      <x:c r="G3" s="16" t="n">
        <x:v>7200</x:v>
      </x:c>
      <x:c r="H3" s="16"/>
      <x:c r="I3" s="16"/>
      <x:c r="J3" s="16" t="n">
        <x:f>MAX(0,D3-G3)</x:f>
        <x:v>0</x:v>
      </x:c>
      <x:c r="K3" s="16" t="n">
        <x:f>MAX(0,IF(ISNUMBER(H3),D3-H3,0),IF(ISNUMBER(I3),D3-I3,0))</x:f>
        <x:v>0</x:v>
      </x:c>
      <x:c r="L3" s="16" t="n">
        <x:f>F3*J3</x:f>
        <x:v>0</x:v>
      </x:c>
      <x:c r="M3" s="10" t="str">
        <x:f>IF(AND(H3="",I3=""),"无硬时限",IF(K3&gt;0.000001,"超期","满足"))</x:f>
        <x:v>无硬时限</x:v>
      </x:c>
      <x:c r="N3" s="22" t="n">
        <x:v>1</x:v>
      </x:c>
    </x:row>
    <x:row r="4" ht="28" customHeight="1">
      <x:c r="A4" s="2" t="str">
        <x:v>S001-FOD-03</x:v>
      </x:c>
      <x:c r="B4" s="2" t="str">
        <x:v>T005</x:v>
      </x:c>
      <x:c r="C4" s="2" t="str">
        <x:v>S001</x:v>
      </x:c>
      <x:c r="D4" s="15" t="n">
        <x:v>1146.273</x:v>
      </x:c>
      <x:c r="E4" s="2" t="str">
        <x:v>FOD</x:v>
      </x:c>
      <x:c r="F4" s="21" t="n">
        <x:v>10</x:v>
      </x:c>
      <x:c r="G4" s="15" t="n">
        <x:v>7200</x:v>
      </x:c>
      <x:c r="H4" s="15"/>
      <x:c r="I4" s="15"/>
      <x:c r="J4" s="15" t="n">
        <x:f>MAX(0,D4-G4)</x:f>
        <x:v>0</x:v>
      </x:c>
      <x:c r="K4" s="15" t="n">
        <x:f>MAX(0,IF(ISNUMBER(H4),D4-H4,0),IF(ISNUMBER(I4),D4-I4,0))</x:f>
        <x:v>0</x:v>
      </x:c>
      <x:c r="L4" s="15" t="n">
        <x:f>F4*J4</x:f>
        <x:v>0</x:v>
      </x:c>
      <x:c r="M4" s="2" t="str">
        <x:f>IF(AND(H4="",I4=""),"无硬时限",IF(K4&gt;0.000001,"超期","满足"))</x:f>
        <x:v>无硬时限</x:v>
      </x:c>
      <x:c r="N4" s="21" t="n">
        <x:v>5</x:v>
      </x:c>
    </x:row>
    <x:row r="5" ht="28" customHeight="1">
      <x:c r="A5" s="10" t="str">
        <x:v>S001-HYG-01</x:v>
      </x:c>
      <x:c r="B5" s="10" t="str">
        <x:v>T004</x:v>
      </x:c>
      <x:c r="C5" s="10" t="str">
        <x:v>S001</x:v>
      </x:c>
      <x:c r="D5" s="16" t="n">
        <x:v>1308.273</x:v>
      </x:c>
      <x:c r="E5" s="10" t="str">
        <x:v>HYG</x:v>
      </x:c>
      <x:c r="F5" s="22" t="n">
        <x:v>8</x:v>
      </x:c>
      <x:c r="G5" s="16" t="n">
        <x:v>10800</x:v>
      </x:c>
      <x:c r="H5" s="16"/>
      <x:c r="I5" s="16"/>
      <x:c r="J5" s="16" t="n">
        <x:f>MAX(0,D5-G5)</x:f>
        <x:v>0</x:v>
      </x:c>
      <x:c r="K5" s="16" t="n">
        <x:f>MAX(0,IF(ISNUMBER(H5),D5-H5,0),IF(ISNUMBER(I5),D5-I5,0))</x:f>
        <x:v>0</x:v>
      </x:c>
      <x:c r="L5" s="16" t="n">
        <x:f>F5*J5</x:f>
        <x:v>0</x:v>
      </x:c>
      <x:c r="M5" s="10" t="str">
        <x:f>IF(AND(H5="",I5=""),"无硬时限",IF(K5&gt;0.000001,"超期","满足"))</x:f>
        <x:v>无硬时限</x:v>
      </x:c>
      <x:c r="N5" s="22" t="n">
        <x:v>7</x:v>
      </x:c>
    </x:row>
    <x:row r="6" ht="28" customHeight="1">
      <x:c r="A6" s="2" t="str">
        <x:v>S001-HYG-02</x:v>
      </x:c>
      <x:c r="B6" s="2" t="str">
        <x:v>T004</x:v>
      </x:c>
      <x:c r="C6" s="2" t="str">
        <x:v>S001</x:v>
      </x:c>
      <x:c r="D6" s="15" t="n">
        <x:v>1272.273</x:v>
      </x:c>
      <x:c r="E6" s="2" t="str">
        <x:v>HYG</x:v>
      </x:c>
      <x:c r="F6" s="21" t="n">
        <x:v>8</x:v>
      </x:c>
      <x:c r="G6" s="15" t="n">
        <x:v>10800</x:v>
      </x:c>
      <x:c r="H6" s="15"/>
      <x:c r="I6" s="15"/>
      <x:c r="J6" s="15" t="n">
        <x:f>MAX(0,D6-G6)</x:f>
        <x:v>0</x:v>
      </x:c>
      <x:c r="K6" s="15" t="n">
        <x:f>MAX(0,IF(ISNUMBER(H6),D6-H6,0),IF(ISNUMBER(I6),D6-I6,0))</x:f>
        <x:v>0</x:v>
      </x:c>
      <x:c r="L6" s="15" t="n">
        <x:f>F6*J6</x:f>
        <x:v>0</x:v>
      </x:c>
      <x:c r="M6" s="2" t="str">
        <x:f>IF(AND(H6="",I6=""),"无硬时限",IF(K6&gt;0.000001,"超期","满足"))</x:f>
        <x:v>无硬时限</x:v>
      </x:c>
      <x:c r="N6" s="21" t="n">
        <x:v>6</x:v>
      </x:c>
    </x:row>
    <x:row r="7" ht="28" customHeight="1">
      <x:c r="A7" s="10" t="str">
        <x:v>S001-MED-01</x:v>
      </x:c>
      <x:c r="B7" s="10" t="str">
        <x:v>T004</x:v>
      </x:c>
      <x:c r="C7" s="10" t="str">
        <x:v>S001</x:v>
      </x:c>
      <x:c r="D7" s="16" t="n">
        <x:v>1128.273</x:v>
      </x:c>
      <x:c r="E7" s="10" t="str">
        <x:v>MED</x:v>
      </x:c>
      <x:c r="F7" s="22" t="n">
        <x:v>24</x:v>
      </x:c>
      <x:c r="G7" s="16" t="n">
        <x:v>3600</x:v>
      </x:c>
      <x:c r="H7" s="16" t="n">
        <x:v>3600</x:v>
      </x:c>
      <x:c r="I7" s="16" t="n">
        <x:v>3600</x:v>
      </x:c>
      <x:c r="J7" s="16" t="n">
        <x:f>MAX(0,D7-G7)</x:f>
        <x:v>0</x:v>
      </x:c>
      <x:c r="K7" s="16" t="n">
        <x:f>MAX(0,IF(ISNUMBER(H7),D7-H7,0),IF(ISNUMBER(I7),D7-I7,0))</x:f>
        <x:v>0</x:v>
      </x:c>
      <x:c r="L7" s="16" t="n">
        <x:f>F7*J7</x:f>
        <x:v>0</x:v>
      </x:c>
      <x:c r="M7" s="10" t="str">
        <x:f>IF(AND(H7="",I7=""),"无硬时限",IF(K7&gt;0.000001,"超期","满足"))</x:f>
        <x:v>满足</x:v>
      </x:c>
      <x:c r="N7" s="22" t="n">
        <x:v>2</x:v>
      </x:c>
    </x:row>
    <x:row r="8" ht="28" customHeight="1">
      <x:c r="A8" s="2" t="str">
        <x:v>S001-MED-02</x:v>
      </x:c>
      <x:c r="B8" s="2" t="str">
        <x:v>T004</x:v>
      </x:c>
      <x:c r="C8" s="2" t="str">
        <x:v>S001</x:v>
      </x:c>
      <x:c r="D8" s="15" t="n">
        <x:v>1200.273</x:v>
      </x:c>
      <x:c r="E8" s="2" t="str">
        <x:v>MED</x:v>
      </x:c>
      <x:c r="F8" s="21" t="n">
        <x:v>24</x:v>
      </x:c>
      <x:c r="G8" s="15" t="n">
        <x:v>3600</x:v>
      </x:c>
      <x:c r="H8" s="15"/>
      <x:c r="I8" s="15" t="n">
        <x:v>3600</x:v>
      </x:c>
      <x:c r="J8" s="15" t="n">
        <x:f>MAX(0,D8-G8)</x:f>
        <x:v>0</x:v>
      </x:c>
      <x:c r="K8" s="15" t="n">
        <x:f>MAX(0,IF(ISNUMBER(H8),D8-H8,0),IF(ISNUMBER(I8),D8-I8,0))</x:f>
        <x:v>0</x:v>
      </x:c>
      <x:c r="L8" s="15" t="n">
        <x:f>F8*J8</x:f>
        <x:v>0</x:v>
      </x:c>
      <x:c r="M8" s="2" t="str">
        <x:f>IF(AND(H8="",I8=""),"无硬时限",IF(K8&gt;0.000001,"超期","满足"))</x:f>
        <x:v>满足</x:v>
      </x:c>
      <x:c r="N8" s="21" t="n">
        <x:v>4</x:v>
      </x:c>
    </x:row>
    <x:row r="9" ht="28" customHeight="1">
      <x:c r="A9" s="10" t="str">
        <x:v>S001-WAT-01</x:v>
      </x:c>
      <x:c r="B9" s="10" t="str">
        <x:v>T005</x:v>
      </x:c>
      <x:c r="C9" s="10" t="str">
        <x:v>S001</x:v>
      </x:c>
      <x:c r="D9" s="16" t="n">
        <x:v>1002.273</x:v>
      </x:c>
      <x:c r="E9" s="10" t="str">
        <x:v>WAT</x:v>
      </x:c>
      <x:c r="F9" s="22" t="n">
        <x:v>12</x:v>
      </x:c>
      <x:c r="G9" s="16" t="n">
        <x:v>3600</x:v>
      </x:c>
      <x:c r="H9" s="16" t="n">
        <x:v>3600</x:v>
      </x:c>
      <x:c r="I9" s="16"/>
      <x:c r="J9" s="16" t="n">
        <x:f>MAX(0,D9-G9)</x:f>
        <x:v>0</x:v>
      </x:c>
      <x:c r="K9" s="16" t="n">
        <x:f>MAX(0,IF(ISNUMBER(H9),D9-H9,0),IF(ISNUMBER(I9),D9-I9,0))</x:f>
        <x:v>0</x:v>
      </x:c>
      <x:c r="L9" s="16" t="n">
        <x:f>F9*J9</x:f>
        <x:v>0</x:v>
      </x:c>
      <x:c r="M9" s="10" t="str">
        <x:f>IF(AND(H9="",I9=""),"无硬时限",IF(K9&gt;0.000001,"超期","满足"))</x:f>
        <x:v>满足</x:v>
      </x:c>
      <x:c r="N9" s="22" t="n">
        <x:v>1</x:v>
      </x:c>
    </x:row>
    <x:row r="10" ht="28" customHeight="1">
      <x:c r="A10" s="2" t="str">
        <x:v>S001-WAT-02</x:v>
      </x:c>
      <x:c r="B10" s="2" t="str">
        <x:v>T005</x:v>
      </x:c>
      <x:c r="C10" s="2" t="str">
        <x:v>S001</x:v>
      </x:c>
      <x:c r="D10" s="15" t="n">
        <x:v>1110.273</x:v>
      </x:c>
      <x:c r="E10" s="2" t="str">
        <x:v>WAT</x:v>
      </x:c>
      <x:c r="F10" s="21" t="n">
        <x:v>12</x:v>
      </x:c>
      <x:c r="G10" s="15" t="n">
        <x:v>3600</x:v>
      </x:c>
      <x:c r="H10" s="15"/>
      <x:c r="I10" s="15"/>
      <x:c r="J10" s="15" t="n">
        <x:f>MAX(0,D10-G10)</x:f>
        <x:v>0</x:v>
      </x:c>
      <x:c r="K10" s="15" t="n">
        <x:f>MAX(0,IF(ISNUMBER(H10),D10-H10,0),IF(ISNUMBER(I10),D10-I10,0))</x:f>
        <x:v>0</x:v>
      </x:c>
      <x:c r="L10" s="15" t="n">
        <x:f>F10*J10</x:f>
        <x:v>0</x:v>
      </x:c>
      <x:c r="M10" s="2" t="str">
        <x:f>IF(AND(H10="",I10=""),"无硬时限",IF(K10&gt;0.000001,"超期","满足"))</x:f>
        <x:v>无硬时限</x:v>
      </x:c>
      <x:c r="N10" s="21" t="n">
        <x:v>4</x:v>
      </x:c>
    </x:row>
    <x:row r="11" ht="28" customHeight="1">
      <x:c r="A11" s="10" t="str">
        <x:v>S001-WAT-03</x:v>
      </x:c>
      <x:c r="B11" s="10" t="str">
        <x:v>T005</x:v>
      </x:c>
      <x:c r="C11" s="10" t="str">
        <x:v>S001</x:v>
      </x:c>
      <x:c r="D11" s="16" t="n">
        <x:v>1074.273</x:v>
      </x:c>
      <x:c r="E11" s="10" t="str">
        <x:v>WAT</x:v>
      </x:c>
      <x:c r="F11" s="22" t="n">
        <x:v>12</x:v>
      </x:c>
      <x:c r="G11" s="16" t="n">
        <x:v>3600</x:v>
      </x:c>
      <x:c r="H11" s="16"/>
      <x:c r="I11" s="16"/>
      <x:c r="J11" s="16" t="n">
        <x:f>MAX(0,D11-G11)</x:f>
        <x:v>0</x:v>
      </x:c>
      <x:c r="K11" s="16" t="n">
        <x:f>MAX(0,IF(ISNUMBER(H11),D11-H11,0),IF(ISNUMBER(I11),D11-I11,0))</x:f>
        <x:v>0</x:v>
      </x:c>
      <x:c r="L11" s="16" t="n">
        <x:f>F11*J11</x:f>
        <x:v>0</x:v>
      </x:c>
      <x:c r="M11" s="10" t="str">
        <x:f>IF(AND(H11="",I11=""),"无硬时限",IF(K11&gt;0.000001,"超期","满足"))</x:f>
        <x:v>无硬时限</x:v>
      </x:c>
      <x:c r="N11" s="22" t="n">
        <x:v>3</x:v>
      </x:c>
    </x:row>
    <x:row r="12" ht="28" customHeight="1">
      <x:c r="A12" s="2" t="str">
        <x:v>S001-WAT-04</x:v>
      </x:c>
      <x:c r="B12" s="2" t="str">
        <x:v>T005</x:v>
      </x:c>
      <x:c r="C12" s="2" t="str">
        <x:v>S001</x:v>
      </x:c>
      <x:c r="D12" s="15" t="n">
        <x:v>1182.273</x:v>
      </x:c>
      <x:c r="E12" s="2" t="str">
        <x:v>WAT</x:v>
      </x:c>
      <x:c r="F12" s="21" t="n">
        <x:v>12</x:v>
      </x:c>
      <x:c r="G12" s="15" t="n">
        <x:v>3600</x:v>
      </x:c>
      <x:c r="H12" s="15"/>
      <x:c r="I12" s="15"/>
      <x:c r="J12" s="15" t="n">
        <x:f>MAX(0,D12-G12)</x:f>
        <x:v>0</x:v>
      </x:c>
      <x:c r="K12" s="15" t="n">
        <x:f>MAX(0,IF(ISNUMBER(H12),D12-H12,0),IF(ISNUMBER(I12),D12-I12,0))</x:f>
        <x:v>0</x:v>
      </x:c>
      <x:c r="L12" s="15" t="n">
        <x:f>F12*J12</x:f>
        <x:v>0</x:v>
      </x:c>
      <x:c r="M12" s="2" t="str">
        <x:f>IF(AND(H12="",I12=""),"无硬时限",IF(K12&gt;0.000001,"超期","满足"))</x:f>
        <x:v>无硬时限</x:v>
      </x:c>
      <x:c r="N12" s="21" t="n">
        <x:v>6</x:v>
      </x:c>
    </x:row>
    <x:row r="13" ht="28" customHeight="1">
      <x:c r="A13" s="10" t="str">
        <x:v>S001-WAT-05</x:v>
      </x:c>
      <x:c r="B13" s="10" t="str">
        <x:v>T004</x:v>
      </x:c>
      <x:c r="C13" s="10" t="str">
        <x:v>S001</x:v>
      </x:c>
      <x:c r="D13" s="16" t="n">
        <x:v>1236.273</x:v>
      </x:c>
      <x:c r="E13" s="10" t="str">
        <x:v>WAT</x:v>
      </x:c>
      <x:c r="F13" s="22" t="n">
        <x:v>12</x:v>
      </x:c>
      <x:c r="G13" s="16" t="n">
        <x:v>3600</x:v>
      </x:c>
      <x:c r="H13" s="16"/>
      <x:c r="I13" s="16"/>
      <x:c r="J13" s="16" t="n">
        <x:f>MAX(0,D13-G13)</x:f>
        <x:v>0</x:v>
      </x:c>
      <x:c r="K13" s="16" t="n">
        <x:f>MAX(0,IF(ISNUMBER(H13),D13-H13,0),IF(ISNUMBER(I13),D13-I13,0))</x:f>
        <x:v>0</x:v>
      </x:c>
      <x:c r="L13" s="16" t="n">
        <x:f>F13*J13</x:f>
        <x:v>0</x:v>
      </x:c>
      <x:c r="M13" s="10" t="str">
        <x:f>IF(AND(H13="",I13=""),"无硬时限",IF(K13&gt;0.000001,"超期","满足"))</x:f>
        <x:v>无硬时限</x:v>
      </x:c>
      <x:c r="N13" s="22" t="n">
        <x:v>5</x:v>
      </x:c>
    </x:row>
    <x:row r="14" ht="28" customHeight="1">
      <x:c r="A14" s="2" t="str">
        <x:v>S001-WAT-06</x:v>
      </x:c>
      <x:c r="B14" s="2" t="str">
        <x:v>T005</x:v>
      </x:c>
      <x:c r="C14" s="2" t="str">
        <x:v>S001</x:v>
      </x:c>
      <x:c r="D14" s="15" t="n">
        <x:v>1038.273</x:v>
      </x:c>
      <x:c r="E14" s="2" t="str">
        <x:v>WAT</x:v>
      </x:c>
      <x:c r="F14" s="21" t="n">
        <x:v>12</x:v>
      </x:c>
      <x:c r="G14" s="15" t="n">
        <x:v>3600</x:v>
      </x:c>
      <x:c r="H14" s="15"/>
      <x:c r="I14" s="15"/>
      <x:c r="J14" s="15" t="n">
        <x:f>MAX(0,D14-G14)</x:f>
        <x:v>0</x:v>
      </x:c>
      <x:c r="K14" s="15" t="n">
        <x:f>MAX(0,IF(ISNUMBER(H14),D14-H14,0),IF(ISNUMBER(I14),D14-I14,0))</x:f>
        <x:v>0</x:v>
      </x:c>
      <x:c r="L14" s="15" t="n">
        <x:f>F14*J14</x:f>
        <x:v>0</x:v>
      </x:c>
      <x:c r="M14" s="2" t="str">
        <x:f>IF(AND(H14="",I14=""),"无硬时限",IF(K14&gt;0.000001,"超期","满足"))</x:f>
        <x:v>无硬时限</x:v>
      </x:c>
      <x:c r="N14" s="21" t="n">
        <x:v>2</x:v>
      </x:c>
    </x:row>
    <x:row r="15" ht="28" customHeight="1">
      <x:c r="A15" s="10" t="str">
        <x:v>S001-WAT-07</x:v>
      </x:c>
      <x:c r="B15" s="10" t="str">
        <x:v>T004</x:v>
      </x:c>
      <x:c r="C15" s="10" t="str">
        <x:v>S001</x:v>
      </x:c>
      <x:c r="D15" s="16" t="n">
        <x:v>1164.273</x:v>
      </x:c>
      <x:c r="E15" s="10" t="str">
        <x:v>WAT</x:v>
      </x:c>
      <x:c r="F15" s="22" t="n">
        <x:v>12</x:v>
      </x:c>
      <x:c r="G15" s="16" t="n">
        <x:v>3600</x:v>
      </x:c>
      <x:c r="H15" s="16"/>
      <x:c r="I15" s="16"/>
      <x:c r="J15" s="16" t="n">
        <x:f>MAX(0,D15-G15)</x:f>
        <x:v>0</x:v>
      </x:c>
      <x:c r="K15" s="16" t="n">
        <x:f>MAX(0,IF(ISNUMBER(H15),D15-H15,0),IF(ISNUMBER(I15),D15-I15,0))</x:f>
        <x:v>0</x:v>
      </x:c>
      <x:c r="L15" s="16" t="n">
        <x:f>F15*J15</x:f>
        <x:v>0</x:v>
      </x:c>
      <x:c r="M15" s="10" t="str">
        <x:f>IF(AND(H15="",I15=""),"无硬时限",IF(K15&gt;0.000001,"超期","满足"))</x:f>
        <x:v>无硬时限</x:v>
      </x:c>
      <x:c r="N15" s="22" t="n">
        <x:v>3</x:v>
      </x:c>
    </x:row>
    <x:row r="16" ht="28" customHeight="1">
      <x:c r="A16" s="2" t="str">
        <x:v>S001-WAT-08</x:v>
      </x:c>
      <x:c r="B16" s="2" t="str">
        <x:v>T004</x:v>
      </x:c>
      <x:c r="C16" s="2" t="str">
        <x:v>S001</x:v>
      </x:c>
      <x:c r="D16" s="15" t="n">
        <x:v>1344.273</x:v>
      </x:c>
      <x:c r="E16" s="2" t="str">
        <x:v>WAT</x:v>
      </x:c>
      <x:c r="F16" s="21" t="n">
        <x:v>12</x:v>
      </x:c>
      <x:c r="G16" s="15" t="n">
        <x:v>3600</x:v>
      </x:c>
      <x:c r="H16" s="15"/>
      <x:c r="I16" s="15"/>
      <x:c r="J16" s="15" t="n">
        <x:f>MAX(0,D16-G16)</x:f>
        <x:v>0</x:v>
      </x:c>
      <x:c r="K16" s="15" t="n">
        <x:f>MAX(0,IF(ISNUMBER(H16),D16-H16,0),IF(ISNUMBER(I16),D16-I16,0))</x:f>
        <x:v>0</x:v>
      </x:c>
      <x:c r="L16" s="15" t="n">
        <x:f>F16*J16</x:f>
        <x:v>0</x:v>
      </x:c>
      <x:c r="M16" s="2" t="str">
        <x:f>IF(AND(H16="",I16=""),"无硬时限",IF(K16&gt;0.000001,"超期","满足"))</x:f>
        <x:v>无硬时限</x:v>
      </x:c>
      <x:c r="N16" s="21" t="n">
        <x:v>8</x:v>
      </x:c>
    </x:row>
    <x:row r="17" ht="28" customHeight="1">
      <x:c r="A17" s="10" t="str">
        <x:v>S002-FOD-01</x:v>
      </x:c>
      <x:c r="B17" s="10" t="str">
        <x:v>T006</x:v>
      </x:c>
      <x:c r="C17" s="10" t="str">
        <x:v>S002</x:v>
      </x:c>
      <x:c r="D17" s="16" t="n">
        <x:v>2975.509</x:v>
      </x:c>
      <x:c r="E17" s="10" t="str">
        <x:v>FOD</x:v>
      </x:c>
      <x:c r="F17" s="22" t="n">
        <x:v>10</x:v>
      </x:c>
      <x:c r="G17" s="16" t="n">
        <x:v>7200</x:v>
      </x:c>
      <x:c r="H17" s="16"/>
      <x:c r="I17" s="16"/>
      <x:c r="J17" s="16" t="n">
        <x:f>MAX(0,D17-G17)</x:f>
        <x:v>0</x:v>
      </x:c>
      <x:c r="K17" s="16" t="n">
        <x:f>MAX(0,IF(ISNUMBER(H17),D17-H17,0),IF(ISNUMBER(I17),D17-I17,0))</x:f>
        <x:v>0</x:v>
      </x:c>
      <x:c r="L17" s="16" t="n">
        <x:f>F17*J17</x:f>
        <x:v>0</x:v>
      </x:c>
      <x:c r="M17" s="10" t="str">
        <x:f>IF(AND(H17="",I17=""),"无硬时限",IF(K17&gt;0.000001,"超期","满足"))</x:f>
        <x:v>无硬时限</x:v>
      </x:c>
      <x:c r="N17" s="22" t="n">
        <x:v>5</x:v>
      </x:c>
    </x:row>
    <x:row r="18" ht="28" customHeight="1">
      <x:c r="A18" s="2" t="str">
        <x:v>S002-FOD-02</x:v>
      </x:c>
      <x:c r="B18" s="2" t="str">
        <x:v>T006</x:v>
      </x:c>
      <x:c r="C18" s="2" t="str">
        <x:v>S002</x:v>
      </x:c>
      <x:c r="D18" s="15" t="n">
        <x:v>3011.509</x:v>
      </x:c>
      <x:c r="E18" s="2" t="str">
        <x:v>FOD</x:v>
      </x:c>
      <x:c r="F18" s="21" t="n">
        <x:v>10</x:v>
      </x:c>
      <x:c r="G18" s="15" t="n">
        <x:v>7200</x:v>
      </x:c>
      <x:c r="H18" s="15"/>
      <x:c r="I18" s="15"/>
      <x:c r="J18" s="15" t="n">
        <x:f>MAX(0,D18-G18)</x:f>
        <x:v>0</x:v>
      </x:c>
      <x:c r="K18" s="15" t="n">
        <x:f>MAX(0,IF(ISNUMBER(H18),D18-H18,0),IF(ISNUMBER(I18),D18-I18,0))</x:f>
        <x:v>0</x:v>
      </x:c>
      <x:c r="L18" s="15" t="n">
        <x:f>F18*J18</x:f>
        <x:v>0</x:v>
      </x:c>
      <x:c r="M18" s="2" t="str">
        <x:f>IF(AND(H18="",I18=""),"无硬时限",IF(K18&gt;0.000001,"超期","满足"))</x:f>
        <x:v>无硬时限</x:v>
      </x:c>
      <x:c r="N18" s="21" t="n">
        <x:v>6</x:v>
      </x:c>
    </x:row>
    <x:row r="19" ht="28" customHeight="1">
      <x:c r="A19" s="10" t="str">
        <x:v>S002-HYG-01</x:v>
      </x:c>
      <x:c r="B19" s="10" t="str">
        <x:v>T006</x:v>
      </x:c>
      <x:c r="C19" s="10" t="str">
        <x:v>S002</x:v>
      </x:c>
      <x:c r="D19" s="16" t="n">
        <x:v>2939.509</x:v>
      </x:c>
      <x:c r="E19" s="10" t="str">
        <x:v>HYG</x:v>
      </x:c>
      <x:c r="F19" s="22" t="n">
        <x:v>8</x:v>
      </x:c>
      <x:c r="G19" s="16" t="n">
        <x:v>10800</x:v>
      </x:c>
      <x:c r="H19" s="16"/>
      <x:c r="I19" s="16"/>
      <x:c r="J19" s="16" t="n">
        <x:f>MAX(0,D19-G19)</x:f>
        <x:v>0</x:v>
      </x:c>
      <x:c r="K19" s="16" t="n">
        <x:f>MAX(0,IF(ISNUMBER(H19),D19-H19,0),IF(ISNUMBER(I19),D19-I19,0))</x:f>
        <x:v>0</x:v>
      </x:c>
      <x:c r="L19" s="16" t="n">
        <x:f>F19*J19</x:f>
        <x:v>0</x:v>
      </x:c>
      <x:c r="M19" s="10" t="str">
        <x:f>IF(AND(H19="",I19=""),"无硬时限",IF(K19&gt;0.000001,"超期","满足"))</x:f>
        <x:v>无硬时限</x:v>
      </x:c>
      <x:c r="N19" s="22" t="n">
        <x:v>4</x:v>
      </x:c>
    </x:row>
    <x:row r="20" ht="28" customHeight="1">
      <x:c r="A20" s="2" t="str">
        <x:v>S002-MED-01</x:v>
      </x:c>
      <x:c r="B20" s="2" t="str">
        <x:v>T006</x:v>
      </x:c>
      <x:c r="C20" s="2" t="str">
        <x:v>S002</x:v>
      </x:c>
      <x:c r="D20" s="15" t="n">
        <x:v>2903.509</x:v>
      </x:c>
      <x:c r="E20" s="2" t="str">
        <x:v>MED</x:v>
      </x:c>
      <x:c r="F20" s="21" t="n">
        <x:v>24</x:v>
      </x:c>
      <x:c r="G20" s="15" t="n">
        <x:v>3600</x:v>
      </x:c>
      <x:c r="H20" s="15" t="n">
        <x:v>3600</x:v>
      </x:c>
      <x:c r="I20" s="15" t="n">
        <x:v>3600</x:v>
      </x:c>
      <x:c r="J20" s="15" t="n">
        <x:f>MAX(0,D20-G20)</x:f>
        <x:v>0</x:v>
      </x:c>
      <x:c r="K20" s="15" t="n">
        <x:f>MAX(0,IF(ISNUMBER(H20),D20-H20,0),IF(ISNUMBER(I20),D20-I20,0))</x:f>
        <x:v>0</x:v>
      </x:c>
      <x:c r="L20" s="15" t="n">
        <x:f>F20*J20</x:f>
        <x:v>0</x:v>
      </x:c>
      <x:c r="M20" s="2" t="str">
        <x:f>IF(AND(H20="",I20=""),"无硬时限",IF(K20&gt;0.000001,"超期","满足"))</x:f>
        <x:v>满足</x:v>
      </x:c>
      <x:c r="N20" s="21" t="n">
        <x:v>3</x:v>
      </x:c>
    </x:row>
    <x:row r="21" ht="28" customHeight="1">
      <x:c r="A21" s="10" t="str">
        <x:v>S002-WAT-01</x:v>
      </x:c>
      <x:c r="B21" s="10" t="str">
        <x:v>T006</x:v>
      </x:c>
      <x:c r="C21" s="10" t="str">
        <x:v>S002</x:v>
      </x:c>
      <x:c r="D21" s="16" t="n">
        <x:v>2831.509</x:v>
      </x:c>
      <x:c r="E21" s="10" t="str">
        <x:v>WAT</x:v>
      </x:c>
      <x:c r="F21" s="22" t="n">
        <x:v>12</x:v>
      </x:c>
      <x:c r="G21" s="16" t="n">
        <x:v>3600</x:v>
      </x:c>
      <x:c r="H21" s="16" t="n">
        <x:v>3600</x:v>
      </x:c>
      <x:c r="I21" s="16"/>
      <x:c r="J21" s="16" t="n">
        <x:f>MAX(0,D21-G21)</x:f>
        <x:v>0</x:v>
      </x:c>
      <x:c r="K21" s="16" t="n">
        <x:f>MAX(0,IF(ISNUMBER(H21),D21-H21,0),IF(ISNUMBER(I21),D21-I21,0))</x:f>
        <x:v>0</x:v>
      </x:c>
      <x:c r="L21" s="16" t="n">
        <x:f>F21*J21</x:f>
        <x:v>0</x:v>
      </x:c>
      <x:c r="M21" s="10" t="str">
        <x:f>IF(AND(H21="",I21=""),"无硬时限",IF(K21&gt;0.000001,"超期","满足"))</x:f>
        <x:v>满足</x:v>
      </x:c>
      <x:c r="N21" s="22" t="n">
        <x:v>1</x:v>
      </x:c>
    </x:row>
    <x:row r="22" ht="28" customHeight="1">
      <x:c r="A22" s="2" t="str">
        <x:v>S002-WAT-02</x:v>
      </x:c>
      <x:c r="B22" s="2" t="str">
        <x:v>T006</x:v>
      </x:c>
      <x:c r="C22" s="2" t="str">
        <x:v>S002</x:v>
      </x:c>
      <x:c r="D22" s="15" t="n">
        <x:v>2867.509</x:v>
      </x:c>
      <x:c r="E22" s="2" t="str">
        <x:v>WAT</x:v>
      </x:c>
      <x:c r="F22" s="21" t="n">
        <x:v>12</x:v>
      </x:c>
      <x:c r="G22" s="15" t="n">
        <x:v>3600</x:v>
      </x:c>
      <x:c r="H22" s="15"/>
      <x:c r="I22" s="15"/>
      <x:c r="J22" s="15" t="n">
        <x:f>MAX(0,D22-G22)</x:f>
        <x:v>0</x:v>
      </x:c>
      <x:c r="K22" s="15" t="n">
        <x:f>MAX(0,IF(ISNUMBER(H22),D22-H22,0),IF(ISNUMBER(I22),D22-I22,0))</x:f>
        <x:v>0</x:v>
      </x:c>
      <x:c r="L22" s="15" t="n">
        <x:f>F22*J22</x:f>
        <x:v>0</x:v>
      </x:c>
      <x:c r="M22" s="2" t="str">
        <x:f>IF(AND(H22="",I22=""),"无硬时限",IF(K22&gt;0.000001,"超期","满足"))</x:f>
        <x:v>无硬时限</x:v>
      </x:c>
      <x:c r="N22" s="21" t="n">
        <x:v>2</x:v>
      </x:c>
    </x:row>
    <x:row r="23" ht="28" customHeight="1">
      <x:c r="A23" s="10" t="str">
        <x:v>S002-WAT-03</x:v>
      </x:c>
      <x:c r="B23" s="10" t="str">
        <x:v>T008</x:v>
      </x:c>
      <x:c r="C23" s="10" t="str">
        <x:v>S002</x:v>
      </x:c>
      <x:c r="D23" s="16" t="n">
        <x:v>3354.716</x:v>
      </x:c>
      <x:c r="E23" s="10" t="str">
        <x:v>WAT</x:v>
      </x:c>
      <x:c r="F23" s="22" t="n">
        <x:v>12</x:v>
      </x:c>
      <x:c r="G23" s="16" t="n">
        <x:v>3600</x:v>
      </x:c>
      <x:c r="H23" s="16"/>
      <x:c r="I23" s="16"/>
      <x:c r="J23" s="16" t="n">
        <x:f>MAX(0,D23-G23)</x:f>
        <x:v>0</x:v>
      </x:c>
      <x:c r="K23" s="16" t="n">
        <x:f>MAX(0,IF(ISNUMBER(H23),D23-H23,0),IF(ISNUMBER(I23),D23-I23,0))</x:f>
        <x:v>0</x:v>
      </x:c>
      <x:c r="L23" s="16" t="n">
        <x:f>F23*J23</x:f>
        <x:v>0</x:v>
      </x:c>
      <x:c r="M23" s="10" t="str">
        <x:f>IF(AND(H23="",I23=""),"无硬时限",IF(K23&gt;0.000001,"超期","满足"))</x:f>
        <x:v>无硬时限</x:v>
      </x:c>
      <x:c r="N23" s="22" t="n">
        <x:v>1</x:v>
      </x:c>
    </x:row>
    <x:row r="24" ht="28" customHeight="1">
      <x:c r="A24" s="2" t="str">
        <x:v>S002-WAT-04</x:v>
      </x:c>
      <x:c r="B24" s="2" t="str">
        <x:v>T006</x:v>
      </x:c>
      <x:c r="C24" s="2" t="str">
        <x:v>S002</x:v>
      </x:c>
      <x:c r="D24" s="15" t="n">
        <x:v>3047.509</x:v>
      </x:c>
      <x:c r="E24" s="2" t="str">
        <x:v>WAT</x:v>
      </x:c>
      <x:c r="F24" s="21" t="n">
        <x:v>12</x:v>
      </x:c>
      <x:c r="G24" s="15" t="n">
        <x:v>3600</x:v>
      </x:c>
      <x:c r="H24" s="15"/>
      <x:c r="I24" s="15"/>
      <x:c r="J24" s="15" t="n">
        <x:f>MAX(0,D24-G24)</x:f>
        <x:v>0</x:v>
      </x:c>
      <x:c r="K24" s="15" t="n">
        <x:f>MAX(0,IF(ISNUMBER(H24),D24-H24,0),IF(ISNUMBER(I24),D24-I24,0))</x:f>
        <x:v>0</x:v>
      </x:c>
      <x:c r="L24" s="15" t="n">
        <x:f>F24*J24</x:f>
        <x:v>0</x:v>
      </x:c>
      <x:c r="M24" s="2" t="str">
        <x:f>IF(AND(H24="",I24=""),"无硬时限",IF(K24&gt;0.000001,"超期","满足"))</x:f>
        <x:v>无硬时限</x:v>
      </x:c>
      <x:c r="N24" s="21" t="n">
        <x:v>7</x:v>
      </x:c>
    </x:row>
    <x:row r="25" ht="28" customHeight="1">
      <x:c r="A25" s="10" t="str">
        <x:v>S003-FOD-01</x:v>
      </x:c>
      <x:c r="B25" s="10" t="str">
        <x:v>T016</x:v>
      </x:c>
      <x:c r="C25" s="10" t="str">
        <x:v>S003</x:v>
      </x:c>
      <x:c r="D25" s="16" t="n">
        <x:v>5427.074</x:v>
      </x:c>
      <x:c r="E25" s="10" t="str">
        <x:v>FOD</x:v>
      </x:c>
      <x:c r="F25" s="22" t="n">
        <x:v>8</x:v>
      </x:c>
      <x:c r="G25" s="16" t="n">
        <x:v>10800</x:v>
      </x:c>
      <x:c r="H25" s="16"/>
      <x:c r="I25" s="16"/>
      <x:c r="J25" s="16" t="n">
        <x:f>MAX(0,D25-G25)</x:f>
        <x:v>0</x:v>
      </x:c>
      <x:c r="K25" s="16" t="n">
        <x:f>MAX(0,IF(ISNUMBER(H25),D25-H25,0),IF(ISNUMBER(I25),D25-I25,0))</x:f>
        <x:v>0</x:v>
      </x:c>
      <x:c r="L25" s="16" t="n">
        <x:f>F25*J25</x:f>
        <x:v>0</x:v>
      </x:c>
      <x:c r="M25" s="10" t="str">
        <x:f>IF(AND(H25="",I25=""),"无硬时限",IF(K25&gt;0.000001,"超期","满足"))</x:f>
        <x:v>无硬时限</x:v>
      </x:c>
      <x:c r="N25" s="22" t="n">
        <x:v>2</x:v>
      </x:c>
    </x:row>
    <x:row r="26" ht="28" customHeight="1">
      <x:c r="A26" s="2" t="str">
        <x:v>S003-FOD-02</x:v>
      </x:c>
      <x:c r="B26" s="2" t="str">
        <x:v>T016</x:v>
      </x:c>
      <x:c r="C26" s="2" t="str">
        <x:v>S003</x:v>
      </x:c>
      <x:c r="D26" s="15" t="n">
        <x:v>5391.074</x:v>
      </x:c>
      <x:c r="E26" s="2" t="str">
        <x:v>FOD</x:v>
      </x:c>
      <x:c r="F26" s="21" t="n">
        <x:v>8</x:v>
      </x:c>
      <x:c r="G26" s="15" t="n">
        <x:v>10800</x:v>
      </x:c>
      <x:c r="H26" s="15"/>
      <x:c r="I26" s="15"/>
      <x:c r="J26" s="15" t="n">
        <x:f>MAX(0,D26-G26)</x:f>
        <x:v>0</x:v>
      </x:c>
      <x:c r="K26" s="15" t="n">
        <x:f>MAX(0,IF(ISNUMBER(H26),D26-H26,0),IF(ISNUMBER(I26),D26-I26,0))</x:f>
        <x:v>0</x:v>
      </x:c>
      <x:c r="L26" s="15" t="n">
        <x:f>F26*J26</x:f>
        <x:v>0</x:v>
      </x:c>
      <x:c r="M26" s="2" t="str">
        <x:f>IF(AND(H26="",I26=""),"无硬时限",IF(K26&gt;0.000001,"超期","满足"))</x:f>
        <x:v>无硬时限</x:v>
      </x:c>
      <x:c r="N26" s="21" t="n">
        <x:v>1</x:v>
      </x:c>
    </x:row>
    <x:row r="27" ht="28" customHeight="1">
      <x:c r="A27" s="10" t="str">
        <x:v>S003-HYG-01</x:v>
      </x:c>
      <x:c r="B27" s="10" t="str">
        <x:v>T016</x:v>
      </x:c>
      <x:c r="C27" s="10" t="str">
        <x:v>S003</x:v>
      </x:c>
      <x:c r="D27" s="16" t="n">
        <x:v>5571.074</x:v>
      </x:c>
      <x:c r="E27" s="10" t="str">
        <x:v>HYG</x:v>
      </x:c>
      <x:c r="F27" s="22" t="n">
        <x:v>6</x:v>
      </x:c>
      <x:c r="G27" s="16" t="n">
        <x:v>14400</x:v>
      </x:c>
      <x:c r="H27" s="16"/>
      <x:c r="I27" s="16"/>
      <x:c r="J27" s="16" t="n">
        <x:f>MAX(0,D27-G27)</x:f>
        <x:v>0</x:v>
      </x:c>
      <x:c r="K27" s="16" t="n">
        <x:f>MAX(0,IF(ISNUMBER(H27),D27-H27,0),IF(ISNUMBER(I27),D27-I27,0))</x:f>
        <x:v>0</x:v>
      </x:c>
      <x:c r="L27" s="16" t="n">
        <x:f>F27*J27</x:f>
        <x:v>0</x:v>
      </x:c>
      <x:c r="M27" s="10" t="str">
        <x:f>IF(AND(H27="",I27=""),"无硬时限",IF(K27&gt;0.000001,"超期","满足"))</x:f>
        <x:v>无硬时限</x:v>
      </x:c>
      <x:c r="N27" s="22" t="n">
        <x:v>6</x:v>
      </x:c>
    </x:row>
    <x:row r="28" ht="28" customHeight="1">
      <x:c r="A28" s="2" t="str">
        <x:v>S003-MED-01</x:v>
      </x:c>
      <x:c r="B28" s="2" t="str">
        <x:v>T015</x:v>
      </x:c>
      <x:c r="C28" s="2" t="str">
        <x:v>S003</x:v>
      </x:c>
      <x:c r="D28" s="15" t="n">
        <x:v>4692.666</x:v>
      </x:c>
      <x:c r="E28" s="2" t="str">
        <x:v>MED</x:v>
      </x:c>
      <x:c r="F28" s="21" t="n">
        <x:v>20</x:v>
      </x:c>
      <x:c r="G28" s="15" t="n">
        <x:v>7200</x:v>
      </x:c>
      <x:c r="H28" s="15" t="n">
        <x:v>7200</x:v>
      </x:c>
      <x:c r="I28" s="15" t="n">
        <x:v>7200</x:v>
      </x:c>
      <x:c r="J28" s="15" t="n">
        <x:f>MAX(0,D28-G28)</x:f>
        <x:v>0</x:v>
      </x:c>
      <x:c r="K28" s="15" t="n">
        <x:f>MAX(0,IF(ISNUMBER(H28),D28-H28,0),IF(ISNUMBER(I28),D28-I28,0))</x:f>
        <x:v>0</x:v>
      </x:c>
      <x:c r="L28" s="15" t="n">
        <x:f>F28*J28</x:f>
        <x:v>0</x:v>
      </x:c>
      <x:c r="M28" s="2" t="str">
        <x:f>IF(AND(H28="",I28=""),"无硬时限",IF(K28&gt;0.000001,"超期","满足"))</x:f>
        <x:v>满足</x:v>
      </x:c>
      <x:c r="N28" s="21" t="n">
        <x:v>1</x:v>
      </x:c>
    </x:row>
    <x:row r="29" ht="28" customHeight="1">
      <x:c r="A29" s="10" t="str">
        <x:v>S003-WAT-01</x:v>
      </x:c>
      <x:c r="B29" s="10" t="str">
        <x:v>T015</x:v>
      </x:c>
      <x:c r="C29" s="10" t="str">
        <x:v>S003</x:v>
      </x:c>
      <x:c r="D29" s="16" t="n">
        <x:v>4722.666</x:v>
      </x:c>
      <x:c r="E29" s="10" t="str">
        <x:v>WAT</x:v>
      </x:c>
      <x:c r="F29" s="22" t="n">
        <x:v>10</x:v>
      </x:c>
      <x:c r="G29" s="16" t="n">
        <x:v>7200</x:v>
      </x:c>
      <x:c r="H29" s="16" t="n">
        <x:v>7200</x:v>
      </x:c>
      <x:c r="I29" s="16"/>
      <x:c r="J29" s="16" t="n">
        <x:f>MAX(0,D29-G29)</x:f>
        <x:v>0</x:v>
      </x:c>
      <x:c r="K29" s="16" t="n">
        <x:f>MAX(0,IF(ISNUMBER(H29),D29-H29,0),IF(ISNUMBER(I29),D29-I29,0))</x:f>
        <x:v>0</x:v>
      </x:c>
      <x:c r="L29" s="16" t="n">
        <x:f>F29*J29</x:f>
        <x:v>0</x:v>
      </x:c>
      <x:c r="M29" s="10" t="str">
        <x:f>IF(AND(H29="",I29=""),"无硬时限",IF(K29&gt;0.000001,"超期","满足"))</x:f>
        <x:v>满足</x:v>
      </x:c>
      <x:c r="N29" s="22" t="n">
        <x:v>2</x:v>
      </x:c>
    </x:row>
    <x:row r="30" ht="28" customHeight="1">
      <x:c r="A30" s="2" t="str">
        <x:v>S003-WAT-02</x:v>
      </x:c>
      <x:c r="B30" s="2" t="str">
        <x:v>T016</x:v>
      </x:c>
      <x:c r="C30" s="2" t="str">
        <x:v>S003</x:v>
      </x:c>
      <x:c r="D30" s="15" t="n">
        <x:v>5535.074</x:v>
      </x:c>
      <x:c r="E30" s="2" t="str">
        <x:v>WAT</x:v>
      </x:c>
      <x:c r="F30" s="21" t="n">
        <x:v>10</x:v>
      </x:c>
      <x:c r="G30" s="15" t="n">
        <x:v>7200</x:v>
      </x:c>
      <x:c r="H30" s="15"/>
      <x:c r="I30" s="15"/>
      <x:c r="J30" s="15" t="n">
        <x:f>MAX(0,D30-G30)</x:f>
        <x:v>0</x:v>
      </x:c>
      <x:c r="K30" s="15" t="n">
        <x:f>MAX(0,IF(ISNUMBER(H30),D30-H30,0),IF(ISNUMBER(I30),D30-I30,0))</x:f>
        <x:v>0</x:v>
      </x:c>
      <x:c r="L30" s="15" t="n">
        <x:f>F30*J30</x:f>
        <x:v>0</x:v>
      </x:c>
      <x:c r="M30" s="2" t="str">
        <x:f>IF(AND(H30="",I30=""),"无硬时限",IF(K30&gt;0.000001,"超期","满足"))</x:f>
        <x:v>无硬时限</x:v>
      </x:c>
      <x:c r="N30" s="21" t="n">
        <x:v>5</x:v>
      </x:c>
    </x:row>
    <x:row r="31" ht="28" customHeight="1">
      <x:c r="A31" s="10" t="str">
        <x:v>S003-WAT-03</x:v>
      </x:c>
      <x:c r="B31" s="10" t="str">
        <x:v>T016</x:v>
      </x:c>
      <x:c r="C31" s="10" t="str">
        <x:v>S003</x:v>
      </x:c>
      <x:c r="D31" s="16" t="n">
        <x:v>5499.074</x:v>
      </x:c>
      <x:c r="E31" s="10" t="str">
        <x:v>WAT</x:v>
      </x:c>
      <x:c r="F31" s="22" t="n">
        <x:v>10</x:v>
      </x:c>
      <x:c r="G31" s="16" t="n">
        <x:v>7200</x:v>
      </x:c>
      <x:c r="H31" s="16"/>
      <x:c r="I31" s="16"/>
      <x:c r="J31" s="16" t="n">
        <x:f>MAX(0,D31-G31)</x:f>
        <x:v>0</x:v>
      </x:c>
      <x:c r="K31" s="16" t="n">
        <x:f>MAX(0,IF(ISNUMBER(H31),D31-H31,0),IF(ISNUMBER(I31),D31-I31,0))</x:f>
        <x:v>0</x:v>
      </x:c>
      <x:c r="L31" s="16" t="n">
        <x:f>F31*J31</x:f>
        <x:v>0</x:v>
      </x:c>
      <x:c r="M31" s="10" t="str">
        <x:f>IF(AND(H31="",I31=""),"无硬时限",IF(K31&gt;0.000001,"超期","满足"))</x:f>
        <x:v>无硬时限</x:v>
      </x:c>
      <x:c r="N31" s="22" t="n">
        <x:v>4</x:v>
      </x:c>
    </x:row>
    <x:row r="32" ht="28" customHeight="1">
      <x:c r="A32" s="2" t="str">
        <x:v>S003-WAT-04</x:v>
      </x:c>
      <x:c r="B32" s="2" t="str">
        <x:v>T016</x:v>
      </x:c>
      <x:c r="C32" s="2" t="str">
        <x:v>S003</x:v>
      </x:c>
      <x:c r="D32" s="15" t="n">
        <x:v>5463.074</x:v>
      </x:c>
      <x:c r="E32" s="2" t="str">
        <x:v>WAT</x:v>
      </x:c>
      <x:c r="F32" s="21" t="n">
        <x:v>10</x:v>
      </x:c>
      <x:c r="G32" s="15" t="n">
        <x:v>7200</x:v>
      </x:c>
      <x:c r="H32" s="15"/>
      <x:c r="I32" s="15"/>
      <x:c r="J32" s="15" t="n">
        <x:f>MAX(0,D32-G32)</x:f>
        <x:v>0</x:v>
      </x:c>
      <x:c r="K32" s="15" t="n">
        <x:f>MAX(0,IF(ISNUMBER(H32),D32-H32,0),IF(ISNUMBER(I32),D32-I32,0))</x:f>
        <x:v>0</x:v>
      </x:c>
      <x:c r="L32" s="15" t="n">
        <x:f>F32*J32</x:f>
        <x:v>0</x:v>
      </x:c>
      <x:c r="M32" s="2" t="str">
        <x:f>IF(AND(H32="",I32=""),"无硬时限",IF(K32&gt;0.000001,"超期","满足"))</x:f>
        <x:v>无硬时限</x:v>
      </x:c>
      <x:c r="N32" s="21" t="n">
        <x:v>3</x:v>
      </x:c>
    </x:row>
    <x:row r="33" ht="28" customHeight="1">
      <x:c r="A33" s="10" t="str">
        <x:v>S004-FOD-01</x:v>
      </x:c>
      <x:c r="B33" s="10" t="str">
        <x:v>T010</x:v>
      </x:c>
      <x:c r="C33" s="10" t="str">
        <x:v>S004</x:v>
      </x:c>
      <x:c r="D33" s="16" t="n">
        <x:v>3275.674</x:v>
      </x:c>
      <x:c r="E33" s="10" t="str">
        <x:v>FOD</x:v>
      </x:c>
      <x:c r="F33" s="22" t="n">
        <x:v>8</x:v>
      </x:c>
      <x:c r="G33" s="16" t="n">
        <x:v>10800</x:v>
      </x:c>
      <x:c r="H33" s="16"/>
      <x:c r="I33" s="16"/>
      <x:c r="J33" s="16" t="n">
        <x:f>MAX(0,D33-G33)</x:f>
        <x:v>0</x:v>
      </x:c>
      <x:c r="K33" s="16" t="n">
        <x:f>MAX(0,IF(ISNUMBER(H33),D33-H33,0),IF(ISNUMBER(I33),D33-I33,0))</x:f>
        <x:v>0</x:v>
      </x:c>
      <x:c r="L33" s="16" t="n">
        <x:f>F33*J33</x:f>
        <x:v>0</x:v>
      </x:c>
      <x:c r="M33" s="10" t="str">
        <x:f>IF(AND(H33="",I33=""),"无硬时限",IF(K33&gt;0.000001,"超期","满足"))</x:f>
        <x:v>无硬时限</x:v>
      </x:c>
      <x:c r="N33" s="22" t="n">
        <x:v>6</x:v>
      </x:c>
    </x:row>
    <x:row r="34" ht="28" customHeight="1">
      <x:c r="A34" s="2" t="str">
        <x:v>S004-HYG-01</x:v>
      </x:c>
      <x:c r="B34" s="2" t="str">
        <x:v>T010</x:v>
      </x:c>
      <x:c r="C34" s="2" t="str">
        <x:v>S004</x:v>
      </x:c>
      <x:c r="D34" s="15" t="n">
        <x:v>3239.674</x:v>
      </x:c>
      <x:c r="E34" s="2" t="str">
        <x:v>HYG</x:v>
      </x:c>
      <x:c r="F34" s="21" t="n">
        <x:v>6</x:v>
      </x:c>
      <x:c r="G34" s="15" t="n">
        <x:v>14400</x:v>
      </x:c>
      <x:c r="H34" s="15"/>
      <x:c r="I34" s="15"/>
      <x:c r="J34" s="15" t="n">
        <x:f>MAX(0,D34-G34)</x:f>
        <x:v>0</x:v>
      </x:c>
      <x:c r="K34" s="15" t="n">
        <x:f>MAX(0,IF(ISNUMBER(H34),D34-H34,0),IF(ISNUMBER(I34),D34-I34,0))</x:f>
        <x:v>0</x:v>
      </x:c>
      <x:c r="L34" s="15" t="n">
        <x:f>F34*J34</x:f>
        <x:v>0</x:v>
      </x:c>
      <x:c r="M34" s="2" t="str">
        <x:f>IF(AND(H34="",I34=""),"无硬时限",IF(K34&gt;0.000001,"超期","满足"))</x:f>
        <x:v>无硬时限</x:v>
      </x:c>
      <x:c r="N34" s="21" t="n">
        <x:v>5</x:v>
      </x:c>
    </x:row>
    <x:row r="35" ht="28" customHeight="1">
      <x:c r="A35" s="10" t="str">
        <x:v>S004-MED-01</x:v>
      </x:c>
      <x:c r="B35" s="10" t="str">
        <x:v>T010</x:v>
      </x:c>
      <x:c r="C35" s="10" t="str">
        <x:v>S004</x:v>
      </x:c>
      <x:c r="D35" s="16" t="n">
        <x:v>3167.674</x:v>
      </x:c>
      <x:c r="E35" s="10" t="str">
        <x:v>MED</x:v>
      </x:c>
      <x:c r="F35" s="22" t="n">
        <x:v>20</x:v>
      </x:c>
      <x:c r="G35" s="16" t="n">
        <x:v>7200</x:v>
      </x:c>
      <x:c r="H35" s="16" t="n">
        <x:v>7200</x:v>
      </x:c>
      <x:c r="I35" s="16" t="n">
        <x:v>7200</x:v>
      </x:c>
      <x:c r="J35" s="16" t="n">
        <x:f>MAX(0,D35-G35)</x:f>
        <x:v>0</x:v>
      </x:c>
      <x:c r="K35" s="16" t="n">
        <x:f>MAX(0,IF(ISNUMBER(H35),D35-H35,0),IF(ISNUMBER(I35),D35-I35,0))</x:f>
        <x:v>0</x:v>
      </x:c>
      <x:c r="L35" s="16" t="n">
        <x:f>F35*J35</x:f>
        <x:v>0</x:v>
      </x:c>
      <x:c r="M35" s="10" t="str">
        <x:f>IF(AND(H35="",I35=""),"无硬时限",IF(K35&gt;0.000001,"超期","满足"))</x:f>
        <x:v>满足</x:v>
      </x:c>
      <x:c r="N35" s="22" t="n">
        <x:v>3</x:v>
      </x:c>
    </x:row>
    <x:row r="36" ht="28" customHeight="1">
      <x:c r="A36" s="2" t="str">
        <x:v>S004-WAT-01</x:v>
      </x:c>
      <x:c r="B36" s="2" t="str">
        <x:v>T010</x:v>
      </x:c>
      <x:c r="C36" s="2" t="str">
        <x:v>S004</x:v>
      </x:c>
      <x:c r="D36" s="15" t="n">
        <x:v>3095.674</x:v>
      </x:c>
      <x:c r="E36" s="2" t="str">
        <x:v>WAT</x:v>
      </x:c>
      <x:c r="F36" s="21" t="n">
        <x:v>10</x:v>
      </x:c>
      <x:c r="G36" s="15" t="n">
        <x:v>7200</x:v>
      </x:c>
      <x:c r="H36" s="15" t="n">
        <x:v>7200</x:v>
      </x:c>
      <x:c r="I36" s="15"/>
      <x:c r="J36" s="15" t="n">
        <x:f>MAX(0,D36-G36)</x:f>
        <x:v>0</x:v>
      </x:c>
      <x:c r="K36" s="15" t="n">
        <x:f>MAX(0,IF(ISNUMBER(H36),D36-H36,0),IF(ISNUMBER(I36),D36-I36,0))</x:f>
        <x:v>0</x:v>
      </x:c>
      <x:c r="L36" s="15" t="n">
        <x:f>F36*J36</x:f>
        <x:v>0</x:v>
      </x:c>
      <x:c r="M36" s="2" t="str">
        <x:f>IF(AND(H36="",I36=""),"无硬时限",IF(K36&gt;0.000001,"超期","满足"))</x:f>
        <x:v>满足</x:v>
      </x:c>
      <x:c r="N36" s="21" t="n">
        <x:v>1</x:v>
      </x:c>
    </x:row>
    <x:row r="37" ht="28" customHeight="1">
      <x:c r="A37" s="10" t="str">
        <x:v>S004-WAT-02</x:v>
      </x:c>
      <x:c r="B37" s="10" t="str">
        <x:v>T010</x:v>
      </x:c>
      <x:c r="C37" s="10" t="str">
        <x:v>S004</x:v>
      </x:c>
      <x:c r="D37" s="16" t="n">
        <x:v>3131.674</x:v>
      </x:c>
      <x:c r="E37" s="10" t="str">
        <x:v>WAT</x:v>
      </x:c>
      <x:c r="F37" s="22" t="n">
        <x:v>10</x:v>
      </x:c>
      <x:c r="G37" s="16" t="n">
        <x:v>7200</x:v>
      </x:c>
      <x:c r="H37" s="16"/>
      <x:c r="I37" s="16"/>
      <x:c r="J37" s="16" t="n">
        <x:f>MAX(0,D37-G37)</x:f>
        <x:v>0</x:v>
      </x:c>
      <x:c r="K37" s="16" t="n">
        <x:f>MAX(0,IF(ISNUMBER(H37),D37-H37,0),IF(ISNUMBER(I37),D37-I37,0))</x:f>
        <x:v>0</x:v>
      </x:c>
      <x:c r="L37" s="16" t="n">
        <x:f>F37*J37</x:f>
        <x:v>0</x:v>
      </x:c>
      <x:c r="M37" s="10" t="str">
        <x:f>IF(AND(H37="",I37=""),"无硬时限",IF(K37&gt;0.000001,"超期","满足"))</x:f>
        <x:v>无硬时限</x:v>
      </x:c>
      <x:c r="N37" s="22" t="n">
        <x:v>2</x:v>
      </x:c>
    </x:row>
    <x:row r="38" ht="28" customHeight="1">
      <x:c r="A38" s="2" t="str">
        <x:v>S004-WAT-03</x:v>
      </x:c>
      <x:c r="B38" s="2" t="str">
        <x:v>T010</x:v>
      </x:c>
      <x:c r="C38" s="2" t="str">
        <x:v>S004</x:v>
      </x:c>
      <x:c r="D38" s="15" t="n">
        <x:v>3203.674</x:v>
      </x:c>
      <x:c r="E38" s="2" t="str">
        <x:v>WAT</x:v>
      </x:c>
      <x:c r="F38" s="21" t="n">
        <x:v>10</x:v>
      </x:c>
      <x:c r="G38" s="15" t="n">
        <x:v>7200</x:v>
      </x:c>
      <x:c r="H38" s="15"/>
      <x:c r="I38" s="15"/>
      <x:c r="J38" s="15" t="n">
        <x:f>MAX(0,D38-G38)</x:f>
        <x:v>0</x:v>
      </x:c>
      <x:c r="K38" s="15" t="n">
        <x:f>MAX(0,IF(ISNUMBER(H38),D38-H38,0),IF(ISNUMBER(I38),D38-I38,0))</x:f>
        <x:v>0</x:v>
      </x:c>
      <x:c r="L38" s="15" t="n">
        <x:f>F38*J38</x:f>
        <x:v>0</x:v>
      </x:c>
      <x:c r="M38" s="2" t="str">
        <x:f>IF(AND(H38="",I38=""),"无硬时限",IF(K38&gt;0.000001,"超期","满足"))</x:f>
        <x:v>无硬时限</x:v>
      </x:c>
      <x:c r="N38" s="21" t="n">
        <x:v>4</x:v>
      </x:c>
    </x:row>
    <x:row r="39" ht="28" customHeight="1">
      <x:c r="A39" s="10" t="str">
        <x:v>S005-FOD-01</x:v>
      </x:c>
      <x:c r="B39" s="10" t="str">
        <x:v>T019</x:v>
      </x:c>
      <x:c r="C39" s="10" t="str">
        <x:v>S005</x:v>
      </x:c>
      <x:c r="D39" s="16" t="n">
        <x:v>5390.462</x:v>
      </x:c>
      <x:c r="E39" s="10" t="str">
        <x:v>FOD</x:v>
      </x:c>
      <x:c r="F39" s="22" t="n">
        <x:v>6</x:v>
      </x:c>
      <x:c r="G39" s="16" t="n">
        <x:v>14400</x:v>
      </x:c>
      <x:c r="H39" s="16"/>
      <x:c r="I39" s="16"/>
      <x:c r="J39" s="16" t="n">
        <x:f>MAX(0,D39-G39)</x:f>
        <x:v>0</x:v>
      </x:c>
      <x:c r="K39" s="16" t="n">
        <x:f>MAX(0,IF(ISNUMBER(H39),D39-H39,0),IF(ISNUMBER(I39),D39-I39,0))</x:f>
        <x:v>0</x:v>
      </x:c>
      <x:c r="L39" s="16" t="n">
        <x:f>F39*J39</x:f>
        <x:v>0</x:v>
      </x:c>
      <x:c r="M39" s="10" t="str">
        <x:f>IF(AND(H39="",I39=""),"无硬时限",IF(K39&gt;0.000001,"超期","满足"))</x:f>
        <x:v>无硬时限</x:v>
      </x:c>
      <x:c r="N39" s="22" t="n">
        <x:v>5</x:v>
      </x:c>
    </x:row>
    <x:row r="40" ht="28" customHeight="1">
      <x:c r="A40" s="2" t="str">
        <x:v>S005-HYG-01</x:v>
      </x:c>
      <x:c r="B40" s="2" t="str">
        <x:v>T019</x:v>
      </x:c>
      <x:c r="C40" s="2" t="str">
        <x:v>S005</x:v>
      </x:c>
      <x:c r="D40" s="15" t="n">
        <x:v>5354.462</x:v>
      </x:c>
      <x:c r="E40" s="2" t="str">
        <x:v>HYG</x:v>
      </x:c>
      <x:c r="F40" s="21" t="n">
        <x:v>4</x:v>
      </x:c>
      <x:c r="G40" s="15" t="n">
        <x:v>18000</x:v>
      </x:c>
      <x:c r="H40" s="15"/>
      <x:c r="I40" s="15"/>
      <x:c r="J40" s="15" t="n">
        <x:f>MAX(0,D40-G40)</x:f>
        <x:v>0</x:v>
      </x:c>
      <x:c r="K40" s="15" t="n">
        <x:f>MAX(0,IF(ISNUMBER(H40),D40-H40,0),IF(ISNUMBER(I40),D40-I40,0))</x:f>
        <x:v>0</x:v>
      </x:c>
      <x:c r="L40" s="15" t="n">
        <x:f>F40*J40</x:f>
        <x:v>0</x:v>
      </x:c>
      <x:c r="M40" s="2" t="str">
        <x:f>IF(AND(H40="",I40=""),"无硬时限",IF(K40&gt;0.000001,"超期","满足"))</x:f>
        <x:v>无硬时限</x:v>
      </x:c>
      <x:c r="N40" s="21" t="n">
        <x:v>4</x:v>
      </x:c>
    </x:row>
    <x:row r="41" ht="28" customHeight="1">
      <x:c r="A41" s="10" t="str">
        <x:v>S005-MED-01</x:v>
      </x:c>
      <x:c r="B41" s="10" t="str">
        <x:v>T019</x:v>
      </x:c>
      <x:c r="C41" s="10" t="str">
        <x:v>S005</x:v>
      </x:c>
      <x:c r="D41" s="16" t="n">
        <x:v>5318.462</x:v>
      </x:c>
      <x:c r="E41" s="10" t="str">
        <x:v>MED</x:v>
      </x:c>
      <x:c r="F41" s="22" t="n">
        <x:v>16</x:v>
      </x:c>
      <x:c r="G41" s="16" t="n">
        <x:v>10800</x:v>
      </x:c>
      <x:c r="H41" s="16" t="n">
        <x:v>10800</x:v>
      </x:c>
      <x:c r="I41" s="16" t="n">
        <x:v>10800</x:v>
      </x:c>
      <x:c r="J41" s="16" t="n">
        <x:f>MAX(0,D41-G41)</x:f>
        <x:v>0</x:v>
      </x:c>
      <x:c r="K41" s="16" t="n">
        <x:f>MAX(0,IF(ISNUMBER(H41),D41-H41,0),IF(ISNUMBER(I41),D41-I41,0))</x:f>
        <x:v>0</x:v>
      </x:c>
      <x:c r="L41" s="16" t="n">
        <x:f>F41*J41</x:f>
        <x:v>0</x:v>
      </x:c>
      <x:c r="M41" s="10" t="str">
        <x:f>IF(AND(H41="",I41=""),"无硬时限",IF(K41&gt;0.000001,"超期","满足"))</x:f>
        <x:v>满足</x:v>
      </x:c>
      <x:c r="N41" s="22" t="n">
        <x:v>3</x:v>
      </x:c>
    </x:row>
    <x:row r="42" ht="28" customHeight="1">
      <x:c r="A42" s="2" t="str">
        <x:v>S005-WAT-01</x:v>
      </x:c>
      <x:c r="B42" s="2" t="str">
        <x:v>T019</x:v>
      </x:c>
      <x:c r="C42" s="2" t="str">
        <x:v>S005</x:v>
      </x:c>
      <x:c r="D42" s="15" t="n">
        <x:v>5246.462</x:v>
      </x:c>
      <x:c r="E42" s="2" t="str">
        <x:v>WAT</x:v>
      </x:c>
      <x:c r="F42" s="21" t="n">
        <x:v>8</x:v>
      </x:c>
      <x:c r="G42" s="15" t="n">
        <x:v>10800</x:v>
      </x:c>
      <x:c r="H42" s="15" t="n">
        <x:v>10800</x:v>
      </x:c>
      <x:c r="I42" s="15"/>
      <x:c r="J42" s="15" t="n">
        <x:f>MAX(0,D42-G42)</x:f>
        <x:v>0</x:v>
      </x:c>
      <x:c r="K42" s="15" t="n">
        <x:f>MAX(0,IF(ISNUMBER(H42),D42-H42,0),IF(ISNUMBER(I42),D42-I42,0))</x:f>
        <x:v>0</x:v>
      </x:c>
      <x:c r="L42" s="15" t="n">
        <x:f>F42*J42</x:f>
        <x:v>0</x:v>
      </x:c>
      <x:c r="M42" s="2" t="str">
        <x:f>IF(AND(H42="",I42=""),"无硬时限",IF(K42&gt;0.000001,"超期","满足"))</x:f>
        <x:v>满足</x:v>
      </x:c>
      <x:c r="N42" s="21" t="n">
        <x:v>1</x:v>
      </x:c>
    </x:row>
    <x:row r="43" ht="28" customHeight="1">
      <x:c r="A43" s="10" t="str">
        <x:v>S005-WAT-02</x:v>
      </x:c>
      <x:c r="B43" s="10" t="str">
        <x:v>T019</x:v>
      </x:c>
      <x:c r="C43" s="10" t="str">
        <x:v>S005</x:v>
      </x:c>
      <x:c r="D43" s="16" t="n">
        <x:v>5282.462</x:v>
      </x:c>
      <x:c r="E43" s="10" t="str">
        <x:v>WAT</x:v>
      </x:c>
      <x:c r="F43" s="22" t="n">
        <x:v>8</x:v>
      </x:c>
      <x:c r="G43" s="16" t="n">
        <x:v>10800</x:v>
      </x:c>
      <x:c r="H43" s="16"/>
      <x:c r="I43" s="16"/>
      <x:c r="J43" s="16" t="n">
        <x:f>MAX(0,D43-G43)</x:f>
        <x:v>0</x:v>
      </x:c>
      <x:c r="K43" s="16" t="n">
        <x:f>MAX(0,IF(ISNUMBER(H43),D43-H43,0),IF(ISNUMBER(I43),D43-I43,0))</x:f>
        <x:v>0</x:v>
      </x:c>
      <x:c r="L43" s="16" t="n">
        <x:f>F43*J43</x:f>
        <x:v>0</x:v>
      </x:c>
      <x:c r="M43" s="10" t="str">
        <x:f>IF(AND(H43="",I43=""),"无硬时限",IF(K43&gt;0.000001,"超期","满足"))</x:f>
        <x:v>无硬时限</x:v>
      </x:c>
      <x:c r="N43" s="22" t="n">
        <x:v>2</x:v>
      </x:c>
    </x:row>
    <x:row r="44" ht="28" customHeight="1">
      <x:c r="A44" s="2" t="str">
        <x:v>S005-WAT-03</x:v>
      </x:c>
      <x:c r="B44" s="2" t="str">
        <x:v>T019</x:v>
      </x:c>
      <x:c r="C44" s="2" t="str">
        <x:v>S005</x:v>
      </x:c>
      <x:c r="D44" s="15" t="n">
        <x:v>5426.462</x:v>
      </x:c>
      <x:c r="E44" s="2" t="str">
        <x:v>WAT</x:v>
      </x:c>
      <x:c r="F44" s="21" t="n">
        <x:v>8</x:v>
      </x:c>
      <x:c r="G44" s="15" t="n">
        <x:v>10800</x:v>
      </x:c>
      <x:c r="H44" s="15"/>
      <x:c r="I44" s="15"/>
      <x:c r="J44" s="15" t="n">
        <x:f>MAX(0,D44-G44)</x:f>
        <x:v>0</x:v>
      </x:c>
      <x:c r="K44" s="15" t="n">
        <x:f>MAX(0,IF(ISNUMBER(H44),D44-H44,0),IF(ISNUMBER(I44),D44-I44,0))</x:f>
        <x:v>0</x:v>
      </x:c>
      <x:c r="L44" s="15" t="n">
        <x:f>F44*J44</x:f>
        <x:v>0</x:v>
      </x:c>
      <x:c r="M44" s="2" t="str">
        <x:f>IF(AND(H44="",I44=""),"无硬时限",IF(K44&gt;0.000001,"超期","满足"))</x:f>
        <x:v>无硬时限</x:v>
      </x:c>
      <x:c r="N44" s="21" t="n">
        <x:v>6</x:v>
      </x:c>
    </x:row>
    <x:row r="45" ht="28" customHeight="1">
      <x:c r="A45" s="10" t="str">
        <x:v>S006-FOD-01</x:v>
      </x:c>
      <x:c r="B45" s="10" t="str">
        <x:v>T001</x:v>
      </x:c>
      <x:c r="C45" s="10" t="str">
        <x:v>S006</x:v>
      </x:c>
      <x:c r="D45" s="16" t="n">
        <x:v>935.502</x:v>
      </x:c>
      <x:c r="E45" s="10" t="str">
        <x:v>FOD</x:v>
      </x:c>
      <x:c r="F45" s="22" t="n">
        <x:v>10</x:v>
      </x:c>
      <x:c r="G45" s="16" t="n">
        <x:v>7200</x:v>
      </x:c>
      <x:c r="H45" s="16"/>
      <x:c r="I45" s="16"/>
      <x:c r="J45" s="16" t="n">
        <x:f>MAX(0,D45-G45)</x:f>
        <x:v>0</x:v>
      </x:c>
      <x:c r="K45" s="16" t="n">
        <x:f>MAX(0,IF(ISNUMBER(H45),D45-H45,0),IF(ISNUMBER(I45),D45-I45,0))</x:f>
        <x:v>0</x:v>
      </x:c>
      <x:c r="L45" s="16" t="n">
        <x:f>F45*J45</x:f>
        <x:v>0</x:v>
      </x:c>
      <x:c r="M45" s="10" t="str">
        <x:f>IF(AND(H45="",I45=""),"无硬时限",IF(K45&gt;0.000001,"超期","满足"))</x:f>
        <x:v>无硬时限</x:v>
      </x:c>
      <x:c r="N45" s="22" t="n">
        <x:v>2</x:v>
      </x:c>
    </x:row>
    <x:row r="46" ht="28" customHeight="1">
      <x:c r="A46" s="2" t="str">
        <x:v>S006-HYG-01</x:v>
      </x:c>
      <x:c r="B46" s="2" t="str">
        <x:v>T021</x:v>
      </x:c>
      <x:c r="C46" s="2" t="str">
        <x:v>S006</x:v>
      </x:c>
      <x:c r="D46" s="15" t="n">
        <x:v>6234.755</x:v>
      </x:c>
      <x:c r="E46" s="2" t="str">
        <x:v>HYG</x:v>
      </x:c>
      <x:c r="F46" s="21" t="n">
        <x:v>8</x:v>
      </x:c>
      <x:c r="G46" s="15" t="n">
        <x:v>10800</x:v>
      </x:c>
      <x:c r="H46" s="15"/>
      <x:c r="I46" s="15"/>
      <x:c r="J46" s="15" t="n">
        <x:f>MAX(0,D46-G46)</x:f>
        <x:v>0</x:v>
      </x:c>
      <x:c r="K46" s="15" t="n">
        <x:f>MAX(0,IF(ISNUMBER(H46),D46-H46,0),IF(ISNUMBER(I46),D46-I46,0))</x:f>
        <x:v>0</x:v>
      </x:c>
      <x:c r="L46" s="15" t="n">
        <x:f>F46*J46</x:f>
        <x:v>0</x:v>
      </x:c>
      <x:c r="M46" s="2" t="str">
        <x:f>IF(AND(H46="",I46=""),"无硬时限",IF(K46&gt;0.000001,"超期","满足"))</x:f>
        <x:v>无硬时限</x:v>
      </x:c>
      <x:c r="N46" s="21" t="n">
        <x:v>1</x:v>
      </x:c>
    </x:row>
    <x:row r="47" ht="28" customHeight="1">
      <x:c r="A47" s="10" t="str">
        <x:v>S006-MED-01</x:v>
      </x:c>
      <x:c r="B47" s="10" t="str">
        <x:v>T011</x:v>
      </x:c>
      <x:c r="C47" s="10" t="str">
        <x:v>S006</x:v>
      </x:c>
      <x:c r="D47" s="16" t="n">
        <x:v>2780.386</x:v>
      </x:c>
      <x:c r="E47" s="10" t="str">
        <x:v>MED</x:v>
      </x:c>
      <x:c r="F47" s="22" t="n">
        <x:v>24</x:v>
      </x:c>
      <x:c r="G47" s="16" t="n">
        <x:v>3600</x:v>
      </x:c>
      <x:c r="H47" s="16" t="n">
        <x:v>3600</x:v>
      </x:c>
      <x:c r="I47" s="16" t="n">
        <x:v>3600</x:v>
      </x:c>
      <x:c r="J47" s="16" t="n">
        <x:f>MAX(0,D47-G47)</x:f>
        <x:v>0</x:v>
      </x:c>
      <x:c r="K47" s="16" t="n">
        <x:f>MAX(0,IF(ISNUMBER(H47),D47-H47,0),IF(ISNUMBER(I47),D47-I47,0))</x:f>
        <x:v>0</x:v>
      </x:c>
      <x:c r="L47" s="16" t="n">
        <x:f>F47*J47</x:f>
        <x:v>0</x:v>
      </x:c>
      <x:c r="M47" s="10" t="str">
        <x:f>IF(AND(H47="",I47=""),"无硬时限",IF(K47&gt;0.000001,"超期","满足"))</x:f>
        <x:v>满足</x:v>
      </x:c>
      <x:c r="N47" s="22" t="n">
        <x:v>1</x:v>
      </x:c>
    </x:row>
    <x:row r="48" ht="28" customHeight="1">
      <x:c r="A48" s="2" t="str">
        <x:v>S006-WAT-01</x:v>
      </x:c>
      <x:c r="B48" s="2" t="str">
        <x:v>T001</x:v>
      </x:c>
      <x:c r="C48" s="2" t="str">
        <x:v>S006</x:v>
      </x:c>
      <x:c r="D48" s="15" t="n">
        <x:v>905.502</x:v>
      </x:c>
      <x:c r="E48" s="2" t="str">
        <x:v>WAT</x:v>
      </x:c>
      <x:c r="F48" s="21" t="n">
        <x:v>12</x:v>
      </x:c>
      <x:c r="G48" s="15" t="n">
        <x:v>3600</x:v>
      </x:c>
      <x:c r="H48" s="15" t="n">
        <x:v>3600</x:v>
      </x:c>
      <x:c r="I48" s="15"/>
      <x:c r="J48" s="15" t="n">
        <x:f>MAX(0,D48-G48)</x:f>
        <x:v>0</x:v>
      </x:c>
      <x:c r="K48" s="15" t="n">
        <x:f>MAX(0,IF(ISNUMBER(H48),D48-H48,0),IF(ISNUMBER(I48),D48-I48,0))</x:f>
        <x:v>0</x:v>
      </x:c>
      <x:c r="L48" s="15" t="n">
        <x:f>F48*J48</x:f>
        <x:v>0</x:v>
      </x:c>
      <x:c r="M48" s="2" t="str">
        <x:f>IF(AND(H48="",I48=""),"无硬时限",IF(K48&gt;0.000001,"超期","满足"))</x:f>
        <x:v>满足</x:v>
      </x:c>
      <x:c r="N48" s="21" t="n">
        <x:v>1</x:v>
      </x:c>
    </x:row>
    <x:row r="49" ht="28" customHeight="1">
      <x:c r="A49" s="10" t="str">
        <x:v>S006-WAT-02</x:v>
      </x:c>
      <x:c r="B49" s="10" t="str">
        <x:v>T007</x:v>
      </x:c>
      <x:c r="C49" s="10" t="str">
        <x:v>S006</x:v>
      </x:c>
      <x:c r="D49" s="16" t="n">
        <x:v>2407.804</x:v>
      </x:c>
      <x:c r="E49" s="10" t="str">
        <x:v>WAT</x:v>
      </x:c>
      <x:c r="F49" s="22" t="n">
        <x:v>12</x:v>
      </x:c>
      <x:c r="G49" s="16" t="n">
        <x:v>3600</x:v>
      </x:c>
      <x:c r="H49" s="16"/>
      <x:c r="I49" s="16"/>
      <x:c r="J49" s="16" t="n">
        <x:f>MAX(0,D49-G49)</x:f>
        <x:v>0</x:v>
      </x:c>
      <x:c r="K49" s="16" t="n">
        <x:f>MAX(0,IF(ISNUMBER(H49),D49-H49,0),IF(ISNUMBER(I49),D49-I49,0))</x:f>
        <x:v>0</x:v>
      </x:c>
      <x:c r="L49" s="16" t="n">
        <x:f>F49*J49</x:f>
        <x:v>0</x:v>
      </x:c>
      <x:c r="M49" s="10" t="str">
        <x:f>IF(AND(H49="",I49=""),"无硬时限",IF(K49&gt;0.000001,"超期","满足"))</x:f>
        <x:v>无硬时限</x:v>
      </x:c>
      <x:c r="N49" s="22" t="n">
        <x:v>1</x:v>
      </x:c>
    </x:row>
    <x:row r="50" ht="28" customHeight="1">
      <x:c r="A50" s="2" t="str">
        <x:v>S006-WAT-03</x:v>
      </x:c>
      <x:c r="B50" s="2" t="str">
        <x:v>T007</x:v>
      </x:c>
      <x:c r="C50" s="2" t="str">
        <x:v>S006</x:v>
      </x:c>
      <x:c r="D50" s="15" t="n">
        <x:v>2437.804</x:v>
      </x:c>
      <x:c r="E50" s="2" t="str">
        <x:v>WAT</x:v>
      </x:c>
      <x:c r="F50" s="21" t="n">
        <x:v>12</x:v>
      </x:c>
      <x:c r="G50" s="15" t="n">
        <x:v>3600</x:v>
      </x:c>
      <x:c r="H50" s="15"/>
      <x:c r="I50" s="15"/>
      <x:c r="J50" s="15" t="n">
        <x:f>MAX(0,D50-G50)</x:f>
        <x:v>0</x:v>
      </x:c>
      <x:c r="K50" s="15" t="n">
        <x:f>MAX(0,IF(ISNUMBER(H50),D50-H50,0),IF(ISNUMBER(I50),D50-I50,0))</x:f>
        <x:v>0</x:v>
      </x:c>
      <x:c r="L50" s="15" t="n">
        <x:f>F50*J50</x:f>
        <x:v>0</x:v>
      </x:c>
      <x:c r="M50" s="2" t="str">
        <x:f>IF(AND(H50="",I50=""),"无硬时限",IF(K50&gt;0.000001,"超期","满足"))</x:f>
        <x:v>无硬时限</x:v>
      </x:c>
      <x:c r="N50" s="21" t="n">
        <x:v>2</x:v>
      </x:c>
    </x:row>
    <x:row r="51" ht="28" customHeight="1">
      <x:c r="A51" s="10" t="str">
        <x:v>S007-FOD-01</x:v>
      </x:c>
      <x:c r="B51" s="10" t="str">
        <x:v>T013</x:v>
      </x:c>
      <x:c r="C51" s="10" t="str">
        <x:v>S007</x:v>
      </x:c>
      <x:c r="D51" s="16" t="n">
        <x:v>3630</x:v>
      </x:c>
      <x:c r="E51" s="10" t="str">
        <x:v>FOD</x:v>
      </x:c>
      <x:c r="F51" s="22" t="n">
        <x:v>10</x:v>
      </x:c>
      <x:c r="G51" s="16" t="n">
        <x:v>7200</x:v>
      </x:c>
      <x:c r="H51" s="16"/>
      <x:c r="I51" s="16"/>
      <x:c r="J51" s="16" t="n">
        <x:f>MAX(0,D51-G51)</x:f>
        <x:v>0</x:v>
      </x:c>
      <x:c r="K51" s="16" t="n">
        <x:f>MAX(0,IF(ISNUMBER(H51),D51-H51,0),IF(ISNUMBER(I51),D51-I51,0))</x:f>
        <x:v>0</x:v>
      </x:c>
      <x:c r="L51" s="16" t="n">
        <x:f>F51*J51</x:f>
        <x:v>0</x:v>
      </x:c>
      <x:c r="M51" s="10" t="str">
        <x:f>IF(AND(H51="",I51=""),"无硬时限",IF(K51&gt;0.000001,"超期","满足"))</x:f>
        <x:v>无硬时限</x:v>
      </x:c>
      <x:c r="N51" s="22" t="n">
        <x:v>2</x:v>
      </x:c>
    </x:row>
    <x:row r="52" ht="28" customHeight="1">
      <x:c r="A52" s="2" t="str">
        <x:v>S007-HYG-01</x:v>
      </x:c>
      <x:c r="B52" s="2" t="str">
        <x:v>T016</x:v>
      </x:c>
      <x:c r="C52" s="2" t="str">
        <x:v>S007</x:v>
      </x:c>
      <x:c r="D52" s="15" t="n">
        <x:v>4931.782</x:v>
      </x:c>
      <x:c r="E52" s="2" t="str">
        <x:v>HYG</x:v>
      </x:c>
      <x:c r="F52" s="21" t="n">
        <x:v>8</x:v>
      </x:c>
      <x:c r="G52" s="15" t="n">
        <x:v>10800</x:v>
      </x:c>
      <x:c r="H52" s="15"/>
      <x:c r="I52" s="15"/>
      <x:c r="J52" s="15" t="n">
        <x:f>MAX(0,D52-G52)</x:f>
        <x:v>0</x:v>
      </x:c>
      <x:c r="K52" s="15" t="n">
        <x:f>MAX(0,IF(ISNUMBER(H52),D52-H52,0),IF(ISNUMBER(I52),D52-I52,0))</x:f>
        <x:v>0</x:v>
      </x:c>
      <x:c r="L52" s="15" t="n">
        <x:f>F52*J52</x:f>
        <x:v>0</x:v>
      </x:c>
      <x:c r="M52" s="2" t="str">
        <x:f>IF(AND(H52="",I52=""),"无硬时限",IF(K52&gt;0.000001,"超期","满足"))</x:f>
        <x:v>无硬时限</x:v>
      </x:c>
      <x:c r="N52" s="21" t="n">
        <x:v>1</x:v>
      </x:c>
    </x:row>
    <x:row r="53" ht="28" customHeight="1">
      <x:c r="A53" s="10" t="str">
        <x:v>S007-MED-01</x:v>
      </x:c>
      <x:c r="B53" s="10" t="str">
        <x:v>T011</x:v>
      </x:c>
      <x:c r="C53" s="10" t="str">
        <x:v>S007</x:v>
      </x:c>
      <x:c r="D53" s="16" t="n">
        <x:v>3357.939</x:v>
      </x:c>
      <x:c r="E53" s="10" t="str">
        <x:v>MED</x:v>
      </x:c>
      <x:c r="F53" s="22" t="n">
        <x:v>24</x:v>
      </x:c>
      <x:c r="G53" s="16" t="n">
        <x:v>3600</x:v>
      </x:c>
      <x:c r="H53" s="16" t="n">
        <x:v>3600</x:v>
      </x:c>
      <x:c r="I53" s="16" t="n">
        <x:v>3600</x:v>
      </x:c>
      <x:c r="J53" s="16" t="n">
        <x:f>MAX(0,D53-G53)</x:f>
        <x:v>0</x:v>
      </x:c>
      <x:c r="K53" s="16" t="n">
        <x:f>MAX(0,IF(ISNUMBER(H53),D53-H53,0),IF(ISNUMBER(I53),D53-I53,0))</x:f>
        <x:v>0</x:v>
      </x:c>
      <x:c r="L53" s="16" t="n">
        <x:f>F53*J53</x:f>
        <x:v>0</x:v>
      </x:c>
      <x:c r="M53" s="10" t="str">
        <x:f>IF(AND(H53="",I53=""),"无硬时限",IF(K53&gt;0.000001,"超期","满足"))</x:f>
        <x:v>满足</x:v>
      </x:c>
      <x:c r="N53" s="22" t="n">
        <x:v>1</x:v>
      </x:c>
    </x:row>
    <x:row r="54" ht="28" customHeight="1">
      <x:c r="A54" s="2" t="str">
        <x:v>S007-WAT-01</x:v>
      </x:c>
      <x:c r="B54" s="2" t="str">
        <x:v>T011</x:v>
      </x:c>
      <x:c r="C54" s="2" t="str">
        <x:v>S007</x:v>
      </x:c>
      <x:c r="D54" s="15" t="n">
        <x:v>3387.939</x:v>
      </x:c>
      <x:c r="E54" s="2" t="str">
        <x:v>WAT</x:v>
      </x:c>
      <x:c r="F54" s="21" t="n">
        <x:v>12</x:v>
      </x:c>
      <x:c r="G54" s="15" t="n">
        <x:v>3600</x:v>
      </x:c>
      <x:c r="H54" s="15" t="n">
        <x:v>3600</x:v>
      </x:c>
      <x:c r="I54" s="15"/>
      <x:c r="J54" s="15" t="n">
        <x:f>MAX(0,D54-G54)</x:f>
        <x:v>0</x:v>
      </x:c>
      <x:c r="K54" s="15" t="n">
        <x:f>MAX(0,IF(ISNUMBER(H54),D54-H54,0),IF(ISNUMBER(I54),D54-I54,0))</x:f>
        <x:v>0</x:v>
      </x:c>
      <x:c r="L54" s="15" t="n">
        <x:f>F54*J54</x:f>
        <x:v>0</x:v>
      </x:c>
      <x:c r="M54" s="2" t="str">
        <x:f>IF(AND(H54="",I54=""),"无硬时限",IF(K54&gt;0.000001,"超期","满足"))</x:f>
        <x:v>满足</x:v>
      </x:c>
      <x:c r="N54" s="21" t="n">
        <x:v>2</x:v>
      </x:c>
    </x:row>
    <x:row r="55" ht="28" customHeight="1">
      <x:c r="A55" s="10" t="str">
        <x:v>S007-WAT-02</x:v>
      </x:c>
      <x:c r="B55" s="10" t="str">
        <x:v>T013</x:v>
      </x:c>
      <x:c r="C55" s="10" t="str">
        <x:v>S007</x:v>
      </x:c>
      <x:c r="D55" s="16" t="n">
        <x:v>3600</x:v>
      </x:c>
      <x:c r="E55" s="10" t="str">
        <x:v>WAT</x:v>
      </x:c>
      <x:c r="F55" s="22" t="n">
        <x:v>12</x:v>
      </x:c>
      <x:c r="G55" s="16" t="n">
        <x:v>3600</x:v>
      </x:c>
      <x:c r="H55" s="16"/>
      <x:c r="I55" s="16"/>
      <x:c r="J55" s="16" t="n">
        <x:f>MAX(0,D55-G55)</x:f>
        <x:v>0</x:v>
      </x:c>
      <x:c r="K55" s="16" t="n">
        <x:f>MAX(0,IF(ISNUMBER(H55),D55-H55,0),IF(ISNUMBER(I55),D55-I55,0))</x:f>
        <x:v>0</x:v>
      </x:c>
      <x:c r="L55" s="16" t="n">
        <x:f>F55*J55</x:f>
        <x:v>0</x:v>
      </x:c>
      <x:c r="M55" s="10" t="str">
        <x:f>IF(AND(H55="",I55=""),"无硬时限",IF(K55&gt;0.000001,"超期","满足"))</x:f>
        <x:v>无硬时限</x:v>
      </x:c>
      <x:c r="N55" s="22" t="n">
        <x:v>1</x:v>
      </x:c>
    </x:row>
    <x:row r="56" ht="28" customHeight="1">
      <x:c r="A56" s="2" t="str">
        <x:v>S008-FOD-01</x:v>
      </x:c>
      <x:c r="B56" s="2" t="str">
        <x:v>T017</x:v>
      </x:c>
      <x:c r="C56" s="2" t="str">
        <x:v>S008</x:v>
      </x:c>
      <x:c r="D56" s="15" t="n">
        <x:v>5053.725</x:v>
      </x:c>
      <x:c r="E56" s="2" t="str">
        <x:v>FOD</x:v>
      </x:c>
      <x:c r="F56" s="21" t="n">
        <x:v>8</x:v>
      </x:c>
      <x:c r="G56" s="15" t="n">
        <x:v>10800</x:v>
      </x:c>
      <x:c r="H56" s="15"/>
      <x:c r="I56" s="15"/>
      <x:c r="J56" s="15" t="n">
        <x:f>MAX(0,D56-G56)</x:f>
        <x:v>0</x:v>
      </x:c>
      <x:c r="K56" s="15" t="n">
        <x:f>MAX(0,IF(ISNUMBER(H56),D56-H56,0),IF(ISNUMBER(I56),D56-I56,0))</x:f>
        <x:v>0</x:v>
      </x:c>
      <x:c r="L56" s="15" t="n">
        <x:f>F56*J56</x:f>
        <x:v>0</x:v>
      </x:c>
      <x:c r="M56" s="2" t="str">
        <x:f>IF(AND(H56="",I56=""),"无硬时限",IF(K56&gt;0.000001,"超期","满足"))</x:f>
        <x:v>无硬时限</x:v>
      </x:c>
      <x:c r="N56" s="21" t="n">
        <x:v>2</x:v>
      </x:c>
    </x:row>
    <x:row r="57" ht="28" customHeight="1">
      <x:c r="A57" s="10" t="str">
        <x:v>S008-HYG-01</x:v>
      </x:c>
      <x:c r="B57" s="10" t="str">
        <x:v>T014</x:v>
      </x:c>
      <x:c r="C57" s="10" t="str">
        <x:v>S008</x:v>
      </x:c>
      <x:c r="D57" s="16" t="n">
        <x:v>4213.281</x:v>
      </x:c>
      <x:c r="E57" s="10" t="str">
        <x:v>HYG</x:v>
      </x:c>
      <x:c r="F57" s="22" t="n">
        <x:v>6</x:v>
      </x:c>
      <x:c r="G57" s="16" t="n">
        <x:v>14400</x:v>
      </x:c>
      <x:c r="H57" s="16"/>
      <x:c r="I57" s="16"/>
      <x:c r="J57" s="16" t="n">
        <x:f>MAX(0,D57-G57)</x:f>
        <x:v>0</x:v>
      </x:c>
      <x:c r="K57" s="16" t="n">
        <x:f>MAX(0,IF(ISNUMBER(H57),D57-H57,0),IF(ISNUMBER(I57),D57-I57,0))</x:f>
        <x:v>0</x:v>
      </x:c>
      <x:c r="L57" s="16" t="n">
        <x:f>F57*J57</x:f>
        <x:v>0</x:v>
      </x:c>
      <x:c r="M57" s="10" t="str">
        <x:f>IF(AND(H57="",I57=""),"无硬时限",IF(K57&gt;0.000001,"超期","满足"))</x:f>
        <x:v>无硬时限</x:v>
      </x:c>
      <x:c r="N57" s="22" t="n">
        <x:v>1</x:v>
      </x:c>
    </x:row>
    <x:row r="58" ht="28" customHeight="1">
      <x:c r="A58" s="2" t="str">
        <x:v>S008-MED-01</x:v>
      </x:c>
      <x:c r="B58" s="2" t="str">
        <x:v>T017</x:v>
      </x:c>
      <x:c r="C58" s="2" t="str">
        <x:v>S008</x:v>
      </x:c>
      <x:c r="D58" s="15" t="n">
        <x:v>5083.725</x:v>
      </x:c>
      <x:c r="E58" s="2" t="str">
        <x:v>MED</x:v>
      </x:c>
      <x:c r="F58" s="21" t="n">
        <x:v>20</x:v>
      </x:c>
      <x:c r="G58" s="15" t="n">
        <x:v>7200</x:v>
      </x:c>
      <x:c r="H58" s="15" t="n">
        <x:v>7200</x:v>
      </x:c>
      <x:c r="I58" s="15" t="n">
        <x:v>7200</x:v>
      </x:c>
      <x:c r="J58" s="15" t="n">
        <x:f>MAX(0,D58-G58)</x:f>
        <x:v>0</x:v>
      </x:c>
      <x:c r="K58" s="15" t="n">
        <x:f>MAX(0,IF(ISNUMBER(H58),D58-H58,0),IF(ISNUMBER(I58),D58-I58,0))</x:f>
        <x:v>0</x:v>
      </x:c>
      <x:c r="L58" s="15" t="n">
        <x:f>F58*J58</x:f>
        <x:v>0</x:v>
      </x:c>
      <x:c r="M58" s="2" t="str">
        <x:f>IF(AND(H58="",I58=""),"无硬时限",IF(K58&gt;0.000001,"超期","满足"))</x:f>
        <x:v>满足</x:v>
      </x:c>
      <x:c r="N58" s="21" t="n">
        <x:v>3</x:v>
      </x:c>
    </x:row>
    <x:row r="59" ht="28" customHeight="1">
      <x:c r="A59" s="10" t="str">
        <x:v>S008-WAT-01</x:v>
      </x:c>
      <x:c r="B59" s="10" t="str">
        <x:v>T014</x:v>
      </x:c>
      <x:c r="C59" s="10" t="str">
        <x:v>S008</x:v>
      </x:c>
      <x:c r="D59" s="16" t="n">
        <x:v>4243.281</x:v>
      </x:c>
      <x:c r="E59" s="10" t="str">
        <x:v>WAT</x:v>
      </x:c>
      <x:c r="F59" s="22" t="n">
        <x:v>10</x:v>
      </x:c>
      <x:c r="G59" s="16" t="n">
        <x:v>7200</x:v>
      </x:c>
      <x:c r="H59" s="16" t="n">
        <x:v>7200</x:v>
      </x:c>
      <x:c r="I59" s="16"/>
      <x:c r="J59" s="16" t="n">
        <x:f>MAX(0,D59-G59)</x:f>
        <x:v>0</x:v>
      </x:c>
      <x:c r="K59" s="16" t="n">
        <x:f>MAX(0,IF(ISNUMBER(H59),D59-H59,0),IF(ISNUMBER(I59),D59-I59,0))</x:f>
        <x:v>0</x:v>
      </x:c>
      <x:c r="L59" s="16" t="n">
        <x:f>F59*J59</x:f>
        <x:v>0</x:v>
      </x:c>
      <x:c r="M59" s="10" t="str">
        <x:f>IF(AND(H59="",I59=""),"无硬时限",IF(K59&gt;0.000001,"超期","满足"))</x:f>
        <x:v>满足</x:v>
      </x:c>
      <x:c r="N59" s="22" t="n">
        <x:v>2</x:v>
      </x:c>
    </x:row>
    <x:row r="60" ht="28" customHeight="1">
      <x:c r="A60" s="2" t="str">
        <x:v>S008-WAT-02</x:v>
      </x:c>
      <x:c r="B60" s="2" t="str">
        <x:v>T017</x:v>
      </x:c>
      <x:c r="C60" s="2" t="str">
        <x:v>S008</x:v>
      </x:c>
      <x:c r="D60" s="15" t="n">
        <x:v>5023.725</x:v>
      </x:c>
      <x:c r="E60" s="2" t="str">
        <x:v>WAT</x:v>
      </x:c>
      <x:c r="F60" s="21" t="n">
        <x:v>10</x:v>
      </x:c>
      <x:c r="G60" s="15" t="n">
        <x:v>7200</x:v>
      </x:c>
      <x:c r="H60" s="15"/>
      <x:c r="I60" s="15"/>
      <x:c r="J60" s="15" t="n">
        <x:f>MAX(0,D60-G60)</x:f>
        <x:v>0</x:v>
      </x:c>
      <x:c r="K60" s="15" t="n">
        <x:f>MAX(0,IF(ISNUMBER(H60),D60-H60,0),IF(ISNUMBER(I60),D60-I60,0))</x:f>
        <x:v>0</x:v>
      </x:c>
      <x:c r="L60" s="15" t="n">
        <x:f>F60*J60</x:f>
        <x:v>0</x:v>
      </x:c>
      <x:c r="M60" s="2" t="str">
        <x:f>IF(AND(H60="",I60=""),"无硬时限",IF(K60&gt;0.000001,"超期","满足"))</x:f>
        <x:v>无硬时限</x:v>
      </x:c>
      <x:c r="N60" s="21" t="n">
        <x:v>1</x:v>
      </x:c>
    </x:row>
    <x:row r="61" ht="28" customHeight="1">
      <x:c r="A61" s="10" t="str">
        <x:v>S009-FOD-01</x:v>
      </x:c>
      <x:c r="B61" s="10" t="str">
        <x:v>T020</x:v>
      </x:c>
      <x:c r="C61" s="10" t="str">
        <x:v>S009</x:v>
      </x:c>
      <x:c r="D61" s="16" t="n">
        <x:v>5464.388</x:v>
      </x:c>
      <x:c r="E61" s="10" t="str">
        <x:v>FOD</x:v>
      </x:c>
      <x:c r="F61" s="22" t="n">
        <x:v>6</x:v>
      </x:c>
      <x:c r="G61" s="16" t="n">
        <x:v>14400</x:v>
      </x:c>
      <x:c r="H61" s="16"/>
      <x:c r="I61" s="16"/>
      <x:c r="J61" s="16" t="n">
        <x:f>MAX(0,D61-G61)</x:f>
        <x:v>0</x:v>
      </x:c>
      <x:c r="K61" s="16" t="n">
        <x:f>MAX(0,IF(ISNUMBER(H61),D61-H61,0),IF(ISNUMBER(I61),D61-I61,0))</x:f>
        <x:v>0</x:v>
      </x:c>
      <x:c r="L61" s="16" t="n">
        <x:f>F61*J61</x:f>
        <x:v>0</x:v>
      </x:c>
      <x:c r="M61" s="10" t="str">
        <x:f>IF(AND(H61="",I61=""),"无硬时限",IF(K61&gt;0.000001,"超期","满足"))</x:f>
        <x:v>无硬时限</x:v>
      </x:c>
      <x:c r="N61" s="22" t="n">
        <x:v>1</x:v>
      </x:c>
    </x:row>
    <x:row r="62" ht="28" customHeight="1">
      <x:c r="A62" s="2" t="str">
        <x:v>S009-MED-01</x:v>
      </x:c>
      <x:c r="B62" s="2" t="str">
        <x:v>T008</x:v>
      </x:c>
      <x:c r="C62" s="2" t="str">
        <x:v>S009</x:v>
      </x:c>
      <x:c r="D62" s="15" t="n">
        <x:v>3754.009</x:v>
      </x:c>
      <x:c r="E62" s="2" t="str">
        <x:v>MED</x:v>
      </x:c>
      <x:c r="F62" s="21" t="n">
        <x:v>16</x:v>
      </x:c>
      <x:c r="G62" s="15" t="n">
        <x:v>10800</x:v>
      </x:c>
      <x:c r="H62" s="15" t="n">
        <x:v>10800</x:v>
      </x:c>
      <x:c r="I62" s="15" t="n">
        <x:v>10800</x:v>
      </x:c>
      <x:c r="J62" s="15" t="n">
        <x:f>MAX(0,D62-G62)</x:f>
        <x:v>0</x:v>
      </x:c>
      <x:c r="K62" s="15" t="n">
        <x:f>MAX(0,IF(ISNUMBER(H62),D62-H62,0),IF(ISNUMBER(I62),D62-I62,0))</x:f>
        <x:v>0</x:v>
      </x:c>
      <x:c r="L62" s="15" t="n">
        <x:f>F62*J62</x:f>
        <x:v>0</x:v>
      </x:c>
      <x:c r="M62" s="2" t="str">
        <x:f>IF(AND(H62="",I62=""),"无硬时限",IF(K62&gt;0.000001,"超期","满足"))</x:f>
        <x:v>满足</x:v>
      </x:c>
      <x:c r="N62" s="21" t="n">
        <x:v>1</x:v>
      </x:c>
    </x:row>
    <x:row r="63" ht="28" customHeight="1">
      <x:c r="A63" s="10" t="str">
        <x:v>S009-WAT-01</x:v>
      </x:c>
      <x:c r="B63" s="10" t="str">
        <x:v>T020</x:v>
      </x:c>
      <x:c r="C63" s="10" t="str">
        <x:v>S009</x:v>
      </x:c>
      <x:c r="D63" s="16" t="n">
        <x:v>5494.388</x:v>
      </x:c>
      <x:c r="E63" s="10" t="str">
        <x:v>WAT</x:v>
      </x:c>
      <x:c r="F63" s="22" t="n">
        <x:v>8</x:v>
      </x:c>
      <x:c r="G63" s="16" t="n">
        <x:v>10800</x:v>
      </x:c>
      <x:c r="H63" s="16" t="n">
        <x:v>10800</x:v>
      </x:c>
      <x:c r="I63" s="16"/>
      <x:c r="J63" s="16" t="n">
        <x:f>MAX(0,D63-G63)</x:f>
        <x:v>0</x:v>
      </x:c>
      <x:c r="K63" s="16" t="n">
        <x:f>MAX(0,IF(ISNUMBER(H63),D63-H63,0),IF(ISNUMBER(I63),D63-I63,0))</x:f>
        <x:v>0</x:v>
      </x:c>
      <x:c r="L63" s="16" t="n">
        <x:f>F63*J63</x:f>
        <x:v>0</x:v>
      </x:c>
      <x:c r="M63" s="10" t="str">
        <x:f>IF(AND(H63="",I63=""),"无硬时限",IF(K63&gt;0.000001,"超期","满足"))</x:f>
        <x:v>满足</x:v>
      </x:c>
      <x:c r="N63" s="22" t="n">
        <x:v>2</x:v>
      </x:c>
    </x:row>
    <x:row r="64" ht="28" customHeight="1">
      <x:c r="A64" s="2" t="str">
        <x:v>S010-FOD-01</x:v>
      </x:c>
      <x:c r="B64" s="2" t="str">
        <x:v>T003</x:v>
      </x:c>
      <x:c r="C64" s="2" t="str">
        <x:v>S010</x:v>
      </x:c>
      <x:c r="D64" s="15" t="n">
        <x:v>1085.239</x:v>
      </x:c>
      <x:c r="E64" s="2" t="str">
        <x:v>FOD</x:v>
      </x:c>
      <x:c r="F64" s="21" t="n">
        <x:v>10</x:v>
      </x:c>
      <x:c r="G64" s="15" t="n">
        <x:v>7200</x:v>
      </x:c>
      <x:c r="H64" s="15"/>
      <x:c r="I64" s="15"/>
      <x:c r="J64" s="15" t="n">
        <x:f>MAX(0,D64-G64)</x:f>
        <x:v>0</x:v>
      </x:c>
      <x:c r="K64" s="15" t="n">
        <x:f>MAX(0,IF(ISNUMBER(H64),D64-H64,0),IF(ISNUMBER(I64),D64-I64,0))</x:f>
        <x:v>0</x:v>
      </x:c>
      <x:c r="L64" s="15" t="n">
        <x:f>F64*J64</x:f>
        <x:v>0</x:v>
      </x:c>
      <x:c r="M64" s="2" t="str">
        <x:f>IF(AND(H64="",I64=""),"无硬时限",IF(K64&gt;0.000001,"超期","满足"))</x:f>
        <x:v>无硬时限</x:v>
      </x:c>
      <x:c r="N64" s="21" t="n">
        <x:v>3</x:v>
      </x:c>
    </x:row>
    <x:row r="65" ht="28" customHeight="1">
      <x:c r="A65" s="10" t="str">
        <x:v>S010-MED-01</x:v>
      </x:c>
      <x:c r="B65" s="10" t="str">
        <x:v>T003</x:v>
      </x:c>
      <x:c r="C65" s="10" t="str">
        <x:v>S010</x:v>
      </x:c>
      <x:c r="D65" s="16" t="n">
        <x:v>1055.239</x:v>
      </x:c>
      <x:c r="E65" s="10" t="str">
        <x:v>MED</x:v>
      </x:c>
      <x:c r="F65" s="22" t="n">
        <x:v>24</x:v>
      </x:c>
      <x:c r="G65" s="16" t="n">
        <x:v>3600</x:v>
      </x:c>
      <x:c r="H65" s="16" t="n">
        <x:v>3600</x:v>
      </x:c>
      <x:c r="I65" s="16" t="n">
        <x:v>3600</x:v>
      </x:c>
      <x:c r="J65" s="16" t="n">
        <x:f>MAX(0,D65-G65)</x:f>
        <x:v>0</x:v>
      </x:c>
      <x:c r="K65" s="16" t="n">
        <x:f>MAX(0,IF(ISNUMBER(H65),D65-H65,0),IF(ISNUMBER(I65),D65-I65,0))</x:f>
        <x:v>0</x:v>
      </x:c>
      <x:c r="L65" s="16" t="n">
        <x:f>F65*J65</x:f>
        <x:v>0</x:v>
      </x:c>
      <x:c r="M65" s="10" t="str">
        <x:f>IF(AND(H65="",I65=""),"无硬时限",IF(K65&gt;0.000001,"超期","满足"))</x:f>
        <x:v>满足</x:v>
      </x:c>
      <x:c r="N65" s="22" t="n">
        <x:v>2</x:v>
      </x:c>
    </x:row>
    <x:row r="66" ht="28" customHeight="1">
      <x:c r="A66" s="2" t="str">
        <x:v>S010-WAT-01</x:v>
      </x:c>
      <x:c r="B66" s="2" t="str">
        <x:v>T003</x:v>
      </x:c>
      <x:c r="C66" s="2" t="str">
        <x:v>S010</x:v>
      </x:c>
      <x:c r="D66" s="15" t="n">
        <x:v>1025.239</x:v>
      </x:c>
      <x:c r="E66" s="2" t="str">
        <x:v>WAT</x:v>
      </x:c>
      <x:c r="F66" s="21" t="n">
        <x:v>12</x:v>
      </x:c>
      <x:c r="G66" s="15" t="n">
        <x:v>3600</x:v>
      </x:c>
      <x:c r="H66" s="15" t="n">
        <x:v>3600</x:v>
      </x:c>
      <x:c r="I66" s="15"/>
      <x:c r="J66" s="15" t="n">
        <x:f>MAX(0,D66-G66)</x:f>
        <x:v>0</x:v>
      </x:c>
      <x:c r="K66" s="15" t="n">
        <x:f>MAX(0,IF(ISNUMBER(H66),D66-H66,0),IF(ISNUMBER(I66),D66-I66,0))</x:f>
        <x:v>0</x:v>
      </x:c>
      <x:c r="L66" s="15" t="n">
        <x:f>F66*J66</x:f>
        <x:v>0</x:v>
      </x:c>
      <x:c r="M66" s="2" t="str">
        <x:f>IF(AND(H66="",I66=""),"无硬时限",IF(K66&gt;0.000001,"超期","满足"))</x:f>
        <x:v>满足</x:v>
      </x:c>
      <x:c r="N66" s="21" t="n">
        <x:v>1</x:v>
      </x:c>
    </x:row>
    <x:row r="67" ht="28" customHeight="1">
      <x:c r="A67" s="10" t="str">
        <x:v>S011-FOD-01</x:v>
      </x:c>
      <x:c r="B67" s="10" t="str">
        <x:v>T019</x:v>
      </x:c>
      <x:c r="C67" s="10" t="str">
        <x:v>S011</x:v>
      </x:c>
      <x:c r="D67" s="16" t="n">
        <x:v>5958.057</x:v>
      </x:c>
      <x:c r="E67" s="10" t="str">
        <x:v>FOD</x:v>
      </x:c>
      <x:c r="F67" s="22" t="n">
        <x:v>6</x:v>
      </x:c>
      <x:c r="G67" s="16" t="n">
        <x:v>14400</x:v>
      </x:c>
      <x:c r="H67" s="16"/>
      <x:c r="I67" s="16"/>
      <x:c r="J67" s="16" t="n">
        <x:f>MAX(0,D67-G67)</x:f>
        <x:v>0</x:v>
      </x:c>
      <x:c r="K67" s="16" t="n">
        <x:f>MAX(0,IF(ISNUMBER(H67),D67-H67,0),IF(ISNUMBER(I67),D67-I67,0))</x:f>
        <x:v>0</x:v>
      </x:c>
      <x:c r="L67" s="16" t="n">
        <x:f>F67*J67</x:f>
        <x:v>0</x:v>
      </x:c>
      <x:c r="M67" s="10" t="str">
        <x:f>IF(AND(H67="",I67=""),"无硬时限",IF(K67&gt;0.000001,"超期","满足"))</x:f>
        <x:v>无硬时限</x:v>
      </x:c>
      <x:c r="N67" s="22" t="n">
        <x:v>1</x:v>
      </x:c>
    </x:row>
    <x:row r="68" ht="28" customHeight="1">
      <x:c r="A68" s="2" t="str">
        <x:v>S011-MED-01</x:v>
      </x:c>
      <x:c r="B68" s="2" t="str">
        <x:v>T019</x:v>
      </x:c>
      <x:c r="C68" s="2" t="str">
        <x:v>S011</x:v>
      </x:c>
      <x:c r="D68" s="15" t="n">
        <x:v>5994.057</x:v>
      </x:c>
      <x:c r="E68" s="2" t="str">
        <x:v>MED</x:v>
      </x:c>
      <x:c r="F68" s="21" t="n">
        <x:v>16</x:v>
      </x:c>
      <x:c r="G68" s="15" t="n">
        <x:v>10800</x:v>
      </x:c>
      <x:c r="H68" s="15" t="n">
        <x:v>10800</x:v>
      </x:c>
      <x:c r="I68" s="15" t="n">
        <x:v>10800</x:v>
      </x:c>
      <x:c r="J68" s="15" t="n">
        <x:f>MAX(0,D68-G68)</x:f>
        <x:v>0</x:v>
      </x:c>
      <x:c r="K68" s="15" t="n">
        <x:f>MAX(0,IF(ISNUMBER(H68),D68-H68,0),IF(ISNUMBER(I68),D68-I68,0))</x:f>
        <x:v>0</x:v>
      </x:c>
      <x:c r="L68" s="15" t="n">
        <x:f>F68*J68</x:f>
        <x:v>0</x:v>
      </x:c>
      <x:c r="M68" s="2" t="str">
        <x:f>IF(AND(H68="",I68=""),"无硬时限",IF(K68&gt;0.000001,"超期","满足"))</x:f>
        <x:v>满足</x:v>
      </x:c>
      <x:c r="N68" s="21" t="n">
        <x:v>2</x:v>
      </x:c>
    </x:row>
    <x:row r="69" ht="28" customHeight="1">
      <x:c r="A69" s="10" t="str">
        <x:v>S011-WAT-01</x:v>
      </x:c>
      <x:c r="B69" s="10" t="str">
        <x:v>T021</x:v>
      </x:c>
      <x:c r="C69" s="10" t="str">
        <x:v>S011</x:v>
      </x:c>
      <x:c r="D69" s="16" t="n">
        <x:v>5730.376</x:v>
      </x:c>
      <x:c r="E69" s="10" t="str">
        <x:v>WAT</x:v>
      </x:c>
      <x:c r="F69" s="22" t="n">
        <x:v>8</x:v>
      </x:c>
      <x:c r="G69" s="16" t="n">
        <x:v>10800</x:v>
      </x:c>
      <x:c r="H69" s="16" t="n">
        <x:v>10800</x:v>
      </x:c>
      <x:c r="I69" s="16"/>
      <x:c r="J69" s="16" t="n">
        <x:f>MAX(0,D69-G69)</x:f>
        <x:v>0</x:v>
      </x:c>
      <x:c r="K69" s="16" t="n">
        <x:f>MAX(0,IF(ISNUMBER(H69),D69-H69,0),IF(ISNUMBER(I69),D69-I69,0))</x:f>
        <x:v>0</x:v>
      </x:c>
      <x:c r="L69" s="16" t="n">
        <x:f>F69*J69</x:f>
        <x:v>0</x:v>
      </x:c>
      <x:c r="M69" s="10" t="str">
        <x:f>IF(AND(H69="",I69=""),"无硬时限",IF(K69&gt;0.000001,"超期","满足"))</x:f>
        <x:v>满足</x:v>
      </x:c>
      <x:c r="N69" s="22" t="n">
        <x:v>1</x:v>
      </x:c>
    </x:row>
    <x:row r="70" ht="28" customHeight="1">
      <x:c r="A70" s="2" t="str">
        <x:v>S012-FOD-01</x:v>
      </x:c>
      <x:c r="B70" s="2" t="str">
        <x:v>T012</x:v>
      </x:c>
      <x:c r="C70" s="2" t="str">
        <x:v>S012</x:v>
      </x:c>
      <x:c r="D70" s="15" t="n">
        <x:v>3141.093</x:v>
      </x:c>
      <x:c r="E70" s="2" t="str">
        <x:v>FOD</x:v>
      </x:c>
      <x:c r="F70" s="21" t="n">
        <x:v>10</x:v>
      </x:c>
      <x:c r="G70" s="15" t="n">
        <x:v>7200</x:v>
      </x:c>
      <x:c r="H70" s="15"/>
      <x:c r="I70" s="15"/>
      <x:c r="J70" s="15" t="n">
        <x:f>MAX(0,D70-G70)</x:f>
        <x:v>0</x:v>
      </x:c>
      <x:c r="K70" s="15" t="n">
        <x:f>MAX(0,IF(ISNUMBER(H70),D70-H70,0),IF(ISNUMBER(I70),D70-I70,0))</x:f>
        <x:v>0</x:v>
      </x:c>
      <x:c r="L70" s="15" t="n">
        <x:f>F70*J70</x:f>
        <x:v>0</x:v>
      </x:c>
      <x:c r="M70" s="2" t="str">
        <x:f>IF(AND(H70="",I70=""),"无硬时限",IF(K70&gt;0.000001,"超期","满足"))</x:f>
        <x:v>无硬时限</x:v>
      </x:c>
      <x:c r="N70" s="21" t="n">
        <x:v>3</x:v>
      </x:c>
    </x:row>
    <x:row r="71" ht="28" customHeight="1">
      <x:c r="A71" s="10" t="str">
        <x:v>S012-MED-01</x:v>
      </x:c>
      <x:c r="B71" s="10" t="str">
        <x:v>T012</x:v>
      </x:c>
      <x:c r="C71" s="10" t="str">
        <x:v>S012</x:v>
      </x:c>
      <x:c r="D71" s="16" t="n">
        <x:v>3081.093</x:v>
      </x:c>
      <x:c r="E71" s="10" t="str">
        <x:v>MED</x:v>
      </x:c>
      <x:c r="F71" s="22" t="n">
        <x:v>22</x:v>
      </x:c>
      <x:c r="G71" s="16" t="n">
        <x:v>7200</x:v>
      </x:c>
      <x:c r="H71" s="16" t="n">
        <x:v>3600</x:v>
      </x:c>
      <x:c r="I71" s="16" t="n">
        <x:v>7200</x:v>
      </x:c>
      <x:c r="J71" s="16" t="n">
        <x:f>MAX(0,D71-G71)</x:f>
        <x:v>0</x:v>
      </x:c>
      <x:c r="K71" s="16" t="n">
        <x:f>MAX(0,IF(ISNUMBER(H71),D71-H71,0),IF(ISNUMBER(I71),D71-I71,0))</x:f>
        <x:v>0</x:v>
      </x:c>
      <x:c r="L71" s="16" t="n">
        <x:f>F71*J71</x:f>
        <x:v>0</x:v>
      </x:c>
      <x:c r="M71" s="10" t="str">
        <x:f>IF(AND(H71="",I71=""),"无硬时限",IF(K71&gt;0.000001,"超期","满足"))</x:f>
        <x:v>满足</x:v>
      </x:c>
      <x:c r="N71" s="22" t="n">
        <x:v>1</x:v>
      </x:c>
    </x:row>
    <x:row r="72" ht="28" customHeight="1">
      <x:c r="A72" s="2" t="str">
        <x:v>S012-WAT-01</x:v>
      </x:c>
      <x:c r="B72" s="2" t="str">
        <x:v>T012</x:v>
      </x:c>
      <x:c r="C72" s="2" t="str">
        <x:v>S012</x:v>
      </x:c>
      <x:c r="D72" s="15" t="n">
        <x:v>3111.093</x:v>
      </x:c>
      <x:c r="E72" s="2" t="str">
        <x:v>WAT</x:v>
      </x:c>
      <x:c r="F72" s="21" t="n">
        <x:v>12</x:v>
      </x:c>
      <x:c r="G72" s="15" t="n">
        <x:v>3600</x:v>
      </x:c>
      <x:c r="H72" s="15" t="n">
        <x:v>3600</x:v>
      </x:c>
      <x:c r="I72" s="15"/>
      <x:c r="J72" s="15" t="n">
        <x:f>MAX(0,D72-G72)</x:f>
        <x:v>0</x:v>
      </x:c>
      <x:c r="K72" s="15" t="n">
        <x:f>MAX(0,IF(ISNUMBER(H72),D72-H72,0),IF(ISNUMBER(I72),D72-I72,0))</x:f>
        <x:v>0</x:v>
      </x:c>
      <x:c r="L72" s="15" t="n">
        <x:f>F72*J72</x:f>
        <x:v>0</x:v>
      </x:c>
      <x:c r="M72" s="2" t="str">
        <x:f>IF(AND(H72="",I72=""),"无硬时限",IF(K72&gt;0.000001,"超期","满足"))</x:f>
        <x:v>满足</x:v>
      </x:c>
      <x:c r="N72" s="21" t="n">
        <x:v>2</x:v>
      </x:c>
    </x:row>
    <x:row r="73" ht="28" customHeight="1">
      <x:c r="A73" s="10" t="str">
        <x:v>S013-FOD-01</x:v>
      </x:c>
      <x:c r="B73" s="10" t="str">
        <x:v>T009</x:v>
      </x:c>
      <x:c r="C73" s="10" t="str">
        <x:v>S013</x:v>
      </x:c>
      <x:c r="D73" s="16" t="n">
        <x:v>2754.775</x:v>
      </x:c>
      <x:c r="E73" s="10" t="str">
        <x:v>FOD</x:v>
      </x:c>
      <x:c r="F73" s="22" t="n">
        <x:v>10</x:v>
      </x:c>
      <x:c r="G73" s="16" t="n">
        <x:v>7200</x:v>
      </x:c>
      <x:c r="H73" s="16"/>
      <x:c r="I73" s="16"/>
      <x:c r="J73" s="16" t="n">
        <x:f>MAX(0,D73-G73)</x:f>
        <x:v>0</x:v>
      </x:c>
      <x:c r="K73" s="16" t="n">
        <x:f>MAX(0,IF(ISNUMBER(H73),D73-H73,0),IF(ISNUMBER(I73),D73-I73,0))</x:f>
        <x:v>0</x:v>
      </x:c>
      <x:c r="L73" s="16" t="n">
        <x:f>F73*J73</x:f>
        <x:v>0</x:v>
      </x:c>
      <x:c r="M73" s="10" t="str">
        <x:f>IF(AND(H73="",I73=""),"无硬时限",IF(K73&gt;0.000001,"超期","满足"))</x:f>
        <x:v>无硬时限</x:v>
      </x:c>
      <x:c r="N73" s="22" t="n">
        <x:v>2</x:v>
      </x:c>
    </x:row>
    <x:row r="74" ht="28" customHeight="1">
      <x:c r="A74" s="2" t="str">
        <x:v>S013-MED-01</x:v>
      </x:c>
      <x:c r="B74" s="2" t="str">
        <x:v>T008</x:v>
      </x:c>
      <x:c r="C74" s="2" t="str">
        <x:v>S013</x:v>
      </x:c>
      <x:c r="D74" s="15" t="n">
        <x:v>2724.775</x:v>
      </x:c>
      <x:c r="E74" s="2" t="str">
        <x:v>MED</x:v>
      </x:c>
      <x:c r="F74" s="21" t="n">
        <x:v>24</x:v>
      </x:c>
      <x:c r="G74" s="15" t="n">
        <x:v>3600</x:v>
      </x:c>
      <x:c r="H74" s="15" t="n">
        <x:v>3600</x:v>
      </x:c>
      <x:c r="I74" s="15" t="n">
        <x:v>3600</x:v>
      </x:c>
      <x:c r="J74" s="15" t="n">
        <x:f>MAX(0,D74-G74)</x:f>
        <x:v>0</x:v>
      </x:c>
      <x:c r="K74" s="15" t="n">
        <x:f>MAX(0,IF(ISNUMBER(H74),D74-H74,0),IF(ISNUMBER(I74),D74-I74,0))</x:f>
        <x:v>0</x:v>
      </x:c>
      <x:c r="L74" s="15" t="n">
        <x:f>F74*J74</x:f>
        <x:v>0</x:v>
      </x:c>
      <x:c r="M74" s="2" t="str">
        <x:f>IF(AND(H74="",I74=""),"无硬时限",IF(K74&gt;0.000001,"超期","满足"))</x:f>
        <x:v>满足</x:v>
      </x:c>
      <x:c r="N74" s="21" t="n">
        <x:v>1</x:v>
      </x:c>
    </x:row>
    <x:row r="75" ht="28" customHeight="1">
      <x:c r="A75" s="10" t="str">
        <x:v>S013-WAT-01</x:v>
      </x:c>
      <x:c r="B75" s="10" t="str">
        <x:v>T009</x:v>
      </x:c>
      <x:c r="C75" s="10" t="str">
        <x:v>S013</x:v>
      </x:c>
      <x:c r="D75" s="16" t="n">
        <x:v>2724.775</x:v>
      </x:c>
      <x:c r="E75" s="10" t="str">
        <x:v>WAT</x:v>
      </x:c>
      <x:c r="F75" s="22" t="n">
        <x:v>12</x:v>
      </x:c>
      <x:c r="G75" s="16" t="n">
        <x:v>3600</x:v>
      </x:c>
      <x:c r="H75" s="16" t="n">
        <x:v>3600</x:v>
      </x:c>
      <x:c r="I75" s="16"/>
      <x:c r="J75" s="16" t="n">
        <x:f>MAX(0,D75-G75)</x:f>
        <x:v>0</x:v>
      </x:c>
      <x:c r="K75" s="16" t="n">
        <x:f>MAX(0,IF(ISNUMBER(H75),D75-H75,0),IF(ISNUMBER(I75),D75-I75,0))</x:f>
        <x:v>0</x:v>
      </x:c>
      <x:c r="L75" s="16" t="n">
        <x:f>F75*J75</x:f>
        <x:v>0</x:v>
      </x:c>
      <x:c r="M75" s="10" t="str">
        <x:f>IF(AND(H75="",I75=""),"无硬时限",IF(K75&gt;0.000001,"超期","满足"))</x:f>
        <x:v>满足</x:v>
      </x:c>
      <x:c r="N75" s="22" t="n">
        <x:v>1</x:v>
      </x:c>
    </x:row>
    <x:row r="76" ht="28" customHeight="1">
      <x:c r="A76" s="2" t="str">
        <x:v>S014-FOD-01</x:v>
      </x:c>
      <x:c r="B76" s="2" t="str">
        <x:v>T002</x:v>
      </x:c>
      <x:c r="C76" s="2" t="str">
        <x:v>S014</x:v>
      </x:c>
      <x:c r="D76" s="15" t="n">
        <x:v>1242.431</x:v>
      </x:c>
      <x:c r="E76" s="2" t="str">
        <x:v>FOD</x:v>
      </x:c>
      <x:c r="F76" s="21" t="n">
        <x:v>10</x:v>
      </x:c>
      <x:c r="G76" s="15" t="n">
        <x:v>7200</x:v>
      </x:c>
      <x:c r="H76" s="15"/>
      <x:c r="I76" s="15"/>
      <x:c r="J76" s="15" t="n">
        <x:f>MAX(0,D76-G76)</x:f>
        <x:v>0</x:v>
      </x:c>
      <x:c r="K76" s="15" t="n">
        <x:f>MAX(0,IF(ISNUMBER(H76),D76-H76,0),IF(ISNUMBER(I76),D76-I76,0))</x:f>
        <x:v>0</x:v>
      </x:c>
      <x:c r="L76" s="15" t="n">
        <x:f>F76*J76</x:f>
        <x:v>0</x:v>
      </x:c>
      <x:c r="M76" s="2" t="str">
        <x:f>IF(AND(H76="",I76=""),"无硬时限",IF(K76&gt;0.000001,"超期","满足"))</x:f>
        <x:v>无硬时限</x:v>
      </x:c>
      <x:c r="N76" s="21" t="n">
        <x:v>3</x:v>
      </x:c>
    </x:row>
    <x:row r="77" ht="28" customHeight="1">
      <x:c r="A77" s="10" t="str">
        <x:v>S014-MED-01</x:v>
      </x:c>
      <x:c r="B77" s="10" t="str">
        <x:v>T002</x:v>
      </x:c>
      <x:c r="C77" s="10" t="str">
        <x:v>S014</x:v>
      </x:c>
      <x:c r="D77" s="16" t="n">
        <x:v>1182.431</x:v>
      </x:c>
      <x:c r="E77" s="10" t="str">
        <x:v>MED</x:v>
      </x:c>
      <x:c r="F77" s="22" t="n">
        <x:v>22</x:v>
      </x:c>
      <x:c r="G77" s="16" t="n">
        <x:v>7200</x:v>
      </x:c>
      <x:c r="H77" s="16" t="n">
        <x:v>3600</x:v>
      </x:c>
      <x:c r="I77" s="16" t="n">
        <x:v>7200</x:v>
      </x:c>
      <x:c r="J77" s="16" t="n">
        <x:f>MAX(0,D77-G77)</x:f>
        <x:v>0</x:v>
      </x:c>
      <x:c r="K77" s="16" t="n">
        <x:f>MAX(0,IF(ISNUMBER(H77),D77-H77,0),IF(ISNUMBER(I77),D77-I77,0))</x:f>
        <x:v>0</x:v>
      </x:c>
      <x:c r="L77" s="16" t="n">
        <x:f>F77*J77</x:f>
        <x:v>0</x:v>
      </x:c>
      <x:c r="M77" s="10" t="str">
        <x:f>IF(AND(H77="",I77=""),"无硬时限",IF(K77&gt;0.000001,"超期","满足"))</x:f>
        <x:v>满足</x:v>
      </x:c>
      <x:c r="N77" s="22" t="n">
        <x:v>1</x:v>
      </x:c>
    </x:row>
    <x:row r="78" ht="28" customHeight="1">
      <x:c r="A78" s="2" t="str">
        <x:v>S014-WAT-01</x:v>
      </x:c>
      <x:c r="B78" s="2" t="str">
        <x:v>T002</x:v>
      </x:c>
      <x:c r="C78" s="2" t="str">
        <x:v>S014</x:v>
      </x:c>
      <x:c r="D78" s="15" t="n">
        <x:v>1212.431</x:v>
      </x:c>
      <x:c r="E78" s="2" t="str">
        <x:v>WAT</x:v>
      </x:c>
      <x:c r="F78" s="21" t="n">
        <x:v>12</x:v>
      </x:c>
      <x:c r="G78" s="15" t="n">
        <x:v>3600</x:v>
      </x:c>
      <x:c r="H78" s="15" t="n">
        <x:v>3600</x:v>
      </x:c>
      <x:c r="I78" s="15"/>
      <x:c r="J78" s="15" t="n">
        <x:f>MAX(0,D78-G78)</x:f>
        <x:v>0</x:v>
      </x:c>
      <x:c r="K78" s="15" t="n">
        <x:f>MAX(0,IF(ISNUMBER(H78),D78-H78,0),IF(ISNUMBER(I78),D78-I78,0))</x:f>
        <x:v>0</x:v>
      </x:c>
      <x:c r="L78" s="15" t="n">
        <x:f>F78*J78</x:f>
        <x:v>0</x:v>
      </x:c>
      <x:c r="M78" s="2" t="str">
        <x:f>IF(AND(H78="",I78=""),"无硬时限",IF(K78&gt;0.000001,"超期","满足"))</x:f>
        <x:v>满足</x:v>
      </x:c>
      <x:c r="N78" s="21" t="n">
        <x:v>2</x:v>
      </x:c>
    </x:row>
    <x:row r="79" ht="28" customHeight="1">
      <x:c r="A79" s="10" t="str">
        <x:v>S015-FOD-01</x:v>
      </x:c>
      <x:c r="B79" s="10" t="str">
        <x:v>T018</x:v>
      </x:c>
      <x:c r="C79" s="10" t="str">
        <x:v>S015</x:v>
      </x:c>
      <x:c r="D79" s="16" t="n">
        <x:v>5201.8</x:v>
      </x:c>
      <x:c r="E79" s="10" t="str">
        <x:v>FOD</x:v>
      </x:c>
      <x:c r="F79" s="22" t="n">
        <x:v>6</x:v>
      </x:c>
      <x:c r="G79" s="16" t="n">
        <x:v>14400</x:v>
      </x:c>
      <x:c r="H79" s="16"/>
      <x:c r="I79" s="16"/>
      <x:c r="J79" s="16" t="n">
        <x:f>MAX(0,D79-G79)</x:f>
        <x:v>0</x:v>
      </x:c>
      <x:c r="K79" s="16" t="n">
        <x:f>MAX(0,IF(ISNUMBER(H79),D79-H79,0),IF(ISNUMBER(I79),D79-I79,0))</x:f>
        <x:v>0</x:v>
      </x:c>
      <x:c r="L79" s="16" t="n">
        <x:f>F79*J79</x:f>
        <x:v>0</x:v>
      </x:c>
      <x:c r="M79" s="10" t="str">
        <x:f>IF(AND(H79="",I79=""),"无硬时限",IF(K79&gt;0.000001,"超期","满足"))</x:f>
        <x:v>无硬时限</x:v>
      </x:c>
      <x:c r="N79" s="22" t="n">
        <x:v>1</x:v>
      </x:c>
    </x:row>
    <x:row r="80" ht="28" customHeight="1">
      <x:c r="A80" s="2" t="str">
        <x:v>S015-MED-01</x:v>
      </x:c>
      <x:c r="B80" s="2" t="str">
        <x:v>T015</x:v>
      </x:c>
      <x:c r="C80" s="2" t="str">
        <x:v>S015</x:v>
      </x:c>
      <x:c r="D80" s="15" t="n">
        <x:v>5175.906</x:v>
      </x:c>
      <x:c r="E80" s="2" t="str">
        <x:v>MED</x:v>
      </x:c>
      <x:c r="F80" s="21" t="n">
        <x:v>18</x:v>
      </x:c>
      <x:c r="G80" s="15" t="n">
        <x:v>7200</x:v>
      </x:c>
      <x:c r="H80" s="15" t="n">
        <x:v>7200</x:v>
      </x:c>
      <x:c r="I80" s="15" t="n">
        <x:v>7200</x:v>
      </x:c>
      <x:c r="J80" s="15" t="n">
        <x:f>MAX(0,D80-G80)</x:f>
        <x:v>0</x:v>
      </x:c>
      <x:c r="K80" s="15" t="n">
        <x:f>MAX(0,IF(ISNUMBER(H80),D80-H80,0),IF(ISNUMBER(I80),D80-I80,0))</x:f>
        <x:v>0</x:v>
      </x:c>
      <x:c r="L80" s="15" t="n">
        <x:f>F80*J80</x:f>
        <x:v>0</x:v>
      </x:c>
      <x:c r="M80" s="2" t="str">
        <x:f>IF(AND(H80="",I80=""),"无硬时限",IF(K80&gt;0.000001,"超期","满足"))</x:f>
        <x:v>满足</x:v>
      </x:c>
      <x:c r="N80" s="21" t="n">
        <x:v>1</x:v>
      </x:c>
    </x:row>
    <x:row r="81" ht="28" customHeight="1">
      <x:c r="A81" s="10" t="str">
        <x:v>S015-WAT-01</x:v>
      </x:c>
      <x:c r="B81" s="10" t="str">
        <x:v>T018</x:v>
      </x:c>
      <x:c r="C81" s="10" t="str">
        <x:v>S015</x:v>
      </x:c>
      <x:c r="D81" s="16" t="n">
        <x:v>5231.8</x:v>
      </x:c>
      <x:c r="E81" s="10" t="str">
        <x:v>WAT</x:v>
      </x:c>
      <x:c r="F81" s="22" t="n">
        <x:v>8</x:v>
      </x:c>
      <x:c r="G81" s="16" t="n">
        <x:v>10800</x:v>
      </x:c>
      <x:c r="H81" s="16" t="n">
        <x:v>10800</x:v>
      </x:c>
      <x:c r="I81" s="16"/>
      <x:c r="J81" s="16" t="n">
        <x:f>MAX(0,D81-G81)</x:f>
        <x:v>0</x:v>
      </x:c>
      <x:c r="K81" s="16" t="n">
        <x:f>MAX(0,IF(ISNUMBER(H81),D81-H81,0),IF(ISNUMBER(I81),D81-I81,0))</x:f>
        <x:v>0</x:v>
      </x:c>
      <x:c r="L81" s="16" t="n">
        <x:f>F81*J81</x:f>
        <x:v>0</x:v>
      </x:c>
      <x:c r="M81" s="10" t="str">
        <x:f>IF(AND(H81="",I81=""),"无硬时限",IF(K81&gt;0.000001,"超期","满足"))</x:f>
        <x:v>满足</x:v>
      </x:c>
      <x:c r="N81" s="22" t="n">
        <x:v>2</x:v>
      </x:c>
    </x:row>
  </x:sheetData>
  <x:conditionalFormatting sqref="M2:M81">
    <x:cfRule type="containsText" dxfId="0" priority="1" operator="containsText" text="超期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.5" hidden="0" customWidth="1"/>
    <x:col min="2" max="2" width="14.380000114440918" hidden="0" customWidth="1"/>
    <x:col min="3" max="3" width="13.75" hidden="0" customWidth="1"/>
    <x:col min="4" max="4" width="15.75" hidden="0" customWidth="1"/>
    <x:col min="5" max="5" width="17.3799991607666" hidden="0" customWidth="1"/>
    <x:col min="6" max="6" width="17.3799991607666" hidden="0" customWidth="1"/>
    <x:col min="7" max="7" width="17.3799991607666" hidden="0" customWidth="1"/>
    <x:col min="8" max="8" width="18.8799991607666" hidden="0" customWidth="1"/>
    <x:col min="9" max="9" width="18.1299991607666" hidden="0" customWidth="1"/>
    <x:col min="10" max="10" width="18.75" hidden="0" customWidth="1"/>
    <x:col min="11" max="11" width="17.6299991607666" hidden="0" customWidth="1"/>
    <x:col min="12" max="12" width="12.5" hidden="0" customWidth="1"/>
    <x:col min="13" max="13" width="17.75" hidden="0" customWidth="1"/>
    <x:col min="14" max="14" width="17.3799991607666" hidden="0" customWidth="1"/>
    <x:col min="15" max="15" width="16.75" hidden="0" customWidth="1"/>
    <x:col min="16" max="16" width="18.8799991607666" hidden="0" customWidth="1"/>
    <x:col min="17" max="17" width="20.6299991607666" hidden="0" customWidth="1"/>
    <x:col min="18" max="18" width="17.3799991607666" hidden="0" customWidth="1"/>
    <x:col min="19" max="19" width="21.5" hidden="0" customWidth="1"/>
    <x:col min="20" max="20" width="22.5" hidden="0" customWidth="1"/>
    <x:col min="21" max="21" width="21.5" hidden="0" customWidth="1"/>
  </x:cols>
  <x:sheetData>
    <x:row r="1" ht="48" customHeight="1">
      <x:c r="A1" s="7" t="str">
        <x:v>中继架次编号</x:v>
      </x:c>
      <x:c r="B1" s="8" t="str">
        <x:v>中继无人机编号</x:v>
      </x:c>
      <x:c r="C1" s="8" t="str">
        <x:v>能源组件编号</x:v>
      </x:c>
      <x:c r="D1" s="8" t="str">
        <x:v>开始时刻（s）</x:v>
      </x:c>
      <x:c r="E1" s="8" t="str">
        <x:v>悬停经度（°）</x:v>
      </x:c>
      <x:c r="F1" s="8" t="str">
        <x:v>悬停纬度（°）</x:v>
      </x:c>
      <x:c r="G1" s="8" t="str">
        <x:v>悬停海拔（m）</x:v>
      </x:c>
      <x:c r="H1" s="8" t="str">
        <x:v>建链完成时刻（s）</x:v>
      </x:c>
      <x:c r="I1" s="8" t="str">
        <x:v>服务结束时刻（s）</x:v>
      </x:c>
      <x:c r="J1" s="8" t="str">
        <x:v>返回O01时刻（s）</x:v>
      </x:c>
      <x:c r="K1" s="8" t="str">
        <x:v>架次能耗（kWh）</x:v>
      </x:c>
      <x:c r="L1" s="8" t="str">
        <x:v>站点编号</x:v>
      </x:c>
      <x:c r="M1" s="8" t="str">
        <x:v>悬停离地（m）</x:v>
      </x:c>
      <x:c r="N1" s="8" t="str">
        <x:v>地面高程（m）</x:v>
      </x:c>
      <x:c r="O1" s="8" t="str">
        <x:v>返航SOC（%）</x:v>
      </x:c>
      <x:c r="P1" s="8" t="str">
        <x:v>周转后释放（s）</x:v>
      </x:c>
      <x:c r="Q1" s="8" t="str">
        <x:v>能源充满时刻（s）</x:v>
      </x:c>
      <x:c r="R1" s="8" t="str">
        <x:v>回传裕量（dB）</x:v>
      </x:c>
      <x:c r="S1" s="8" t="str">
        <x:v>评分用整数能耗</x:v>
      </x:c>
      <x:c r="T1" s="8" t="str">
        <x:v>往返与建链能耗（kWh）</x:v>
      </x:c>
      <x:c r="U1" s="9" t="str">
        <x:v>悬停与通信功率（W）</x:v>
      </x:c>
    </x:row>
    <x:row r="2" ht="28" customHeight="1">
      <x:c r="A2" s="2" t="str">
        <x:v>R001</x:v>
      </x:c>
      <x:c r="B2" s="2" t="str">
        <x:v>R01</x:v>
      </x:c>
      <x:c r="C2" s="2" t="str">
        <x:v>RE01</x:v>
      </x:c>
      <x:c r="D2" s="15" t="n">
        <x:v>194.652</x:v>
      </x:c>
      <x:c r="E2" s="17" t="n">
        <x:v>109.26499267612326</x:v>
      </x:c>
      <x:c r="F2" s="17" t="n">
        <x:v>23.003994587931686</x:v>
      </x:c>
      <x:c r="G2" s="15" t="n">
        <x:v>396.22698974609375</x:v>
      </x:c>
      <x:c r="H2" s="15" t="n">
        <x:v>725.4</x:v>
      </x:c>
      <x:c r="I2" s="15" t="n">
        <x:v>1503.399</x:v>
      </x:c>
      <x:c r="J2" s="15" t="n">
        <x:v>1846.524</x:v>
      </x:c>
      <x:c r="K2" s="17" t="n">
        <x:f>T2+ROUND((I2-H2)*1000,0)*U2/3600000000</x:f>
        <x:v>0.4268116342539809</x:v>
      </x:c>
      <x:c r="L2" s="2" t="str">
        <x:v>H0720</x:v>
      </x:c>
      <x:c r="M2" s="15" t="n">
        <x:v>100</x:v>
      </x:c>
      <x:c r="N2" s="15" t="n">
        <x:v>296.22698974609375</x:v>
      </x:c>
      <x:c r="O2" s="15" t="n">
        <x:v>86.66213642956309</x:v>
      </x:c>
      <x:c r="P2" s="15" t="n">
        <x:v>2146.524</x:v>
      </x:c>
      <x:c r="Q2" s="15" t="n">
        <x:v>2519.91622641568</x:v>
      </x:c>
      <x:c r="R2" s="27" t="n">
        <x:v>4.955268290456203</x:v>
      </x:c>
      <x:c r="S2" s="21" t="n">
        <x:f>ROUNDUP(T2*1000000000,0)+INT((ROUND(U2,0)*ROUND((I2-H2)*1000,0)*10+35)/36)</x:f>
        <x:v>426811635</x:v>
      </x:c>
      <x:c r="T2" s="25" t="n">
        <x:v>0.18908971758731422</x:v>
      </x:c>
      <x:c r="U2" s="21" t="n">
        <x:v>1100</x:v>
      </x:c>
    </x:row>
    <x:row r="3" ht="28" customHeight="1">
      <x:c r="A3" s="10" t="str">
        <x:v>R002</x:v>
      </x:c>
      <x:c r="B3" s="10" t="str">
        <x:v>R02</x:v>
      </x:c>
      <x:c r="C3" s="10" t="str">
        <x:v>RE02</x:v>
      </x:c>
      <x:c r="D3" s="16" t="n">
        <x:v>1571.428</x:v>
      </x:c>
      <x:c r="E3" s="18" t="n">
        <x:v>109.26499267612326</x:v>
      </x:c>
      <x:c r="F3" s="18" t="n">
        <x:v>23.058173532751443</x:v>
      </x:c>
      <x:c r="G3" s="16" t="n">
        <x:v>558.3987121582031</x:v>
      </x:c>
      <x:c r="H3" s="16" t="n">
        <x:v>2323.717</x:v>
      </x:c>
      <x:c r="I3" s="16" t="n">
        <x:v>3600.806</x:v>
      </x:c>
      <x:c r="J3" s="16" t="n">
        <x:v>4178.986</x:v>
      </x:c>
      <x:c r="K3" s="18" t="n">
        <x:f>T3+ROUND((I3-H3)*1000,0)*U3/3600000000</x:f>
        <x:v>0.7153517185129818</x:v>
      </x:c>
      <x:c r="L3" s="10" t="str">
        <x:v>Lb4de9ea10b</x:v>
      </x:c>
      <x:c r="M3" s="16" t="n">
        <x:v>275</x:v>
      </x:c>
      <x:c r="N3" s="16" t="n">
        <x:v>283.3987121582031</x:v>
      </x:c>
      <x:c r="O3" s="16" t="n">
        <x:v>77.64525879646932</x:v>
      </x:c>
      <x:c r="P3" s="16" t="n">
        <x:v>4478.986</x:v>
      </x:c>
      <x:c r="Q3" s="16" t="n">
        <x:v>4969.597635645899</x:v>
      </x:c>
      <x:c r="R3" s="28" t="n">
        <x:v>9.644683757105582</x:v>
      </x:c>
      <x:c r="S3" s="22" t="n">
        <x:f>ROUNDUP(T3*1000000000,0)+INT((ROUND(U3,0)*ROUND((I3-H3)*1000,0)*10+35)/36)</x:f>
        <x:v>715351719</x:v>
      </x:c>
      <x:c r="T3" s="26" t="n">
        <x:v>0.325130079624093</x:v>
      </x:c>
      <x:c r="U3" s="22" t="n">
        <x:v>1100</x:v>
      </x:c>
    </x:row>
    <x:row r="4" ht="28" customHeight="1">
      <x:c r="A4" s="2" t="str">
        <x:v>R003</x:v>
      </x:c>
      <x:c r="B4" s="2" t="str">
        <x:v>R01</x:v>
      </x:c>
      <x:c r="C4" s="2" t="str">
        <x:v>RE03</x:v>
      </x:c>
      <x:c r="D4" s="15" t="n">
        <x:v>2345.282</x:v>
      </x:c>
      <x:c r="E4" s="17" t="n">
        <x:v>109.20158800618006</x:v>
      </x:c>
      <x:c r="F4" s="17" t="n">
        <x:v>23.03559897240988</x:v>
      </x:c>
      <x:c r="G4" s="15" t="n">
        <x:v>682.0690307617188</x:v>
      </x:c>
      <x:c r="H4" s="15" t="n">
        <x:v>2976.717</x:v>
      </x:c>
      <x:c r="I4" s="15" t="n">
        <x:v>6144.651</x:v>
      </x:c>
      <x:c r="J4" s="15" t="n">
        <x:v>6612.284</x:v>
      </x:c>
      <x:c r="K4" s="17" t="n">
        <x:f>T4+ROUND((I4-H4)*1000,0)*U4/3600000000</x:f>
        <x:v>1.2071408494068963</x:v>
      </x:c>
      <x:c r="L4" s="2" t="str">
        <x:v>Lc8e7c66768</x:v>
      </x:c>
      <x:c r="M4" s="15" t="n">
        <x:v>275</x:v>
      </x:c>
      <x:c r="N4" s="15" t="n">
        <x:v>407.06903076171875</x:v>
      </x:c>
      <x:c r="O4" s="15" t="n">
        <x:v>62.27684845603449</x:v>
      </x:c>
      <x:c r="P4" s="15" t="n">
        <x:v>6912.284</x:v>
      </x:c>
      <x:c r="Q4" s="15" t="n">
        <x:v>7602.684970071551</x:v>
      </x:c>
      <x:c r="R4" s="27" t="n">
        <x:v>3.3246948262537614</x:v>
      </x:c>
      <x:c r="S4" s="21" t="n">
        <x:f>ROUNDUP(T4*1000000000,0)+INT((ROUND(U4,0)*ROUND((I4-H4)*1000,0)*10+35)/36)</x:f>
        <x:v>1207140851</x:v>
      </x:c>
      <x:c r="T4" s="25" t="n">
        <x:v>0.23916101607356294</x:v>
      </x:c>
      <x:c r="U4" s="21" t="n">
        <x:v>1100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8.1299991607666" hidden="0" customWidth="1"/>
    <x:col min="4" max="4" width="18.1299991607666" hidden="0" customWidth="1"/>
    <x:col min="5" max="5" width="28.75" hidden="0" customWidth="1"/>
    <x:col min="6" max="6" width="15.25" hidden="0" customWidth="1"/>
    <x:col min="7" max="7" width="20.6299991607666" hidden="0" customWidth="1"/>
    <x:col min="8" max="8" width="31.25" hidden="0" customWidth="1"/>
    <x:col min="9" max="9" width="20" hidden="0" customWidth="1"/>
    <x:col min="10" max="10" width="18.75" hidden="0" customWidth="1"/>
  </x:cols>
  <x:sheetData>
    <x:row r="1" ht="48" customHeight="1">
      <x:c r="A1" s="7" t="str">
        <x:v>运输架次编号</x:v>
      </x:c>
      <x:c r="B1" s="8" t="str">
        <x:v>通信阶段</x:v>
      </x:c>
      <x:c r="C1" s="8" t="str">
        <x:v>开始时刻（s）</x:v>
      </x:c>
      <x:c r="D1" s="8" t="str">
        <x:v>结束时刻（s）</x:v>
      </x:c>
      <x:c r="E1" s="8" t="str">
        <x:v>保障方式</x:v>
      </x:c>
      <x:c r="F1" s="8" t="str">
        <x:v>中继架次编号</x:v>
      </x:c>
      <x:c r="G1" s="8" t="str">
        <x:v>任务航段</x:v>
      </x:c>
      <x:c r="H1" s="8" t="str">
        <x:v>连续认证方式</x:v>
      </x:c>
      <x:c r="I1" s="8" t="str">
        <x:v>最低证书裕量（dB）</x:v>
      </x:c>
      <x:c r="J1" s="9" t="str">
        <x:v>合并原始区间数</x:v>
      </x:c>
    </x:row>
    <x:row r="2" ht="28" customHeight="1">
      <x:c r="A2" s="2" t="str">
        <x:v>T001</x:v>
      </x:c>
      <x:c r="B2" s="2" t="str">
        <x:v>爬升</x:v>
      </x:c>
      <x:c r="C2" s="17" t="n">
        <x:v>360</x:v>
      </x:c>
      <x:c r="D2" s="17" t="n">
        <x:v>439.4659464518229</x:v>
      </x:c>
      <x:c r="E2" s="2" t="str">
        <x:v>直连</x:v>
      </x:c>
      <x:c r="F2" s="2" t="str"/>
      <x:c r="G2" s="2" t="str">
        <x:v>O01→S006</x:v>
      </x:c>
      <x:c r="H2" s="2" t="str">
        <x:v>最坏遮挡距离界</x:v>
      </x:c>
      <x:c r="I2" s="17" t="n">
        <x:v>25.16080841557533</x:v>
      </x:c>
      <x:c r="J2" s="21" t="n">
        <x:v>1</x:v>
      </x:c>
    </x:row>
    <x:row r="3" ht="28" customHeight="1">
      <x:c r="A3" s="10" t="str">
        <x:v>T001</x:v>
      </x:c>
      <x:c r="B3" s="10" t="str">
        <x:v>巡航</x:v>
      </x:c>
      <x:c r="C3" s="18" t="n">
        <x:v>439.4659464518229</x:v>
      </x:c>
      <x:c r="D3" s="18" t="n">
        <x:v>704.9825174810596</x:v>
      </x:c>
      <x:c r="E3" s="10" t="str">
        <x:v>直连</x:v>
      </x:c>
      <x:c r="F3" s="10" t="str"/>
      <x:c r="G3" s="10" t="str">
        <x:v>O01→S006</x:v>
      </x:c>
      <x:c r="H3" s="10" t="str">
        <x:v>最坏遮挡距离界</x:v>
      </x:c>
      <x:c r="I3" s="18" t="n">
        <x:v>1.8599604785582073</x:v>
      </x:c>
      <x:c r="J3" s="22" t="n">
        <x:v>1</x:v>
      </x:c>
    </x:row>
    <x:row r="4" ht="28" customHeight="1">
      <x:c r="A4" s="2" t="str">
        <x:v>T001</x:v>
      </x:c>
      <x:c r="B4" s="2" t="str">
        <x:v>下降</x:v>
      </x:c>
      <x:c r="C4" s="17" t="n">
        <x:v>704.9825174810596</x:v>
      </x:c>
      <x:c r="D4" s="17" t="n">
        <x:v>725.5016532232471</x:v>
      </x:c>
      <x:c r="E4" s="2" t="str">
        <x:v>直连</x:v>
      </x:c>
      <x:c r="F4" s="2" t="str"/>
      <x:c r="G4" s="2" t="str">
        <x:v>O01→S006</x:v>
      </x:c>
      <x:c r="H4" s="2" t="str">
        <x:v>最坏遮挡距离界</x:v>
      </x:c>
      <x:c r="I4" s="17" t="n">
        <x:v>1.8599604785582073</x:v>
      </x:c>
      <x:c r="J4" s="21" t="n">
        <x:v>1</x:v>
      </x:c>
    </x:row>
    <x:row r="5" ht="28" customHeight="1">
      <x:c r="A5" s="10" t="str">
        <x:v>T001</x:v>
      </x:c>
      <x:c r="B5" s="10" t="str">
        <x:v>量化等待</x:v>
      </x:c>
      <x:c r="C5" s="18" t="n">
        <x:v>725.5016532232471</x:v>
      </x:c>
      <x:c r="D5" s="18" t="n">
        <x:v>725.502</x:v>
      </x:c>
      <x:c r="E5" s="10" t="str">
        <x:v>直连</x:v>
      </x:c>
      <x:c r="F5" s="10" t="str"/>
      <x:c r="G5" s="10" t="str">
        <x:v>O01→S006</x:v>
      </x:c>
      <x:c r="H5" s="10" t="str">
        <x:v>最坏遮挡距离界</x:v>
      </x:c>
      <x:c r="I5" s="18" t="n">
        <x:v>1.8683888800624544</x:v>
      </x:c>
      <x:c r="J5" s="22" t="n">
        <x:v>1</x:v>
      </x:c>
    </x:row>
    <x:row r="6" ht="28" customHeight="1">
      <x:c r="A6" s="2" t="str">
        <x:v>T001</x:v>
      </x:c>
      <x:c r="B6" s="2" t="str">
        <x:v>投送</x:v>
      </x:c>
      <x:c r="C6" s="17" t="n">
        <x:v>725.502</x:v>
      </x:c>
      <x:c r="D6" s="17" t="n">
        <x:v>935.502</x:v>
      </x:c>
      <x:c r="E6" s="2" t="str">
        <x:v>直连</x:v>
      </x:c>
      <x:c r="F6" s="2" t="str"/>
      <x:c r="G6" s="2" t="str">
        <x:v>S006→S006</x:v>
      </x:c>
      <x:c r="H6" s="2" t="str">
        <x:v>最坏遮挡距离界</x:v>
      </x:c>
      <x:c r="I6" s="17" t="n">
        <x:v>1.8683888800624544</x:v>
      </x:c>
      <x:c r="J6" s="21" t="n">
        <x:v>1</x:v>
      </x:c>
    </x:row>
    <x:row r="7" ht="28" customHeight="1">
      <x:c r="A7" s="10" t="str">
        <x:v>T001</x:v>
      </x:c>
      <x:c r="B7" s="10" t="str">
        <x:v>爬升</x:v>
      </x:c>
      <x:c r="C7" s="18" t="n">
        <x:v>935.502</x:v>
      </x:c>
      <x:c r="D7" s="18" t="n">
        <x:v>952.6012797851562</x:v>
      </x:c>
      <x:c r="E7" s="10" t="str">
        <x:v>直连</x:v>
      </x:c>
      <x:c r="F7" s="10" t="str"/>
      <x:c r="G7" s="10" t="str">
        <x:v>S006→O01</x:v>
      </x:c>
      <x:c r="H7" s="10" t="str">
        <x:v>最坏遮挡距离界</x:v>
      </x:c>
      <x:c r="I7" s="18" t="n">
        <x:v>1.8599604785582073</x:v>
      </x:c>
      <x:c r="J7" s="22" t="n">
        <x:v>1</x:v>
      </x:c>
    </x:row>
    <x:row r="8" ht="28" customHeight="1">
      <x:c r="A8" s="2" t="str">
        <x:v>T001</x:v>
      </x:c>
      <x:c r="B8" s="2" t="str">
        <x:v>巡航</x:v>
      </x:c>
      <x:c r="C8" s="17" t="n">
        <x:v>952.6012797851562</x:v>
      </x:c>
      <x:c r="D8" s="17" t="n">
        <x:v>1218.1178508143928</x:v>
      </x:c>
      <x:c r="E8" s="2" t="str">
        <x:v>直连</x:v>
      </x:c>
      <x:c r="F8" s="2" t="str"/>
      <x:c r="G8" s="2" t="str">
        <x:v>S006→O01</x:v>
      </x:c>
      <x:c r="H8" s="2" t="str">
        <x:v>最坏遮挡距离界</x:v>
      </x:c>
      <x:c r="I8" s="17" t="n">
        <x:v>1.8599604785582073</x:v>
      </x:c>
      <x:c r="J8" s="21" t="n">
        <x:v>1</x:v>
      </x:c>
    </x:row>
    <x:row r="9" ht="28" customHeight="1">
      <x:c r="A9" s="10" t="str">
        <x:v>T001</x:v>
      </x:c>
      <x:c r="B9" s="10" t="str">
        <x:v>下降</x:v>
      </x:c>
      <x:c r="C9" s="18" t="n">
        <x:v>1218.1178508143928</x:v>
      </x:c>
      <x:c r="D9" s="18" t="n">
        <x:v>1313.4769865565804</x:v>
      </x:c>
      <x:c r="E9" s="10" t="str">
        <x:v>直连</x:v>
      </x:c>
      <x:c r="F9" s="10" t="str"/>
      <x:c r="G9" s="10" t="str">
        <x:v>S006→O01</x:v>
      </x:c>
      <x:c r="H9" s="10" t="str">
        <x:v>最坏遮挡距离界</x:v>
      </x:c>
      <x:c r="I9" s="18" t="n">
        <x:v>25.16080841557533</x:v>
      </x:c>
      <x:c r="J9" s="22" t="n">
        <x:v>1</x:v>
      </x:c>
    </x:row>
    <x:row r="10" ht="28" customHeight="1">
      <x:c r="A10" s="2" t="str">
        <x:v>T001</x:v>
      </x:c>
      <x:c r="B10" s="2" t="str">
        <x:v>量化等待</x:v>
      </x:c>
      <x:c r="C10" s="17" t="n">
        <x:v>1313.4769865565804</x:v>
      </x:c>
      <x:c r="D10" s="17" t="n">
        <x:v>1313.477</x:v>
      </x:c>
      <x:c r="E10" s="2" t="str">
        <x:v>直连</x:v>
      </x:c>
      <x:c r="F10" s="2" t="str"/>
      <x:c r="G10" s="2" t="str">
        <x:v>S006→O01</x:v>
      </x:c>
      <x:c r="H10" s="2" t="str">
        <x:v>最坏遮挡距离界</x:v>
      </x:c>
      <x:c r="I10" s="17" t="n">
        <x:v>45.925175252488266</x:v>
      </x:c>
      <x:c r="J10" s="21" t="n">
        <x:v>1</x:v>
      </x:c>
    </x:row>
    <x:row r="11" ht="28" customHeight="1">
      <x:c r="A11" s="10" t="str">
        <x:v>T002</x:v>
      </x:c>
      <x:c r="B11" s="10" t="str">
        <x:v>爬升</x:v>
      </x:c>
      <x:c r="C11" s="18" t="n">
        <x:v>390</x:v>
      </x:c>
      <x:c r="D11" s="18" t="n">
        <x:v>544.7491292317709</x:v>
      </x:c>
      <x:c r="E11" s="10" t="str">
        <x:v>直连</x:v>
      </x:c>
      <x:c r="F11" s="10" t="str"/>
      <x:c r="G11" s="10" t="str">
        <x:v>O01→S014</x:v>
      </x:c>
      <x:c r="H11" s="10" t="str">
        <x:v>最坏遮挡距离界</x:v>
      </x:c>
      <x:c r="I11" s="18" t="n">
        <x:v>18.993277511644692</x:v>
      </x:c>
      <x:c r="J11" s="22" t="n">
        <x:v>1</x:v>
      </x:c>
    </x:row>
    <x:row r="12" ht="28" customHeight="1">
      <x:c r="A12" s="2" t="str">
        <x:v>T002</x:v>
      </x:c>
      <x:c r="B12" s="2" t="str">
        <x:v>巡航</x:v>
      </x:c>
      <x:c r="C12" s="17" t="n">
        <x:v>544.7491292317709</x:v>
      </x:c>
      <x:c r="D12" s="17" t="n">
        <x:v>725.4003392298291</x:v>
      </x:c>
      <x:c r="E12" s="2" t="str">
        <x:v>直连</x:v>
      </x:c>
      <x:c r="F12" s="2" t="str"/>
      <x:c r="G12" s="2" t="str">
        <x:v>O01→S014</x:v>
      </x:c>
      <x:c r="H12" s="2" t="str">
        <x:v>最坏遮挡距离界</x:v>
      </x:c>
      <x:c r="I12" s="17" t="n">
        <x:v>3.171946990290735</x:v>
      </x:c>
      <x:c r="J12" s="21" t="n">
        <x:v>1</x:v>
      </x:c>
    </x:row>
    <x:row r="13" ht="28" customHeight="1">
      <x:c r="A13" s="10" t="str">
        <x:v>T002</x:v>
      </x:c>
      <x:c r="B13" s="10" t="str">
        <x:v>巡航</x:v>
      </x:c>
      <x:c r="C13" s="18" t="n">
        <x:v>725.4003392298291</x:v>
      </x:c>
      <x:c r="D13" s="18" t="n">
        <x:v>906.0515492278873</x:v>
      </x:c>
      <x:c r="E13" s="10" t="str">
        <x:v>直连优先，中继后备</x:v>
      </x:c>
      <x:c r="F13" s="10" t="str">
        <x:v>R001</x:v>
      </x:c>
      <x:c r="G13" s="10" t="str">
        <x:v>O01→S014</x:v>
      </x:c>
      <x:c r="H13" s="10" t="str">
        <x:v>最坏遮挡距离界</x:v>
      </x:c>
      <x:c r="I13" s="18" t="n">
        <x:v>0.2710018866460189</x:v>
      </x:c>
      <x:c r="J13" s="22" t="n">
        <x:v>1</x:v>
      </x:c>
    </x:row>
    <x:row r="14" ht="28" customHeight="1">
      <x:c r="A14" s="2" t="str">
        <x:v>T002</x:v>
      </x:c>
      <x:c r="B14" s="2" t="str">
        <x:v>下降</x:v>
      </x:c>
      <x:c r="C14" s="17" t="n">
        <x:v>906.0515492278873</x:v>
      </x:c>
      <x:c r="D14" s="17" t="n">
        <x:v>1002.4305043060124</x:v>
      </x:c>
      <x:c r="E14" s="2" t="str">
        <x:v>直连优先，中继后备</x:v>
      </x:c>
      <x:c r="F14" s="2" t="str">
        <x:v>R001</x:v>
      </x:c>
      <x:c r="G14" s="2" t="str">
        <x:v>O01→S014</x:v>
      </x:c>
      <x:c r="H14" s="2" t="str">
        <x:v>最坏遮挡距离界</x:v>
      </x:c>
      <x:c r="I14" s="17" t="n">
        <x:v>0.2710018866460189</x:v>
      </x:c>
      <x:c r="J14" s="21" t="n">
        <x:v>1</x:v>
      </x:c>
    </x:row>
    <x:row r="15" ht="28" customHeight="1">
      <x:c r="A15" s="10" t="str">
        <x:v>T002</x:v>
      </x:c>
      <x:c r="B15" s="10" t="str">
        <x:v>量化等待</x:v>
      </x:c>
      <x:c r="C15" s="18" t="n">
        <x:v>1002.4305043060124</x:v>
      </x:c>
      <x:c r="D15" s="18" t="n">
        <x:v>1002.431</x:v>
      </x:c>
      <x:c r="E15" s="10" t="str">
        <x:v>直连优先，中继后备</x:v>
      </x:c>
      <x:c r="F15" s="10" t="str">
        <x:v>R001</x:v>
      </x:c>
      <x:c r="G15" s="10" t="str">
        <x:v>O01→S014</x:v>
      </x:c>
      <x:c r="H15" s="10" t="str">
        <x:v>最坏遮挡距离界</x:v>
      </x:c>
      <x:c r="I15" s="18" t="n">
        <x:v>0.31384560027944985</x:v>
      </x:c>
      <x:c r="J15" s="22" t="n">
        <x:v>1</x:v>
      </x:c>
    </x:row>
    <x:row r="16" ht="28" customHeight="1">
      <x:c r="A16" s="2" t="str">
        <x:v>T002</x:v>
      </x:c>
      <x:c r="B16" s="2" t="str">
        <x:v>投送</x:v>
      </x:c>
      <x:c r="C16" s="17" t="n">
        <x:v>1002.431</x:v>
      </x:c>
      <x:c r="D16" s="17" t="n">
        <x:v>1242.431</x:v>
      </x:c>
      <x:c r="E16" s="2" t="str">
        <x:v>直连优先，中继后备</x:v>
      </x:c>
      <x:c r="F16" s="2" t="str">
        <x:v>R001</x:v>
      </x:c>
      <x:c r="G16" s="2" t="str">
        <x:v>S014→S014</x:v>
      </x:c>
      <x:c r="H16" s="2" t="str">
        <x:v>最坏遮挡距离界</x:v>
      </x:c>
      <x:c r="I16" s="17" t="n">
        <x:v>0.31384560027944985</x:v>
      </x:c>
      <x:c r="J16" s="21" t="n">
        <x:v>1</x:v>
      </x:c>
    </x:row>
    <x:row r="17" ht="28" customHeight="1">
      <x:c r="A17" s="10" t="str">
        <x:v>T002</x:v>
      </x:c>
      <x:c r="B17" s="10" t="str">
        <x:v>爬升</x:v>
      </x:c>
      <x:c r="C17" s="18" t="n">
        <x:v>1242.431</x:v>
      </x:c>
      <x:c r="D17" s="18" t="n">
        <x:v>1322.7467958984375</x:v>
      </x:c>
      <x:c r="E17" s="10" t="str">
        <x:v>直连优先，中继后备</x:v>
      </x:c>
      <x:c r="F17" s="10" t="str">
        <x:v>R001</x:v>
      </x:c>
      <x:c r="G17" s="10" t="str">
        <x:v>S014→O01</x:v>
      </x:c>
      <x:c r="H17" s="10" t="str">
        <x:v>最坏遮挡距离界</x:v>
      </x:c>
      <x:c r="I17" s="18" t="n">
        <x:v>0.2710018866460189</x:v>
      </x:c>
      <x:c r="J17" s="22" t="n">
        <x:v>1</x:v>
      </x:c>
    </x:row>
    <x:row r="18" ht="28" customHeight="1">
      <x:c r="A18" s="2" t="str">
        <x:v>T002</x:v>
      </x:c>
      <x:c r="B18" s="2" t="str">
        <x:v>巡航</x:v>
      </x:c>
      <x:c r="C18" s="17" t="n">
        <x:v>1322.7467958984375</x:v>
      </x:c>
      <x:c r="D18" s="17" t="n">
        <x:v>1503.3980058964958</x:v>
      </x:c>
      <x:c r="E18" s="2" t="str">
        <x:v>直连优先，中继后备</x:v>
      </x:c>
      <x:c r="F18" s="2" t="str">
        <x:v>R001</x:v>
      </x:c>
      <x:c r="G18" s="2" t="str">
        <x:v>S014→O01</x:v>
      </x:c>
      <x:c r="H18" s="2" t="str">
        <x:v>最坏遮挡距离界</x:v>
      </x:c>
      <x:c r="I18" s="17" t="n">
        <x:v>0.2710018866460189</x:v>
      </x:c>
      <x:c r="J18" s="21" t="n">
        <x:v>1</x:v>
      </x:c>
    </x:row>
    <x:row r="19" ht="28" customHeight="1">
      <x:c r="A19" s="10" t="str">
        <x:v>T002</x:v>
      </x:c>
      <x:c r="B19" s="10" t="str">
        <x:v>巡航</x:v>
      </x:c>
      <x:c r="C19" s="18" t="n">
        <x:v>1503.3980058964958</x:v>
      </x:c>
      <x:c r="D19" s="18" t="n">
        <x:v>1684.049215894554</x:v>
      </x:c>
      <x:c r="E19" s="10" t="str">
        <x:v>直连</x:v>
      </x:c>
      <x:c r="F19" s="10" t="str"/>
      <x:c r="G19" s="10" t="str">
        <x:v>S014→O01</x:v>
      </x:c>
      <x:c r="H19" s="10" t="str">
        <x:v>最坏遮挡距离界</x:v>
      </x:c>
      <x:c r="I19" s="18" t="n">
        <x:v>3.171946990290735</x:v>
      </x:c>
      <x:c r="J19" s="22" t="n">
        <x:v>1</x:v>
      </x:c>
    </x:row>
    <x:row r="20" ht="28" customHeight="1">
      <x:c r="A20" s="2" t="str">
        <x:v>T002</x:v>
      </x:c>
      <x:c r="B20" s="2" t="str">
        <x:v>下降</x:v>
      </x:c>
      <x:c r="C20" s="17" t="n">
        <x:v>1684.049215894554</x:v>
      </x:c>
      <x:c r="D20" s="17" t="n">
        <x:v>1869.748170972679</x:v>
      </x:c>
      <x:c r="E20" s="2" t="str">
        <x:v>直连</x:v>
      </x:c>
      <x:c r="F20" s="2" t="str"/>
      <x:c r="G20" s="2" t="str">
        <x:v>S014→O01</x:v>
      </x:c>
      <x:c r="H20" s="2" t="str">
        <x:v>最坏遮挡距离界</x:v>
      </x:c>
      <x:c r="I20" s="17" t="n">
        <x:v>18.993277511644692</x:v>
      </x:c>
      <x:c r="J20" s="21" t="n">
        <x:v>1</x:v>
      </x:c>
    </x:row>
    <x:row r="21" ht="28" customHeight="1">
      <x:c r="A21" s="10" t="str">
        <x:v>T002</x:v>
      </x:c>
      <x:c r="B21" s="10" t="str">
        <x:v>量化等待</x:v>
      </x:c>
      <x:c r="C21" s="18" t="n">
        <x:v>1869.748170972679</x:v>
      </x:c>
      <x:c r="D21" s="18" t="n">
        <x:v>1869.749</x:v>
      </x:c>
      <x:c r="E21" s="10" t="str">
        <x:v>直连</x:v>
      </x:c>
      <x:c r="F21" s="10" t="str"/>
      <x:c r="G21" s="10" t="str">
        <x:v>S014→O01</x:v>
      </x:c>
      <x:c r="H21" s="10" t="str">
        <x:v>最坏遮挡距离界</x:v>
      </x:c>
      <x:c r="I21" s="18" t="n">
        <x:v>45.925175252488266</x:v>
      </x:c>
      <x:c r="J21" s="22" t="n">
        <x:v>1</x:v>
      </x:c>
    </x:row>
    <x:row r="22" ht="28" customHeight="1">
      <x:c r="A22" s="2" t="str">
        <x:v>T003</x:v>
      </x:c>
      <x:c r="B22" s="2" t="str">
        <x:v>爬升</x:v>
      </x:c>
      <x:c r="C22" s="17" t="n">
        <x:v>390</x:v>
      </x:c>
      <x:c r="D22" s="17" t="n">
        <x:v>492.6455118815104</x:v>
      </x:c>
      <x:c r="E22" s="2" t="str">
        <x:v>直连</x:v>
      </x:c>
      <x:c r="F22" s="2" t="str"/>
      <x:c r="G22" s="2" t="str">
        <x:v>O01→S010</x:v>
      </x:c>
      <x:c r="H22" s="2" t="str">
        <x:v>最坏遮挡距离界</x:v>
      </x:c>
      <x:c r="I22" s="17" t="n">
        <x:v>22.759839664518097</x:v>
      </x:c>
      <x:c r="J22" s="21" t="n">
        <x:v>1</x:v>
      </x:c>
    </x:row>
    <x:row r="23" ht="28" customHeight="1">
      <x:c r="A23" s="10" t="str">
        <x:v>T003</x:v>
      </x:c>
      <x:c r="B23" s="10" t="str">
        <x:v>巡航</x:v>
      </x:c>
      <x:c r="C23" s="18" t="n">
        <x:v>492.6455118815104</x:v>
      </x:c>
      <x:c r="D23" s="18" t="n">
        <x:v>731.8792371945997</x:v>
      </x:c>
      <x:c r="E23" s="10" t="str">
        <x:v>直连</x:v>
      </x:c>
      <x:c r="F23" s="10" t="str"/>
      <x:c r="G23" s="10" t="str">
        <x:v>O01→S010</x:v>
      </x:c>
      <x:c r="H23" s="10" t="str">
        <x:v>最坏遮挡距离界</x:v>
      </x:c>
      <x:c r="I23" s="18" t="n">
        <x:v>0.819630686644544</x:v>
      </x:c>
      <x:c r="J23" s="22" t="n">
        <x:v>2</x:v>
      </x:c>
    </x:row>
    <x:row r="24" ht="28" customHeight="1">
      <x:c r="A24" s="2" t="str">
        <x:v>T003</x:v>
      </x:c>
      <x:c r="B24" s="2" t="str">
        <x:v>巡航</x:v>
      </x:c>
      <x:c r="C24" s="17" t="n">
        <x:v>731.8792371945997</x:v>
      </x:c>
      <x:c r="D24" s="17" t="n">
        <x:v>811.6238122989628</x:v>
      </x:c>
      <x:c r="E24" s="2" t="str">
        <x:v>直连优先，中继后备</x:v>
      </x:c>
      <x:c r="F24" s="2" t="str">
        <x:v>R001</x:v>
      </x:c>
      <x:c r="G24" s="2" t="str">
        <x:v>O01→S010</x:v>
      </x:c>
      <x:c r="H24" s="2" t="str">
        <x:v>DEM_triangle_LOS</x:v>
      </x:c>
      <x:c r="I24" s="17" t="n">
        <x:v>9.723873430455996</x:v>
      </x:c>
      <x:c r="J24" s="21" t="n">
        <x:v>1</x:v>
      </x:c>
    </x:row>
    <x:row r="25" ht="28" customHeight="1">
      <x:c r="A25" s="10" t="str">
        <x:v>T003</x:v>
      </x:c>
      <x:c r="B25" s="10" t="str">
        <x:v>下降</x:v>
      </x:c>
      <x:c r="C25" s="18" t="n">
        <x:v>811.6238122989628</x:v>
      </x:c>
      <x:c r="D25" s="18" t="n">
        <x:v>845.2384265567753</x:v>
      </x:c>
      <x:c r="E25" s="10" t="str">
        <x:v>直连优先，中继后备</x:v>
      </x:c>
      <x:c r="F25" s="10" t="str">
        <x:v>R001</x:v>
      </x:c>
      <x:c r="G25" s="10" t="str">
        <x:v>O01→S010</x:v>
      </x:c>
      <x:c r="H25" s="10" t="str">
        <x:v>DEM_triangle_LOS</x:v>
      </x:c>
      <x:c r="I25" s="18" t="n">
        <x:v>9.723418968703612</x:v>
      </x:c>
      <x:c r="J25" s="22" t="n">
        <x:v>1</x:v>
      </x:c>
    </x:row>
    <x:row r="26" ht="28" customHeight="1">
      <x:c r="A26" s="2" t="str">
        <x:v>T003</x:v>
      </x:c>
      <x:c r="B26" s="2" t="str">
        <x:v>量化等待</x:v>
      </x:c>
      <x:c r="C26" s="17" t="n">
        <x:v>845.2384265567753</x:v>
      </x:c>
      <x:c r="D26" s="17" t="n">
        <x:v>845.239</x:v>
      </x:c>
      <x:c r="E26" s="2" t="str">
        <x:v>直连优先，中继后备</x:v>
      </x:c>
      <x:c r="F26" s="2" t="str">
        <x:v>R001</x:v>
      </x:c>
      <x:c r="G26" s="2" t="str">
        <x:v>O01→S010</x:v>
      </x:c>
      <x:c r="H26" s="2" t="str">
        <x:v>DEM_triangle_LOS</x:v>
      </x:c>
      <x:c r="I26" s="17" t="n">
        <x:v>9.723418968703612</x:v>
      </x:c>
      <x:c r="J26" s="21" t="n">
        <x:v>1</x:v>
      </x:c>
    </x:row>
    <x:row r="27" ht="28" customHeight="1">
      <x:c r="A27" s="10" t="str">
        <x:v>T003</x:v>
      </x:c>
      <x:c r="B27" s="10" t="str">
        <x:v>投送</x:v>
      </x:c>
      <x:c r="C27" s="18" t="n">
        <x:v>845.239</x:v>
      </x:c>
      <x:c r="D27" s="18" t="n">
        <x:v>1085.239</x:v>
      </x:c>
      <x:c r="E27" s="10" t="str">
        <x:v>直连优先，中继后备</x:v>
      </x:c>
      <x:c r="F27" s="10" t="str">
        <x:v>R001</x:v>
      </x:c>
      <x:c r="G27" s="10" t="str">
        <x:v>S010→S010</x:v>
      </x:c>
      <x:c r="H27" s="10" t="str">
        <x:v>DEM_triangle_LOS</x:v>
      </x:c>
      <x:c r="I27" s="18" t="n">
        <x:v>9.723418968703612</x:v>
      </x:c>
      <x:c r="J27" s="22" t="n">
        <x:v>1</x:v>
      </x:c>
    </x:row>
    <x:row r="28" ht="28" customHeight="1">
      <x:c r="A28" s="2" t="str">
        <x:v>T003</x:v>
      </x:c>
      <x:c r="B28" s="2" t="str">
        <x:v>爬升</x:v>
      </x:c>
      <x:c r="C28" s="17" t="n">
        <x:v>1085.239</x:v>
      </x:c>
      <x:c r="D28" s="17" t="n">
        <x:v>1113.251178548177</x:v>
      </x:c>
      <x:c r="E28" s="2" t="str">
        <x:v>直连优先，中继后备</x:v>
      </x:c>
      <x:c r="F28" s="2" t="str">
        <x:v>R001</x:v>
      </x:c>
      <x:c r="G28" s="2" t="str">
        <x:v>S010→O01</x:v>
      </x:c>
      <x:c r="H28" s="2" t="str">
        <x:v>DEM_triangle_LOS</x:v>
      </x:c>
      <x:c r="I28" s="17" t="n">
        <x:v>9.723418968703612</x:v>
      </x:c>
      <x:c r="J28" s="21" t="n">
        <x:v>1</x:v>
      </x:c>
    </x:row>
    <x:row r="29" ht="28" customHeight="1">
      <x:c r="A29" s="10" t="str">
        <x:v>T003</x:v>
      </x:c>
      <x:c r="B29" s="10" t="str">
        <x:v>巡航</x:v>
      </x:c>
      <x:c r="C29" s="18" t="n">
        <x:v>1113.251178548177</x:v>
      </x:c>
      <x:c r="D29" s="18" t="n">
        <x:v>1192.99575365254</x:v>
      </x:c>
      <x:c r="E29" s="10" t="str">
        <x:v>直连优先，中继后备</x:v>
      </x:c>
      <x:c r="F29" s="10" t="str">
        <x:v>R001</x:v>
      </x:c>
      <x:c r="G29" s="10" t="str">
        <x:v>S010→O01</x:v>
      </x:c>
      <x:c r="H29" s="10" t="str">
        <x:v>DEM_triangle_LOS</x:v>
      </x:c>
      <x:c r="I29" s="18" t="n">
        <x:v>9.723873430455996</x:v>
      </x:c>
      <x:c r="J29" s="22" t="n">
        <x:v>1</x:v>
      </x:c>
    </x:row>
    <x:row r="30" ht="28" customHeight="1">
      <x:c r="A30" s="2" t="str">
        <x:v>T003</x:v>
      </x:c>
      <x:c r="B30" s="2" t="str">
        <x:v>巡航</x:v>
      </x:c>
      <x:c r="C30" s="17" t="n">
        <x:v>1192.99575365254</x:v>
      </x:c>
      <x:c r="D30" s="17" t="n">
        <x:v>1432.2294789656294</x:v>
      </x:c>
      <x:c r="E30" s="2" t="str">
        <x:v>直连</x:v>
      </x:c>
      <x:c r="F30" s="2" t="str"/>
      <x:c r="G30" s="2" t="str">
        <x:v>S010→O01</x:v>
      </x:c>
      <x:c r="H30" s="2" t="str">
        <x:v>最坏遮挡距离界</x:v>
      </x:c>
      <x:c r="I30" s="17" t="n">
        <x:v>0.819630686644544</x:v>
      </x:c>
      <x:c r="J30" s="21" t="n">
        <x:v>2</x:v>
      </x:c>
    </x:row>
    <x:row r="31" ht="28" customHeight="1">
      <x:c r="A31" s="10" t="str">
        <x:v>T003</x:v>
      </x:c>
      <x:c r="B31" s="10" t="str">
        <x:v>下降</x:v>
      </x:c>
      <x:c r="C31" s="18" t="n">
        <x:v>1432.2294789656294</x:v>
      </x:c>
      <x:c r="D31" s="18" t="n">
        <x:v>1555.4040932234418</x:v>
      </x:c>
      <x:c r="E31" s="10" t="str">
        <x:v>直连</x:v>
      </x:c>
      <x:c r="F31" s="10" t="str"/>
      <x:c r="G31" s="10" t="str">
        <x:v>S010→O01</x:v>
      </x:c>
      <x:c r="H31" s="10" t="str">
        <x:v>最坏遮挡距离界</x:v>
      </x:c>
      <x:c r="I31" s="18" t="n">
        <x:v>22.759839664518097</x:v>
      </x:c>
      <x:c r="J31" s="22" t="n">
        <x:v>1</x:v>
      </x:c>
    </x:row>
    <x:row r="32" ht="28" customHeight="1">
      <x:c r="A32" s="2" t="str">
        <x:v>T003</x:v>
      </x:c>
      <x:c r="B32" s="2" t="str">
        <x:v>量化等待</x:v>
      </x:c>
      <x:c r="C32" s="17" t="n">
        <x:v>1555.4040932234418</x:v>
      </x:c>
      <x:c r="D32" s="17" t="n">
        <x:v>1555.405</x:v>
      </x:c>
      <x:c r="E32" s="2" t="str">
        <x:v>直连</x:v>
      </x:c>
      <x:c r="F32" s="2" t="str"/>
      <x:c r="G32" s="2" t="str">
        <x:v>S010→O01</x:v>
      </x:c>
      <x:c r="H32" s="2" t="str">
        <x:v>最坏遮挡距离界</x:v>
      </x:c>
      <x:c r="I32" s="17" t="n">
        <x:v>45.925175252488266</x:v>
      </x:c>
      <x:c r="J32" s="21" t="n">
        <x:v>1</x:v>
      </x:c>
    </x:row>
    <x:row r="33" ht="28" customHeight="1">
      <x:c r="A33" s="10" t="str">
        <x:v>T004</x:v>
      </x:c>
      <x:c r="B33" s="10" t="str">
        <x:v>爬升</x:v>
      </x:c>
      <x:c r="C33" s="18" t="n">
        <x:v>570</x:v>
      </x:c>
      <x:c r="D33" s="18" t="n">
        <x:v>628.1426440429688</x:v>
      </x:c>
      <x:c r="E33" s="10" t="str">
        <x:v>直连</x:v>
      </x:c>
      <x:c r="F33" s="10" t="str"/>
      <x:c r="G33" s="10" t="str">
        <x:v>O01→S001</x:v>
      </x:c>
      <x:c r="H33" s="10" t="str">
        <x:v>最坏遮挡距离界</x:v>
      </x:c>
      <x:c r="I33" s="18" t="n">
        <x:v>29.982830377148552</x:v>
      </x:c>
      <x:c r="J33" s="22" t="n">
        <x:v>1</x:v>
      </x:c>
    </x:row>
    <x:row r="34" ht="28" customHeight="1">
      <x:c r="A34" s="2" t="str">
        <x:v>T004</x:v>
      </x:c>
      <x:c r="B34" s="2" t="str">
        <x:v>巡航</x:v>
      </x:c>
      <x:c r="C34" s="17" t="n">
        <x:v>628.1426440429688</x:v>
      </x:c>
      <x:c r="D34" s="17" t="n">
        <x:v>831.7442178773006</x:v>
      </x:c>
      <x:c r="E34" s="2" t="str">
        <x:v>直连</x:v>
      </x:c>
      <x:c r="F34" s="2" t="str"/>
      <x:c r="G34" s="2" t="str">
        <x:v>O01→S001</x:v>
      </x:c>
      <x:c r="H34" s="2" t="str">
        <x:v>最坏遮挡距离界</x:v>
      </x:c>
      <x:c r="I34" s="17" t="n">
        <x:v>2.2410165102830177</x:v>
      </x:c>
      <x:c r="J34" s="21" t="n">
        <x:v>1</x:v>
      </x:c>
    </x:row>
    <x:row r="35" ht="28" customHeight="1">
      <x:c r="A35" s="10" t="str">
        <x:v>T004</x:v>
      </x:c>
      <x:c r="B35" s="10" t="str">
        <x:v>下降</x:v>
      </x:c>
      <x:c r="C35" s="18" t="n">
        <x:v>831.7442178773006</x:v>
      </x:c>
      <x:c r="D35" s="18" t="n">
        <x:v>876.2725229310115</x:v>
      </x:c>
      <x:c r="E35" s="10" t="str">
        <x:v>直连</x:v>
      </x:c>
      <x:c r="F35" s="10" t="str"/>
      <x:c r="G35" s="10" t="str">
        <x:v>O01→S001</x:v>
      </x:c>
      <x:c r="H35" s="10" t="str">
        <x:v>最坏遮挡距离界</x:v>
      </x:c>
      <x:c r="I35" s="18" t="n">
        <x:v>2.2410165102830177</x:v>
      </x:c>
      <x:c r="J35" s="22" t="n">
        <x:v>1</x:v>
      </x:c>
    </x:row>
    <x:row r="36" ht="28" customHeight="1">
      <x:c r="A36" s="2" t="str">
        <x:v>T004</x:v>
      </x:c>
      <x:c r="B36" s="2" t="str">
        <x:v>量化等待</x:v>
      </x:c>
      <x:c r="C36" s="17" t="n">
        <x:v>876.2725229310115</x:v>
      </x:c>
      <x:c r="D36" s="17" t="n">
        <x:v>876.273</x:v>
      </x:c>
      <x:c r="E36" s="2" t="str">
        <x:v>直连</x:v>
      </x:c>
      <x:c r="F36" s="2" t="str"/>
      <x:c r="G36" s="2" t="str">
        <x:v>O01→S001</x:v>
      </x:c>
      <x:c r="H36" s="2" t="str">
        <x:v>最坏遮挡距离界</x:v>
      </x:c>
      <x:c r="I36" s="17" t="n">
        <x:v>2.24771385877267</x:v>
      </x:c>
      <x:c r="J36" s="21" t="n">
        <x:v>1</x:v>
      </x:c>
    </x:row>
    <x:row r="37" ht="28" customHeight="1">
      <x:c r="A37" s="10" t="str">
        <x:v>T004</x:v>
      </x:c>
      <x:c r="B37" s="10" t="str">
        <x:v>投送</x:v>
      </x:c>
      <x:c r="C37" s="18" t="n">
        <x:v>876.273</x:v>
      </x:c>
      <x:c r="D37" s="18" t="n">
        <x:v>1380.273</x:v>
      </x:c>
      <x:c r="E37" s="10" t="str">
        <x:v>直连</x:v>
      </x:c>
      <x:c r="F37" s="10" t="str"/>
      <x:c r="G37" s="10" t="str">
        <x:v>S001→S001</x:v>
      </x:c>
      <x:c r="H37" s="10" t="str">
        <x:v>最坏遮挡距离界</x:v>
      </x:c>
      <x:c r="I37" s="18" t="n">
        <x:v>2.24771385877267</x:v>
      </x:c>
      <x:c r="J37" s="22" t="n">
        <x:v>1</x:v>
      </x:c>
    </x:row>
    <x:row r="38" ht="28" customHeight="1">
      <x:c r="A38" s="2" t="str">
        <x:v>T004</x:v>
      </x:c>
      <x:c r="B38" s="2" t="str">
        <x:v>爬升</x:v>
      </x:c>
      <x:c r="C38" s="17" t="n">
        <x:v>1380.273</x:v>
      </x:c>
      <x:c r="D38" s="17" t="n">
        <x:v>1415.8956440429686</x:v>
      </x:c>
      <x:c r="E38" s="2" t="str">
        <x:v>直连</x:v>
      </x:c>
      <x:c r="F38" s="2" t="str"/>
      <x:c r="G38" s="2" t="str">
        <x:v>S001→O01</x:v>
      </x:c>
      <x:c r="H38" s="2" t="str">
        <x:v>最坏遮挡距离界</x:v>
      </x:c>
      <x:c r="I38" s="17" t="n">
        <x:v>2.2410165102830177</x:v>
      </x:c>
      <x:c r="J38" s="21" t="n">
        <x:v>1</x:v>
      </x:c>
    </x:row>
    <x:row r="39" ht="28" customHeight="1">
      <x:c r="A39" s="10" t="str">
        <x:v>T004</x:v>
      </x:c>
      <x:c r="B39" s="10" t="str">
        <x:v>巡航</x:v>
      </x:c>
      <x:c r="C39" s="18" t="n">
        <x:v>1415.8956440429686</x:v>
      </x:c>
      <x:c r="D39" s="18" t="n">
        <x:v>1619.4972178773003</x:v>
      </x:c>
      <x:c r="E39" s="10" t="str">
        <x:v>直连</x:v>
      </x:c>
      <x:c r="F39" s="10" t="str"/>
      <x:c r="G39" s="10" t="str">
        <x:v>S001→O01</x:v>
      </x:c>
      <x:c r="H39" s="10" t="str">
        <x:v>最坏遮挡距离界</x:v>
      </x:c>
      <x:c r="I39" s="18" t="n">
        <x:v>2.2410165102830177</x:v>
      </x:c>
      <x:c r="J39" s="22" t="n">
        <x:v>1</x:v>
      </x:c>
    </x:row>
    <x:row r="40" ht="28" customHeight="1">
      <x:c r="A40" s="2" t="str">
        <x:v>T004</x:v>
      </x:c>
      <x:c r="B40" s="2" t="str">
        <x:v>下降</x:v>
      </x:c>
      <x:c r="C40" s="17" t="n">
        <x:v>1619.4972178773003</x:v>
      </x:c>
      <x:c r="D40" s="17" t="n">
        <x:v>1692.1755229310113</x:v>
      </x:c>
      <x:c r="E40" s="2" t="str">
        <x:v>直连</x:v>
      </x:c>
      <x:c r="F40" s="2" t="str"/>
      <x:c r="G40" s="2" t="str">
        <x:v>S001→O01</x:v>
      </x:c>
      <x:c r="H40" s="2" t="str">
        <x:v>最坏遮挡距离界</x:v>
      </x:c>
      <x:c r="I40" s="17" t="n">
        <x:v>29.982830377148552</x:v>
      </x:c>
      <x:c r="J40" s="21" t="n">
        <x:v>1</x:v>
      </x:c>
    </x:row>
    <x:row r="41" ht="28" customHeight="1">
      <x:c r="A41" s="10" t="str">
        <x:v>T004</x:v>
      </x:c>
      <x:c r="B41" s="10" t="str">
        <x:v>量化等待</x:v>
      </x:c>
      <x:c r="C41" s="18" t="n">
        <x:v>1692.1755229310113</x:v>
      </x:c>
      <x:c r="D41" s="18" t="n">
        <x:v>1692.176</x:v>
      </x:c>
      <x:c r="E41" s="10" t="str">
        <x:v>直连</x:v>
      </x:c>
      <x:c r="F41" s="10" t="str"/>
      <x:c r="G41" s="10" t="str">
        <x:v>S001→O01</x:v>
      </x:c>
      <x:c r="H41" s="10" t="str">
        <x:v>最坏遮挡距离界</x:v>
      </x:c>
      <x:c r="I41" s="18" t="n">
        <x:v>45.925175252488266</x:v>
      </x:c>
      <x:c r="J41" s="22" t="n">
        <x:v>1</x:v>
      </x:c>
    </x:row>
    <x:row r="42" ht="28" customHeight="1">
      <x:c r="A42" s="2" t="str">
        <x:v>T005</x:v>
      </x:c>
      <x:c r="B42" s="2" t="str">
        <x:v>爬升</x:v>
      </x:c>
      <x:c r="C42" s="17" t="n">
        <x:v>480</x:v>
      </x:c>
      <x:c r="D42" s="17" t="n">
        <x:v>538.1426440429688</x:v>
      </x:c>
      <x:c r="E42" s="2" t="str">
        <x:v>直连</x:v>
      </x:c>
      <x:c r="F42" s="2" t="str"/>
      <x:c r="G42" s="2" t="str">
        <x:v>O01→S001</x:v>
      </x:c>
      <x:c r="H42" s="2" t="str">
        <x:v>最坏遮挡距离界</x:v>
      </x:c>
      <x:c r="I42" s="17" t="n">
        <x:v>29.982830377148552</x:v>
      </x:c>
      <x:c r="J42" s="21" t="n">
        <x:v>1</x:v>
      </x:c>
    </x:row>
    <x:row r="43" ht="28" customHeight="1">
      <x:c r="A43" s="10" t="str">
        <x:v>T005</x:v>
      </x:c>
      <x:c r="B43" s="10" t="str">
        <x:v>巡航</x:v>
      </x:c>
      <x:c r="C43" s="18" t="n">
        <x:v>538.1426440429688</x:v>
      </x:c>
      <x:c r="D43" s="18" t="n">
        <x:v>741.7442178773006</x:v>
      </x:c>
      <x:c r="E43" s="10" t="str">
        <x:v>直连</x:v>
      </x:c>
      <x:c r="F43" s="10" t="str"/>
      <x:c r="G43" s="10" t="str">
        <x:v>O01→S001</x:v>
      </x:c>
      <x:c r="H43" s="10" t="str">
        <x:v>最坏遮挡距离界</x:v>
      </x:c>
      <x:c r="I43" s="18" t="n">
        <x:v>2.2410165102830177</x:v>
      </x:c>
      <x:c r="J43" s="22" t="n">
        <x:v>1</x:v>
      </x:c>
    </x:row>
    <x:row r="44" ht="28" customHeight="1">
      <x:c r="A44" s="2" t="str">
        <x:v>T005</x:v>
      </x:c>
      <x:c r="B44" s="2" t="str">
        <x:v>下降</x:v>
      </x:c>
      <x:c r="C44" s="17" t="n">
        <x:v>741.7442178773006</x:v>
      </x:c>
      <x:c r="D44" s="17" t="n">
        <x:v>786.2725229310115</x:v>
      </x:c>
      <x:c r="E44" s="2" t="str">
        <x:v>直连</x:v>
      </x:c>
      <x:c r="F44" s="2" t="str"/>
      <x:c r="G44" s="2" t="str">
        <x:v>O01→S001</x:v>
      </x:c>
      <x:c r="H44" s="2" t="str">
        <x:v>最坏遮挡距离界</x:v>
      </x:c>
      <x:c r="I44" s="17" t="n">
        <x:v>2.2410165102830177</x:v>
      </x:c>
      <x:c r="J44" s="21" t="n">
        <x:v>1</x:v>
      </x:c>
    </x:row>
    <x:row r="45" ht="28" customHeight="1">
      <x:c r="A45" s="10" t="str">
        <x:v>T005</x:v>
      </x:c>
      <x:c r="B45" s="10" t="str">
        <x:v>量化等待</x:v>
      </x:c>
      <x:c r="C45" s="18" t="n">
        <x:v>786.2725229310115</x:v>
      </x:c>
      <x:c r="D45" s="18" t="n">
        <x:v>786.273</x:v>
      </x:c>
      <x:c r="E45" s="10" t="str">
        <x:v>直连</x:v>
      </x:c>
      <x:c r="F45" s="10" t="str"/>
      <x:c r="G45" s="10" t="str">
        <x:v>O01→S001</x:v>
      </x:c>
      <x:c r="H45" s="10" t="str">
        <x:v>最坏遮挡距离界</x:v>
      </x:c>
      <x:c r="I45" s="18" t="n">
        <x:v>2.24771385877267</x:v>
      </x:c>
      <x:c r="J45" s="22" t="n">
        <x:v>1</x:v>
      </x:c>
    </x:row>
    <x:row r="46" ht="28" customHeight="1">
      <x:c r="A46" s="2" t="str">
        <x:v>T005</x:v>
      </x:c>
      <x:c r="B46" s="2" t="str">
        <x:v>投送</x:v>
      </x:c>
      <x:c r="C46" s="17" t="n">
        <x:v>786.273</x:v>
      </x:c>
      <x:c r="D46" s="17" t="n">
        <x:v>1182.273</x:v>
      </x:c>
      <x:c r="E46" s="2" t="str">
        <x:v>直连</x:v>
      </x:c>
      <x:c r="F46" s="2" t="str"/>
      <x:c r="G46" s="2" t="str">
        <x:v>S001→S001</x:v>
      </x:c>
      <x:c r="H46" s="2" t="str">
        <x:v>最坏遮挡距离界</x:v>
      </x:c>
      <x:c r="I46" s="17" t="n">
        <x:v>2.24771385877267</x:v>
      </x:c>
      <x:c r="J46" s="21" t="n">
        <x:v>1</x:v>
      </x:c>
    </x:row>
    <x:row r="47" ht="28" customHeight="1">
      <x:c r="A47" s="10" t="str">
        <x:v>T005</x:v>
      </x:c>
      <x:c r="B47" s="10" t="str">
        <x:v>爬升</x:v>
      </x:c>
      <x:c r="C47" s="18" t="n">
        <x:v>1182.273</x:v>
      </x:c>
      <x:c r="D47" s="18" t="n">
        <x:v>1217.8956440429686</x:v>
      </x:c>
      <x:c r="E47" s="10" t="str">
        <x:v>直连</x:v>
      </x:c>
      <x:c r="F47" s="10" t="str"/>
      <x:c r="G47" s="10" t="str">
        <x:v>S001→O01</x:v>
      </x:c>
      <x:c r="H47" s="10" t="str">
        <x:v>最坏遮挡距离界</x:v>
      </x:c>
      <x:c r="I47" s="18" t="n">
        <x:v>2.2410165102830177</x:v>
      </x:c>
      <x:c r="J47" s="22" t="n">
        <x:v>1</x:v>
      </x:c>
    </x:row>
    <x:row r="48" ht="28" customHeight="1">
      <x:c r="A48" s="2" t="str">
        <x:v>T005</x:v>
      </x:c>
      <x:c r="B48" s="2" t="str">
        <x:v>巡航</x:v>
      </x:c>
      <x:c r="C48" s="17" t="n">
        <x:v>1217.8956440429686</x:v>
      </x:c>
      <x:c r="D48" s="17" t="n">
        <x:v>1421.4972178773003</x:v>
      </x:c>
      <x:c r="E48" s="2" t="str">
        <x:v>直连</x:v>
      </x:c>
      <x:c r="F48" s="2" t="str"/>
      <x:c r="G48" s="2" t="str">
        <x:v>S001→O01</x:v>
      </x:c>
      <x:c r="H48" s="2" t="str">
        <x:v>最坏遮挡距离界</x:v>
      </x:c>
      <x:c r="I48" s="17" t="n">
        <x:v>2.2410165102830177</x:v>
      </x:c>
      <x:c r="J48" s="21" t="n">
        <x:v>1</x:v>
      </x:c>
    </x:row>
    <x:row r="49" ht="28" customHeight="1">
      <x:c r="A49" s="10" t="str">
        <x:v>T005</x:v>
      </x:c>
      <x:c r="B49" s="10" t="str">
        <x:v>下降</x:v>
      </x:c>
      <x:c r="C49" s="18" t="n">
        <x:v>1421.4972178773003</x:v>
      </x:c>
      <x:c r="D49" s="18" t="n">
        <x:v>1494.1755229310113</x:v>
      </x:c>
      <x:c r="E49" s="10" t="str">
        <x:v>直连</x:v>
      </x:c>
      <x:c r="F49" s="10" t="str"/>
      <x:c r="G49" s="10" t="str">
        <x:v>S001→O01</x:v>
      </x:c>
      <x:c r="H49" s="10" t="str">
        <x:v>最坏遮挡距离界</x:v>
      </x:c>
      <x:c r="I49" s="18" t="n">
        <x:v>29.982830377148552</x:v>
      </x:c>
      <x:c r="J49" s="22" t="n">
        <x:v>1</x:v>
      </x:c>
    </x:row>
    <x:row r="50" ht="28" customHeight="1">
      <x:c r="A50" s="2" t="str">
        <x:v>T005</x:v>
      </x:c>
      <x:c r="B50" s="2" t="str">
        <x:v>量化等待</x:v>
      </x:c>
      <x:c r="C50" s="17" t="n">
        <x:v>1494.1755229310113</x:v>
      </x:c>
      <x:c r="D50" s="17" t="n">
        <x:v>1494.176</x:v>
      </x:c>
      <x:c r="E50" s="2" t="str">
        <x:v>直连</x:v>
      </x:c>
      <x:c r="F50" s="2" t="str"/>
      <x:c r="G50" s="2" t="str">
        <x:v>S001→O01</x:v>
      </x:c>
      <x:c r="H50" s="2" t="str">
        <x:v>最坏遮挡距离界</x:v>
      </x:c>
      <x:c r="I50" s="17" t="n">
        <x:v>45.925175252488266</x:v>
      </x:c>
      <x:c r="J50" s="21" t="n">
        <x:v>1</x:v>
      </x:c>
    </x:row>
    <x:row r="51" ht="28" customHeight="1">
      <x:c r="A51" s="10" t="str">
        <x:v>T006</x:v>
      </x:c>
      <x:c r="B51" s="10" t="str">
        <x:v>爬升</x:v>
      </x:c>
      <x:c r="C51" s="18" t="n">
        <x:v>2004.177</x:v>
      </x:c>
      <x:c r="D51" s="18" t="n">
        <x:v>2076.678701660156</x:v>
      </x:c>
      <x:c r="E51" s="10" t="str">
        <x:v>直连</x:v>
      </x:c>
      <x:c r="F51" s="10" t="str"/>
      <x:c r="G51" s="10" t="str">
        <x:v>O01→S002</x:v>
      </x:c>
      <x:c r="H51" s="10" t="str">
        <x:v>最坏遮挡距离界</x:v>
      </x:c>
      <x:c r="I51" s="18" t="n">
        <x:v>27.79555154865509</x:v>
      </x:c>
      <x:c r="J51" s="22" t="n">
        <x:v>1</x:v>
      </x:c>
    </x:row>
    <x:row r="52" ht="28" customHeight="1">
      <x:c r="A52" s="2" t="str">
        <x:v>T006</x:v>
      </x:c>
      <x:c r="B52" s="2" t="str">
        <x:v>巡航</x:v>
      </x:c>
      <x:c r="C52" s="17" t="n">
        <x:v>2076.678701660156</x:v>
      </x:c>
      <x:c r="D52" s="17" t="n">
        <x:v>2323.729828798619</x:v>
      </x:c>
      <x:c r="E52" s="2" t="str">
        <x:v>直连</x:v>
      </x:c>
      <x:c r="F52" s="2" t="str"/>
      <x:c r="G52" s="2" t="str">
        <x:v>O01→S002</x:v>
      </x:c>
      <x:c r="H52" s="2" t="str">
        <x:v>最坏遮挡距离界</x:v>
      </x:c>
      <x:c r="I52" s="17" t="n">
        <x:v>0.5599975853062773</x:v>
      </x:c>
      <x:c r="J52" s="21" t="n">
        <x:v>1</x:v>
      </x:c>
    </x:row>
    <x:row r="53" ht="28" customHeight="1">
      <x:c r="A53" s="10" t="str">
        <x:v>T006</x:v>
      </x:c>
      <x:c r="B53" s="10" t="str">
        <x:v>巡航</x:v>
      </x:c>
      <x:c r="C53" s="18" t="n">
        <x:v>2323.729828798619</x:v>
      </x:c>
      <x:c r="D53" s="18" t="n">
        <x:v>2570.7809559370817</x:v>
      </x:c>
      <x:c r="E53" s="10" t="str">
        <x:v>直连优先，中继后备</x:v>
      </x:c>
      <x:c r="F53" s="10" t="str">
        <x:v>R002</x:v>
      </x:c>
      <x:c r="G53" s="10" t="str">
        <x:v>O01→S002</x:v>
      </x:c>
      <x:c r="H53" s="10" t="str">
        <x:v>DEM_triangle_LOS</x:v>
      </x:c>
      <x:c r="I53" s="18" t="n">
        <x:v>6.548948939437324</x:v>
      </x:c>
      <x:c r="J53" s="22" t="n">
        <x:v>1</x:v>
      </x:c>
    </x:row>
    <x:row r="54" ht="28" customHeight="1">
      <x:c r="A54" s="2" t="str">
        <x:v>T006</x:v>
      </x:c>
      <x:c r="B54" s="2" t="str">
        <x:v>下降</x:v>
      </x:c>
      <x:c r="C54" s="17" t="n">
        <x:v>2570.7809559370817</x:v>
      </x:c>
      <x:c r="D54" s="17" t="n">
        <x:v>2615.508083012277</x:v>
      </x:c>
      <x:c r="E54" s="2" t="str">
        <x:v>直连优先，中继后备</x:v>
      </x:c>
      <x:c r="F54" s="2" t="str">
        <x:v>R002</x:v>
      </x:c>
      <x:c r="G54" s="2" t="str">
        <x:v>O01→S002</x:v>
      </x:c>
      <x:c r="H54" s="2" t="str">
        <x:v>最坏遮挡距离界</x:v>
      </x:c>
      <x:c r="I54" s="17" t="n">
        <x:v>2.2122947847614967</x:v>
      </x:c>
      <x:c r="J54" s="21" t="n">
        <x:v>1</x:v>
      </x:c>
    </x:row>
    <x:row r="55" ht="28" customHeight="1">
      <x:c r="A55" s="10" t="str">
        <x:v>T006</x:v>
      </x:c>
      <x:c r="B55" s="10" t="str">
        <x:v>量化等待</x:v>
      </x:c>
      <x:c r="C55" s="18" t="n">
        <x:v>2615.508083012277</x:v>
      </x:c>
      <x:c r="D55" s="18" t="n">
        <x:v>2615.509</x:v>
      </x:c>
      <x:c r="E55" s="10" t="str">
        <x:v>直连优先，中继后备</x:v>
      </x:c>
      <x:c r="F55" s="10" t="str">
        <x:v>R002</x:v>
      </x:c>
      <x:c r="G55" s="10" t="str">
        <x:v>O01→S002</x:v>
      </x:c>
      <x:c r="H55" s="10" t="str">
        <x:v>最坏遮挡距离界</x:v>
      </x:c>
      <x:c r="I55" s="18" t="n">
        <x:v>2.2122947847614967</x:v>
      </x:c>
      <x:c r="J55" s="22" t="n">
        <x:v>1</x:v>
      </x:c>
    </x:row>
    <x:row r="56" ht="28" customHeight="1">
      <x:c r="A56" s="2" t="str">
        <x:v>T006</x:v>
      </x:c>
      <x:c r="B56" s="2" t="str">
        <x:v>投送</x:v>
      </x:c>
      <x:c r="C56" s="17" t="n">
        <x:v>2615.509</x:v>
      </x:c>
      <x:c r="D56" s="17" t="n">
        <x:v>3047.509</x:v>
      </x:c>
      <x:c r="E56" s="2" t="str">
        <x:v>直连优先，中继后备</x:v>
      </x:c>
      <x:c r="F56" s="2" t="str">
        <x:v>R002</x:v>
      </x:c>
      <x:c r="G56" s="2" t="str">
        <x:v>S002→S002</x:v>
      </x:c>
      <x:c r="H56" s="2" t="str">
        <x:v>最坏遮挡距离界</x:v>
      </x:c>
      <x:c r="I56" s="17" t="n">
        <x:v>2.2122947847614967</x:v>
      </x:c>
      <x:c r="J56" s="21" t="n">
        <x:v>1</x:v>
      </x:c>
    </x:row>
    <x:row r="57" ht="28" customHeight="1">
      <x:c r="A57" s="10" t="str">
        <x:v>T006</x:v>
      </x:c>
      <x:c r="B57" s="10" t="str">
        <x:v>爬升</x:v>
      </x:c>
      <x:c r="C57" s="18" t="n">
        <x:v>3047.509</x:v>
      </x:c>
      <x:c r="D57" s="18" t="n">
        <x:v>3083.290701660156</x:v>
      </x:c>
      <x:c r="E57" s="10" t="str">
        <x:v>直连优先，中继后备</x:v>
      </x:c>
      <x:c r="F57" s="10" t="str">
        <x:v>R002</x:v>
      </x:c>
      <x:c r="G57" s="10" t="str">
        <x:v>S002→O01</x:v>
      </x:c>
      <x:c r="H57" s="10" t="str">
        <x:v>最坏遮挡距离界</x:v>
      </x:c>
      <x:c r="I57" s="18" t="n">
        <x:v>2.2122947847614967</x:v>
      </x:c>
      <x:c r="J57" s="22" t="n">
        <x:v>1</x:v>
      </x:c>
    </x:row>
    <x:row r="58" ht="28" customHeight="1">
      <x:c r="A58" s="2" t="str">
        <x:v>T006</x:v>
      </x:c>
      <x:c r="B58" s="2" t="str">
        <x:v>巡航</x:v>
      </x:c>
      <x:c r="C58" s="17" t="n">
        <x:v>3083.290701660156</x:v>
      </x:c>
      <x:c r="D58" s="17" t="n">
        <x:v>3330.3418287986187</x:v>
      </x:c>
      <x:c r="E58" s="2" t="str">
        <x:v>直连优先，中继后备</x:v>
      </x:c>
      <x:c r="F58" s="2" t="str">
        <x:v>R002</x:v>
      </x:c>
      <x:c r="G58" s="2" t="str">
        <x:v>S002→O01</x:v>
      </x:c>
      <x:c r="H58" s="2" t="str">
        <x:v>DEM_triangle_LOS</x:v>
      </x:c>
      <x:c r="I58" s="17" t="n">
        <x:v>6.548948939437324</x:v>
      </x:c>
      <x:c r="J58" s="21" t="n">
        <x:v>1</x:v>
      </x:c>
    </x:row>
    <x:row r="59" ht="28" customHeight="1">
      <x:c r="A59" s="10" t="str">
        <x:v>T006</x:v>
      </x:c>
      <x:c r="B59" s="10" t="str">
        <x:v>巡航</x:v>
      </x:c>
      <x:c r="C59" s="18" t="n">
        <x:v>3330.3418287986187</x:v>
      </x:c>
      <x:c r="D59" s="18" t="n">
        <x:v>3577.3929559370818</x:v>
      </x:c>
      <x:c r="E59" s="10" t="str">
        <x:v>直连</x:v>
      </x:c>
      <x:c r="F59" s="10" t="str"/>
      <x:c r="G59" s="10" t="str">
        <x:v>S002→O01</x:v>
      </x:c>
      <x:c r="H59" s="10" t="str">
        <x:v>最坏遮挡距离界</x:v>
      </x:c>
      <x:c r="I59" s="18" t="n">
        <x:v>0.5599975853062773</x:v>
      </x:c>
      <x:c r="J59" s="22" t="n">
        <x:v>1</x:v>
      </x:c>
    </x:row>
    <x:row r="60" ht="28" customHeight="1">
      <x:c r="A60" s="2" t="str">
        <x:v>T006</x:v>
      </x:c>
      <x:c r="B60" s="2" t="str">
        <x:v>下降</x:v>
      </x:c>
      <x:c r="C60" s="17" t="n">
        <x:v>3577.3929559370818</x:v>
      </x:c>
      <x:c r="D60" s="17" t="n">
        <x:v>3668.0200830122776</x:v>
      </x:c>
      <x:c r="E60" s="2" t="str">
        <x:v>直连</x:v>
      </x:c>
      <x:c r="F60" s="2" t="str"/>
      <x:c r="G60" s="2" t="str">
        <x:v>S002→O01</x:v>
      </x:c>
      <x:c r="H60" s="2" t="str">
        <x:v>最坏遮挡距离界</x:v>
      </x:c>
      <x:c r="I60" s="17" t="n">
        <x:v>27.79555154865509</x:v>
      </x:c>
      <x:c r="J60" s="21" t="n">
        <x:v>1</x:v>
      </x:c>
    </x:row>
    <x:row r="61" ht="28" customHeight="1">
      <x:c r="A61" s="10" t="str">
        <x:v>T006</x:v>
      </x:c>
      <x:c r="B61" s="10" t="str">
        <x:v>量化等待</x:v>
      </x:c>
      <x:c r="C61" s="18" t="n">
        <x:v>3668.0200830122776</x:v>
      </x:c>
      <x:c r="D61" s="18" t="n">
        <x:v>3668.0209999999997</x:v>
      </x:c>
      <x:c r="E61" s="10" t="str">
        <x:v>直连</x:v>
      </x:c>
      <x:c r="F61" s="10" t="str"/>
      <x:c r="G61" s="10" t="str">
        <x:v>S002→O01</x:v>
      </x:c>
      <x:c r="H61" s="10" t="str">
        <x:v>最坏遮挡距离界</x:v>
      </x:c>
      <x:c r="I61" s="18" t="n">
        <x:v>45.925175252488266</x:v>
      </x:c>
      <x:c r="J61" s="22" t="n">
        <x:v>1</x:v>
      </x:c>
    </x:row>
    <x:row r="62" ht="28" customHeight="1">
      <x:c r="A62" s="2" t="str">
        <x:v>T007</x:v>
      </x:c>
      <x:c r="B62" s="2" t="str">
        <x:v>爬升</x:v>
      </x:c>
      <x:c r="C62" s="17" t="n">
        <x:v>1915.405</x:v>
      </x:c>
      <x:c r="D62" s="17" t="n">
        <x:v>1994.8709464518229</x:v>
      </x:c>
      <x:c r="E62" s="2" t="str">
        <x:v>直连</x:v>
      </x:c>
      <x:c r="F62" s="2" t="str"/>
      <x:c r="G62" s="2" t="str">
        <x:v>O01→S006</x:v>
      </x:c>
      <x:c r="H62" s="2" t="str">
        <x:v>最坏遮挡距离界</x:v>
      </x:c>
      <x:c r="I62" s="17" t="n">
        <x:v>25.16080841557533</x:v>
      </x:c>
      <x:c r="J62" s="21" t="n">
        <x:v>1</x:v>
      </x:c>
    </x:row>
    <x:row r="63" ht="28" customHeight="1">
      <x:c r="A63" s="10" t="str">
        <x:v>T007</x:v>
      </x:c>
      <x:c r="B63" s="10" t="str">
        <x:v>巡航</x:v>
      </x:c>
      <x:c r="C63" s="18" t="n">
        <x:v>1994.8709464518229</x:v>
      </x:c>
      <x:c r="D63" s="18" t="n">
        <x:v>2207.2842032752123</x:v>
      </x:c>
      <x:c r="E63" s="10" t="str">
        <x:v>直连</x:v>
      </x:c>
      <x:c r="F63" s="10" t="str"/>
      <x:c r="G63" s="10" t="str">
        <x:v>O01→S006</x:v>
      </x:c>
      <x:c r="H63" s="10" t="str">
        <x:v>最坏遮挡距离界</x:v>
      </x:c>
      <x:c r="I63" s="18" t="n">
        <x:v>1.8599604785582073</x:v>
      </x:c>
      <x:c r="J63" s="22" t="n">
        <x:v>1</x:v>
      </x:c>
    </x:row>
    <x:row r="64" ht="28" customHeight="1">
      <x:c r="A64" s="2" t="str">
        <x:v>T007</x:v>
      </x:c>
      <x:c r="B64" s="2" t="str">
        <x:v>下降</x:v>
      </x:c>
      <x:c r="C64" s="17" t="n">
        <x:v>2207.2842032752123</x:v>
      </x:c>
      <x:c r="D64" s="17" t="n">
        <x:v>2227.8033390173996</x:v>
      </x:c>
      <x:c r="E64" s="2" t="str">
        <x:v>直连</x:v>
      </x:c>
      <x:c r="F64" s="2" t="str"/>
      <x:c r="G64" s="2" t="str">
        <x:v>O01→S006</x:v>
      </x:c>
      <x:c r="H64" s="2" t="str">
        <x:v>最坏遮挡距离界</x:v>
      </x:c>
      <x:c r="I64" s="17" t="n">
        <x:v>1.8599604785582073</x:v>
      </x:c>
      <x:c r="J64" s="21" t="n">
        <x:v>1</x:v>
      </x:c>
    </x:row>
    <x:row r="65" ht="28" customHeight="1">
      <x:c r="A65" s="10" t="str">
        <x:v>T007</x:v>
      </x:c>
      <x:c r="B65" s="10" t="str">
        <x:v>量化等待</x:v>
      </x:c>
      <x:c r="C65" s="18" t="n">
        <x:v>2227.8033390173996</x:v>
      </x:c>
      <x:c r="D65" s="18" t="n">
        <x:v>2227.804</x:v>
      </x:c>
      <x:c r="E65" s="10" t="str">
        <x:v>直连</x:v>
      </x:c>
      <x:c r="F65" s="10" t="str"/>
      <x:c r="G65" s="10" t="str">
        <x:v>O01→S006</x:v>
      </x:c>
      <x:c r="H65" s="10" t="str">
        <x:v>最坏遮挡距离界</x:v>
      </x:c>
      <x:c r="I65" s="18" t="n">
        <x:v>1.8683888800624544</x:v>
      </x:c>
      <x:c r="J65" s="22" t="n">
        <x:v>1</x:v>
      </x:c>
    </x:row>
    <x:row r="66" ht="28" customHeight="1">
      <x:c r="A66" s="2" t="str">
        <x:v>T007</x:v>
      </x:c>
      <x:c r="B66" s="2" t="str">
        <x:v>投送</x:v>
      </x:c>
      <x:c r="C66" s="17" t="n">
        <x:v>2227.804</x:v>
      </x:c>
      <x:c r="D66" s="17" t="n">
        <x:v>2437.804</x:v>
      </x:c>
      <x:c r="E66" s="2" t="str">
        <x:v>直连</x:v>
      </x:c>
      <x:c r="F66" s="2" t="str"/>
      <x:c r="G66" s="2" t="str">
        <x:v>S006→S006</x:v>
      </x:c>
      <x:c r="H66" s="2" t="str">
        <x:v>最坏遮挡距离界</x:v>
      </x:c>
      <x:c r="I66" s="17" t="n">
        <x:v>1.8683888800624544</x:v>
      </x:c>
      <x:c r="J66" s="21" t="n">
        <x:v>1</x:v>
      </x:c>
    </x:row>
    <x:row r="67" ht="28" customHeight="1">
      <x:c r="A67" s="10" t="str">
        <x:v>T007</x:v>
      </x:c>
      <x:c r="B67" s="10" t="str">
        <x:v>爬升</x:v>
      </x:c>
      <x:c r="C67" s="18" t="n">
        <x:v>2437.804</x:v>
      </x:c>
      <x:c r="D67" s="18" t="n">
        <x:v>2454.903279785156</x:v>
      </x:c>
      <x:c r="E67" s="10" t="str">
        <x:v>直连</x:v>
      </x:c>
      <x:c r="F67" s="10" t="str"/>
      <x:c r="G67" s="10" t="str">
        <x:v>S006→O01</x:v>
      </x:c>
      <x:c r="H67" s="10" t="str">
        <x:v>最坏遮挡距离界</x:v>
      </x:c>
      <x:c r="I67" s="18" t="n">
        <x:v>1.8599604785582073</x:v>
      </x:c>
      <x:c r="J67" s="22" t="n">
        <x:v>1</x:v>
      </x:c>
    </x:row>
    <x:row r="68" ht="28" customHeight="1">
      <x:c r="A68" s="2" t="str">
        <x:v>T007</x:v>
      </x:c>
      <x:c r="B68" s="2" t="str">
        <x:v>巡航</x:v>
      </x:c>
      <x:c r="C68" s="17" t="n">
        <x:v>2454.903279785156</x:v>
      </x:c>
      <x:c r="D68" s="17" t="n">
        <x:v>2667.3165366085454</x:v>
      </x:c>
      <x:c r="E68" s="2" t="str">
        <x:v>直连</x:v>
      </x:c>
      <x:c r="F68" s="2" t="str"/>
      <x:c r="G68" s="2" t="str">
        <x:v>S006→O01</x:v>
      </x:c>
      <x:c r="H68" s="2" t="str">
        <x:v>最坏遮挡距离界</x:v>
      </x:c>
      <x:c r="I68" s="17" t="n">
        <x:v>1.8599604785582073</x:v>
      </x:c>
      <x:c r="J68" s="21" t="n">
        <x:v>1</x:v>
      </x:c>
    </x:row>
    <x:row r="69" ht="28" customHeight="1">
      <x:c r="A69" s="10" t="str">
        <x:v>T007</x:v>
      </x:c>
      <x:c r="B69" s="10" t="str">
        <x:v>下降</x:v>
      </x:c>
      <x:c r="C69" s="18" t="n">
        <x:v>2667.3165366085454</x:v>
      </x:c>
      <x:c r="D69" s="18" t="n">
        <x:v>2762.6756723507333</x:v>
      </x:c>
      <x:c r="E69" s="10" t="str">
        <x:v>直连</x:v>
      </x:c>
      <x:c r="F69" s="10" t="str"/>
      <x:c r="G69" s="10" t="str">
        <x:v>S006→O01</x:v>
      </x:c>
      <x:c r="H69" s="10" t="str">
        <x:v>最坏遮挡距离界</x:v>
      </x:c>
      <x:c r="I69" s="18" t="n">
        <x:v>25.16080841557533</x:v>
      </x:c>
      <x:c r="J69" s="22" t="n">
        <x:v>1</x:v>
      </x:c>
    </x:row>
    <x:row r="70" ht="28" customHeight="1">
      <x:c r="A70" s="2" t="str">
        <x:v>T007</x:v>
      </x:c>
      <x:c r="B70" s="2" t="str">
        <x:v>量化等待</x:v>
      </x:c>
      <x:c r="C70" s="17" t="n">
        <x:v>2762.6756723507333</x:v>
      </x:c>
      <x:c r="D70" s="17" t="n">
        <x:v>2762.676</x:v>
      </x:c>
      <x:c r="E70" s="2" t="str">
        <x:v>直连</x:v>
      </x:c>
      <x:c r="F70" s="2" t="str"/>
      <x:c r="G70" s="2" t="str">
        <x:v>S006→O01</x:v>
      </x:c>
      <x:c r="H70" s="2" t="str">
        <x:v>最坏遮挡距离界</x:v>
      </x:c>
      <x:c r="I70" s="17" t="n">
        <x:v>45.925175252488266</x:v>
      </x:c>
      <x:c r="J70" s="21" t="n">
        <x:v>1</x:v>
      </x:c>
    </x:row>
    <x:row r="71" ht="28" customHeight="1">
      <x:c r="A71" s="10" t="str">
        <x:v>T008</x:v>
      </x:c>
      <x:c r="B71" s="10" t="str">
        <x:v>爬升</x:v>
      </x:c>
      <x:c r="C71" s="18" t="n">
        <x:v>2031.16</x:v>
      </x:c>
      <x:c r="D71" s="18" t="n">
        <x:v>2121.6539412434895</x:v>
      </x:c>
      <x:c r="E71" s="10" t="str">
        <x:v>直连</x:v>
      </x:c>
      <x:c r="F71" s="10" t="str"/>
      <x:c r="G71" s="10" t="str">
        <x:v>O01→S013</x:v>
      </x:c>
      <x:c r="H71" s="10" t="str">
        <x:v>最坏遮挡距离界</x:v>
      </x:c>
      <x:c r="I71" s="18" t="n">
        <x:v>23.935643142447674</x:v>
      </x:c>
      <x:c r="J71" s="22" t="n">
        <x:v>1</x:v>
      </x:c>
    </x:row>
    <x:row r="72" ht="28" customHeight="1">
      <x:c r="A72" s="2" t="str">
        <x:v>T008</x:v>
      </x:c>
      <x:c r="B72" s="2" t="str">
        <x:v>巡航</x:v>
      </x:c>
      <x:c r="C72" s="17" t="n">
        <x:v>2121.6539412434895</x:v>
      </x:c>
      <x:c r="D72" s="17" t="n">
        <x:v>2323.717976849689</x:v>
      </x:c>
      <x:c r="E72" s="2" t="str">
        <x:v>直连</x:v>
      </x:c>
      <x:c r="F72" s="2" t="str"/>
      <x:c r="G72" s="2" t="str">
        <x:v>O01→S013</x:v>
      </x:c>
      <x:c r="H72" s="2" t="str">
        <x:v>最坏遮挡距离界</x:v>
      </x:c>
      <x:c r="I72" s="17" t="n">
        <x:v>4.20590418808473</x:v>
      </x:c>
      <x:c r="J72" s="21" t="n">
        <x:v>1</x:v>
      </x:c>
    </x:row>
    <x:row r="73" ht="28" customHeight="1">
      <x:c r="A73" s="10" t="str">
        <x:v>T008</x:v>
      </x:c>
      <x:c r="B73" s="10" t="str">
        <x:v>巡航</x:v>
      </x:c>
      <x:c r="C73" s="18" t="n">
        <x:v>2323.717976849689</x:v>
      </x:c>
      <x:c r="D73" s="18" t="n">
        <x:v>2525.782012455888</x:v>
      </x:c>
      <x:c r="E73" s="10" t="str">
        <x:v>直连优先，中继后备</x:v>
      </x:c>
      <x:c r="F73" s="10" t="str">
        <x:v>R002</x:v>
      </x:c>
      <x:c r="G73" s="10" t="str">
        <x:v>O01→S013</x:v>
      </x:c>
      <x:c r="H73" s="10" t="str">
        <x:v>DEM_triangle_LOS</x:v>
      </x:c>
      <x:c r="I73" s="18" t="n">
        <x:v>2.9118448075001595</x:v>
      </x:c>
      <x:c r="J73" s="22" t="n">
        <x:v>1</x:v>
      </x:c>
    </x:row>
    <x:row r="74" ht="28" customHeight="1">
      <x:c r="A74" s="2" t="str">
        <x:v>T008</x:v>
      </x:c>
      <x:c r="B74" s="2" t="str">
        <x:v>下降</x:v>
      </x:c>
      <x:c r="C74" s="17" t="n">
        <x:v>2525.782012455888</x:v>
      </x:c>
      <x:c r="D74" s="17" t="n">
        <x:v>2544.7747419480756</x:v>
      </x:c>
      <x:c r="E74" s="2" t="str">
        <x:v>直连优先，中继后备</x:v>
      </x:c>
      <x:c r="F74" s="2" t="str">
        <x:v>R002</x:v>
      </x:c>
      <x:c r="G74" s="2" t="str">
        <x:v>O01→S013</x:v>
      </x:c>
      <x:c r="H74" s="2" t="str">
        <x:v>DEM_triangle_LOS</x:v>
      </x:c>
      <x:c r="I74" s="17" t="n">
        <x:v>6.182612275017647</x:v>
      </x:c>
      <x:c r="J74" s="21" t="n">
        <x:v>1</x:v>
      </x:c>
    </x:row>
    <x:row r="75" ht="28" customHeight="1">
      <x:c r="A75" s="10" t="str">
        <x:v>T008</x:v>
      </x:c>
      <x:c r="B75" s="10" t="str">
        <x:v>量化等待</x:v>
      </x:c>
      <x:c r="C75" s="18" t="n">
        <x:v>2544.7747419480756</x:v>
      </x:c>
      <x:c r="D75" s="18" t="n">
        <x:v>2544.775</x:v>
      </x:c>
      <x:c r="E75" s="10" t="str">
        <x:v>直连优先，中继后备</x:v>
      </x:c>
      <x:c r="F75" s="10" t="str">
        <x:v>R002</x:v>
      </x:c>
      <x:c r="G75" s="10" t="str">
        <x:v>O01→S013</x:v>
      </x:c>
      <x:c r="H75" s="10" t="str">
        <x:v>DEM_triangle_LOS</x:v>
      </x:c>
      <x:c r="I75" s="18" t="n">
        <x:v>6.182612275017647</x:v>
      </x:c>
      <x:c r="J75" s="22" t="n">
        <x:v>1</x:v>
      </x:c>
    </x:row>
    <x:row r="76" ht="28" customHeight="1">
      <x:c r="A76" s="2" t="str">
        <x:v>T008</x:v>
      </x:c>
      <x:c r="B76" s="2" t="str">
        <x:v>投送</x:v>
      </x:c>
      <x:c r="C76" s="17" t="n">
        <x:v>2544.775</x:v>
      </x:c>
      <x:c r="D76" s="17" t="n">
        <x:v>2724.775</x:v>
      </x:c>
      <x:c r="E76" s="2" t="str">
        <x:v>直连优先，中继后备</x:v>
      </x:c>
      <x:c r="F76" s="2" t="str">
        <x:v>R002</x:v>
      </x:c>
      <x:c r="G76" s="2" t="str">
        <x:v>S013→S013</x:v>
      </x:c>
      <x:c r="H76" s="2" t="str">
        <x:v>DEM_triangle_LOS</x:v>
      </x:c>
      <x:c r="I76" s="17" t="n">
        <x:v>6.182612275017647</x:v>
      </x:c>
      <x:c r="J76" s="21" t="n">
        <x:v>1</x:v>
      </x:c>
    </x:row>
    <x:row r="77" ht="28" customHeight="1">
      <x:c r="A77" s="10" t="str">
        <x:v>T008</x:v>
      </x:c>
      <x:c r="B77" s="10" t="str">
        <x:v>爬升</x:v>
      </x:c>
      <x:c r="C77" s="18" t="n">
        <x:v>2724.775</x:v>
      </x:c>
      <x:c r="D77" s="18" t="n">
        <x:v>2733.2784423828125</x:v>
      </x:c>
      <x:c r="E77" s="10" t="str">
        <x:v>直连优先，中继后备</x:v>
      </x:c>
      <x:c r="F77" s="10" t="str">
        <x:v>R002</x:v>
      </x:c>
      <x:c r="G77" s="10" t="str">
        <x:v>S013→S002</x:v>
      </x:c>
      <x:c r="H77" s="10" t="str">
        <x:v>DEM_triangle_LOS</x:v>
      </x:c>
      <x:c r="I77" s="18" t="n">
        <x:v>6.182612275017647</x:v>
      </x:c>
      <x:c r="J77" s="22" t="n">
        <x:v>1</x:v>
      </x:c>
    </x:row>
    <x:row r="78" ht="28" customHeight="1">
      <x:c r="A78" s="2" t="str">
        <x:v>T008</x:v>
      </x:c>
      <x:c r="B78" s="2" t="str">
        <x:v>巡航</x:v>
      </x:c>
      <x:c r="C78" s="17" t="n">
        <x:v>2733.2784423828125</x:v>
      </x:c>
      <x:c r="D78" s="17" t="n">
        <x:v>3111.6308855082398</x:v>
      </x:c>
      <x:c r="E78" s="2" t="str">
        <x:v>直连优先，中继后备</x:v>
      </x:c>
      <x:c r="F78" s="2" t="str">
        <x:v>R002</x:v>
      </x:c>
      <x:c r="G78" s="2" t="str">
        <x:v>S013→S002</x:v>
      </x:c>
      <x:c r="H78" s="2" t="str">
        <x:v>DEM_triangle_LOS</x:v>
      </x:c>
      <x:c r="I78" s="17" t="n">
        <x:v>6.18715290795852</x:v>
      </x:c>
      <x:c r="J78" s="21" t="n">
        <x:v>1</x:v>
      </x:c>
    </x:row>
    <x:row r="79" ht="28" customHeight="1">
      <x:c r="A79" s="10" t="str">
        <x:v>T008</x:v>
      </x:c>
      <x:c r="B79" s="10" t="str">
        <x:v>下降</x:v>
      </x:c>
      <x:c r="C79" s="18" t="n">
        <x:v>3111.6308855082398</x:v>
      </x:c>
      <x:c r="D79" s="18" t="n">
        <x:v>3174.715016367614</x:v>
      </x:c>
      <x:c r="E79" s="10" t="str">
        <x:v>直连优先，中继后备</x:v>
      </x:c>
      <x:c r="F79" s="10" t="str">
        <x:v>R002</x:v>
      </x:c>
      <x:c r="G79" s="10" t="str">
        <x:v>S013→S002</x:v>
      </x:c>
      <x:c r="H79" s="10" t="str">
        <x:v>最坏遮挡距离界</x:v>
      </x:c>
      <x:c r="I79" s="18" t="n">
        <x:v>2.2122947847614967</x:v>
      </x:c>
      <x:c r="J79" s="22" t="n">
        <x:v>1</x:v>
      </x:c>
    </x:row>
    <x:row r="80" ht="28" customHeight="1">
      <x:c r="A80" s="2" t="str">
        <x:v>T008</x:v>
      </x:c>
      <x:c r="B80" s="2" t="str">
        <x:v>量化等待</x:v>
      </x:c>
      <x:c r="C80" s="17" t="n">
        <x:v>3174.715016367614</x:v>
      </x:c>
      <x:c r="D80" s="17" t="n">
        <x:v>3174.7160000000003</x:v>
      </x:c>
      <x:c r="E80" s="2" t="str">
        <x:v>直连优先，中继后备</x:v>
      </x:c>
      <x:c r="F80" s="2" t="str">
        <x:v>R002</x:v>
      </x:c>
      <x:c r="G80" s="2" t="str">
        <x:v>S013→S002</x:v>
      </x:c>
      <x:c r="H80" s="2" t="str">
        <x:v>最坏遮挡距离界</x:v>
      </x:c>
      <x:c r="I80" s="17" t="n">
        <x:v>2.2122947847614967</x:v>
      </x:c>
      <x:c r="J80" s="21" t="n">
        <x:v>1</x:v>
      </x:c>
    </x:row>
    <x:row r="81" ht="28" customHeight="1">
      <x:c r="A81" s="10" t="str">
        <x:v>T008</x:v>
      </x:c>
      <x:c r="B81" s="10" t="str">
        <x:v>投送</x:v>
      </x:c>
      <x:c r="C81" s="18" t="n">
        <x:v>3174.7160000000003</x:v>
      </x:c>
      <x:c r="D81" s="18" t="n">
        <x:v>3354.7160000000003</x:v>
      </x:c>
      <x:c r="E81" s="10" t="str">
        <x:v>直连优先，中继后备</x:v>
      </x:c>
      <x:c r="F81" s="10" t="str">
        <x:v>R002</x:v>
      </x:c>
      <x:c r="G81" s="10" t="str">
        <x:v>S002→S002</x:v>
      </x:c>
      <x:c r="H81" s="10" t="str">
        <x:v>最坏遮挡距离界</x:v>
      </x:c>
      <x:c r="I81" s="18" t="n">
        <x:v>2.2122947847614967</x:v>
      </x:c>
      <x:c r="J81" s="22" t="n">
        <x:v>1</x:v>
      </x:c>
    </x:row>
    <x:row r="82" ht="28" customHeight="1">
      <x:c r="A82" s="2" t="str">
        <x:v>T008</x:v>
      </x:c>
      <x:c r="B82" s="2" t="str">
        <x:v>爬升</x:v>
      </x:c>
      <x:c r="C82" s="17" t="n">
        <x:v>3354.7160000000003</x:v>
      </x:c>
      <x:c r="D82" s="17" t="n">
        <x:v>3390.9782172037762</x:v>
      </x:c>
      <x:c r="E82" s="2" t="str">
        <x:v>直连优先，中继后备</x:v>
      </x:c>
      <x:c r="F82" s="2" t="str">
        <x:v>R002</x:v>
      </x:c>
      <x:c r="G82" s="2" t="str">
        <x:v>S002→S009</x:v>
      </x:c>
      <x:c r="H82" s="2" t="str">
        <x:v>最坏遮挡距离界</x:v>
      </x:c>
      <x:c r="I82" s="17" t="n">
        <x:v>2.2122947847614967</x:v>
      </x:c>
      <x:c r="J82" s="21" t="n">
        <x:v>1</x:v>
      </x:c>
    </x:row>
    <x:row r="83" ht="28" customHeight="1">
      <x:c r="A83" s="10" t="str">
        <x:v>T008</x:v>
      </x:c>
      <x:c r="B83" s="10" t="str">
        <x:v>巡航</x:v>
      </x:c>
      <x:c r="C83" s="18" t="n">
        <x:v>3390.9782172037762</x:v>
      </x:c>
      <x:c r="D83" s="18" t="n">
        <x:v>3534.693520385297</x:v>
      </x:c>
      <x:c r="E83" s="10" t="str">
        <x:v>直连优先，中继后备</x:v>
      </x:c>
      <x:c r="F83" s="10" t="str">
        <x:v>R002</x:v>
      </x:c>
      <x:c r="G83" s="10" t="str">
        <x:v>S002→S009</x:v>
      </x:c>
      <x:c r="H83" s="10" t="str">
        <x:v>最坏遮挡距离界</x:v>
      </x:c>
      <x:c r="I83" s="18" t="n">
        <x:v>2.327609666487625</x:v>
      </x:c>
      <x:c r="J83" s="22" t="n">
        <x:v>1</x:v>
      </x:c>
    </x:row>
    <x:row r="84" ht="28" customHeight="1">
      <x:c r="A84" s="2" t="str">
        <x:v>T008</x:v>
      </x:c>
      <x:c r="B84" s="2" t="str">
        <x:v>下降</x:v>
      </x:c>
      <x:c r="C84" s="17" t="n">
        <x:v>3534.693520385297</x:v>
      </x:c>
      <x:c r="D84" s="17" t="n">
        <x:v>3574.008181029828</x:v>
      </x:c>
      <x:c r="E84" s="2" t="str">
        <x:v>直连优先，中继后备</x:v>
      </x:c>
      <x:c r="F84" s="2" t="str">
        <x:v>R003</x:v>
      </x:c>
      <x:c r="G84" s="2" t="str">
        <x:v>S002→S009</x:v>
      </x:c>
      <x:c r="H84" s="2" t="str">
        <x:v>DEM_triangle_LOS</x:v>
      </x:c>
      <x:c r="I84" s="17" t="n">
        <x:v>0.6321386216392</x:v>
      </x:c>
      <x:c r="J84" s="21" t="n">
        <x:v>1</x:v>
      </x:c>
    </x:row>
    <x:row r="85" ht="28" customHeight="1">
      <x:c r="A85" s="10" t="str">
        <x:v>T008</x:v>
      </x:c>
      <x:c r="B85" s="10" t="str">
        <x:v>量化等待</x:v>
      </x:c>
      <x:c r="C85" s="18" t="n">
        <x:v>3574.008181029828</x:v>
      </x:c>
      <x:c r="D85" s="18" t="n">
        <x:v>3574.009</x:v>
      </x:c>
      <x:c r="E85" s="10" t="str">
        <x:v>直连优先，中继后备</x:v>
      </x:c>
      <x:c r="F85" s="10" t="str">
        <x:v>R003</x:v>
      </x:c>
      <x:c r="G85" s="10" t="str">
        <x:v>S002→S009</x:v>
      </x:c>
      <x:c r="H85" s="10" t="str">
        <x:v>DEM_triangle_LOS</x:v>
      </x:c>
      <x:c r="I85" s="18" t="n">
        <x:v>0.6321386216392</x:v>
      </x:c>
      <x:c r="J85" s="22" t="n">
        <x:v>1</x:v>
      </x:c>
    </x:row>
    <x:row r="86" ht="28" customHeight="1">
      <x:c r="A86" s="2" t="str">
        <x:v>T008</x:v>
      </x:c>
      <x:c r="B86" s="2" t="str">
        <x:v>投送</x:v>
      </x:c>
      <x:c r="C86" s="17" t="n">
        <x:v>3574.009</x:v>
      </x:c>
      <x:c r="D86" s="17" t="n">
        <x:v>3754.009</x:v>
      </x:c>
      <x:c r="E86" s="2" t="str">
        <x:v>直连优先，中继后备</x:v>
      </x:c>
      <x:c r="F86" s="2" t="str">
        <x:v>R003</x:v>
      </x:c>
      <x:c r="G86" s="2" t="str">
        <x:v>S009→S009</x:v>
      </x:c>
      <x:c r="H86" s="2" t="str">
        <x:v>DEM_triangle_LOS</x:v>
      </x:c>
      <x:c r="I86" s="17" t="n">
        <x:v>0.6321386216392</x:v>
      </x:c>
      <x:c r="J86" s="21" t="n">
        <x:v>1</x:v>
      </x:c>
    </x:row>
    <x:row r="87" ht="28" customHeight="1">
      <x:c r="A87" s="10" t="str">
        <x:v>T008</x:v>
      </x:c>
      <x:c r="B87" s="10" t="str">
        <x:v>爬升</x:v>
      </x:c>
      <x:c r="C87" s="18" t="n">
        <x:v>3754.009</x:v>
      </x:c>
      <x:c r="D87" s="18" t="n">
        <x:v>3775.085304117839</x:v>
      </x:c>
      <x:c r="E87" s="10" t="str">
        <x:v>直连优先，中继后备</x:v>
      </x:c>
      <x:c r="F87" s="10" t="str">
        <x:v>R003</x:v>
      </x:c>
      <x:c r="G87" s="10" t="str">
        <x:v>S009→O01</x:v>
      </x:c>
      <x:c r="H87" s="10" t="str">
        <x:v>DEM_triangle_LOS</x:v>
      </x:c>
      <x:c r="I87" s="18" t="n">
        <x:v>0.6321386216392</x:v>
      </x:c>
      <x:c r="J87" s="22" t="n">
        <x:v>1</x:v>
      </x:c>
    </x:row>
    <x:row r="88" ht="28" customHeight="1">
      <x:c r="A88" s="2" t="str">
        <x:v>T008</x:v>
      </x:c>
      <x:c r="B88" s="2" t="str">
        <x:v>巡航</x:v>
      </x:c>
      <x:c r="C88" s="17" t="n">
        <x:v>3775.085304117839</x:v>
      </x:c>
      <x:c r="D88" s="17" t="n">
        <x:v>4250.527258002756</x:v>
      </x:c>
      <x:c r="E88" s="2" t="str">
        <x:v>直连优先，中继后备</x:v>
      </x:c>
      <x:c r="F88" s="2" t="str">
        <x:v>R003</x:v>
      </x:c>
      <x:c r="G88" s="2" t="str">
        <x:v>S009→O01</x:v>
      </x:c>
      <x:c r="H88" s="2" t="str">
        <x:v>DEM_triangle_LOS</x:v>
      </x:c>
      <x:c r="I88" s="17" t="n">
        <x:v>0.6389373131570295</x:v>
      </x:c>
      <x:c r="J88" s="21" t="n">
        <x:v>1</x:v>
      </x:c>
    </x:row>
    <x:row r="89" ht="28" customHeight="1">
      <x:c r="A89" s="10" t="str">
        <x:v>T008</x:v>
      </x:c>
      <x:c r="B89" s="10" t="str">
        <x:v>下降</x:v>
      </x:c>
      <x:c r="C89" s="18" t="n">
        <x:v>4250.527258002756</x:v>
      </x:c>
      <x:c r="D89" s="18" t="n">
        <x:v>4316.738822944162</x:v>
      </x:c>
      <x:c r="E89" s="10" t="str">
        <x:v>直连</x:v>
      </x:c>
      <x:c r="F89" s="10" t="str"/>
      <x:c r="G89" s="10" t="str">
        <x:v>S009→O01</x:v>
      </x:c>
      <x:c r="H89" s="10" t="str">
        <x:v>最坏遮挡距离界</x:v>
      </x:c>
      <x:c r="I89" s="18" t="n">
        <x:v>28.686789494765073</x:v>
      </x:c>
      <x:c r="J89" s="22" t="n">
        <x:v>1</x:v>
      </x:c>
    </x:row>
    <x:row r="90" ht="28" customHeight="1">
      <x:c r="A90" s="2" t="str">
        <x:v>T008</x:v>
      </x:c>
      <x:c r="B90" s="2" t="str">
        <x:v>量化等待</x:v>
      </x:c>
      <x:c r="C90" s="17" t="n">
        <x:v>4316.738822944162</x:v>
      </x:c>
      <x:c r="D90" s="17" t="n">
        <x:v>4316.7390000000005</x:v>
      </x:c>
      <x:c r="E90" s="2" t="str">
        <x:v>直连</x:v>
      </x:c>
      <x:c r="F90" s="2" t="str"/>
      <x:c r="G90" s="2" t="str">
        <x:v>S009→O01</x:v>
      </x:c>
      <x:c r="H90" s="2" t="str">
        <x:v>最坏遮挡距离界</x:v>
      </x:c>
      <x:c r="I90" s="17" t="n">
        <x:v>45.925175252488266</x:v>
      </x:c>
      <x:c r="J90" s="21" t="n">
        <x:v>1</x:v>
      </x:c>
    </x:row>
    <x:row r="91" ht="28" customHeight="1">
      <x:c r="A91" s="10" t="str">
        <x:v>T009</x:v>
      </x:c>
      <x:c r="B91" s="10" t="str">
        <x:v>爬升</x:v>
      </x:c>
      <x:c r="C91" s="18" t="n">
        <x:v>2031.16</x:v>
      </x:c>
      <x:c r="D91" s="18" t="n">
        <x:v>2121.6539412434895</x:v>
      </x:c>
      <x:c r="E91" s="10" t="str">
        <x:v>直连</x:v>
      </x:c>
      <x:c r="F91" s="10" t="str"/>
      <x:c r="G91" s="10" t="str">
        <x:v>O01→S013</x:v>
      </x:c>
      <x:c r="H91" s="10" t="str">
        <x:v>最坏遮挡距离界</x:v>
      </x:c>
      <x:c r="I91" s="18" t="n">
        <x:v>23.935643142447674</x:v>
      </x:c>
      <x:c r="J91" s="22" t="n">
        <x:v>1</x:v>
      </x:c>
    </x:row>
    <x:row r="92" ht="28" customHeight="1">
      <x:c r="A92" s="2" t="str">
        <x:v>T009</x:v>
      </x:c>
      <x:c r="B92" s="2" t="str">
        <x:v>巡航</x:v>
      </x:c>
      <x:c r="C92" s="17" t="n">
        <x:v>2121.6539412434895</x:v>
      </x:c>
      <x:c r="D92" s="17" t="n">
        <x:v>2323.717976849689</x:v>
      </x:c>
      <x:c r="E92" s="2" t="str">
        <x:v>直连</x:v>
      </x:c>
      <x:c r="F92" s="2" t="str"/>
      <x:c r="G92" s="2" t="str">
        <x:v>O01→S013</x:v>
      </x:c>
      <x:c r="H92" s="2" t="str">
        <x:v>最坏遮挡距离界</x:v>
      </x:c>
      <x:c r="I92" s="17" t="n">
        <x:v>4.20590418808473</x:v>
      </x:c>
      <x:c r="J92" s="21" t="n">
        <x:v>1</x:v>
      </x:c>
    </x:row>
    <x:row r="93" ht="28" customHeight="1">
      <x:c r="A93" s="10" t="str">
        <x:v>T009</x:v>
      </x:c>
      <x:c r="B93" s="10" t="str">
        <x:v>巡航</x:v>
      </x:c>
      <x:c r="C93" s="18" t="n">
        <x:v>2323.717976849689</x:v>
      </x:c>
      <x:c r="D93" s="18" t="n">
        <x:v>2525.782012455888</x:v>
      </x:c>
      <x:c r="E93" s="10" t="str">
        <x:v>直连优先，中继后备</x:v>
      </x:c>
      <x:c r="F93" s="10" t="str">
        <x:v>R002</x:v>
      </x:c>
      <x:c r="G93" s="10" t="str">
        <x:v>O01→S013</x:v>
      </x:c>
      <x:c r="H93" s="10" t="str">
        <x:v>DEM_triangle_LOS</x:v>
      </x:c>
      <x:c r="I93" s="18" t="n">
        <x:v>2.9118448075001595</x:v>
      </x:c>
      <x:c r="J93" s="22" t="n">
        <x:v>1</x:v>
      </x:c>
    </x:row>
    <x:row r="94" ht="28" customHeight="1">
      <x:c r="A94" s="2" t="str">
        <x:v>T009</x:v>
      </x:c>
      <x:c r="B94" s="2" t="str">
        <x:v>下降</x:v>
      </x:c>
      <x:c r="C94" s="17" t="n">
        <x:v>2525.782012455888</x:v>
      </x:c>
      <x:c r="D94" s="17" t="n">
        <x:v>2544.7747419480756</x:v>
      </x:c>
      <x:c r="E94" s="2" t="str">
        <x:v>直连优先，中继后备</x:v>
      </x:c>
      <x:c r="F94" s="2" t="str">
        <x:v>R002</x:v>
      </x:c>
      <x:c r="G94" s="2" t="str">
        <x:v>O01→S013</x:v>
      </x:c>
      <x:c r="H94" s="2" t="str">
        <x:v>DEM_triangle_LOS</x:v>
      </x:c>
      <x:c r="I94" s="17" t="n">
        <x:v>6.182612275017647</x:v>
      </x:c>
      <x:c r="J94" s="21" t="n">
        <x:v>1</x:v>
      </x:c>
    </x:row>
    <x:row r="95" ht="28" customHeight="1">
      <x:c r="A95" s="10" t="str">
        <x:v>T009</x:v>
      </x:c>
      <x:c r="B95" s="10" t="str">
        <x:v>量化等待</x:v>
      </x:c>
      <x:c r="C95" s="18" t="n">
        <x:v>2544.7747419480756</x:v>
      </x:c>
      <x:c r="D95" s="18" t="n">
        <x:v>2544.775</x:v>
      </x:c>
      <x:c r="E95" s="10" t="str">
        <x:v>直连优先，中继后备</x:v>
      </x:c>
      <x:c r="F95" s="10" t="str">
        <x:v>R002</x:v>
      </x:c>
      <x:c r="G95" s="10" t="str">
        <x:v>O01→S013</x:v>
      </x:c>
      <x:c r="H95" s="10" t="str">
        <x:v>DEM_triangle_LOS</x:v>
      </x:c>
      <x:c r="I95" s="18" t="n">
        <x:v>6.182612275017647</x:v>
      </x:c>
      <x:c r="J95" s="22" t="n">
        <x:v>1</x:v>
      </x:c>
    </x:row>
    <x:row r="96" ht="28" customHeight="1">
      <x:c r="A96" s="2" t="str">
        <x:v>T009</x:v>
      </x:c>
      <x:c r="B96" s="2" t="str">
        <x:v>投送</x:v>
      </x:c>
      <x:c r="C96" s="17" t="n">
        <x:v>2544.775</x:v>
      </x:c>
      <x:c r="D96" s="17" t="n">
        <x:v>2754.775</x:v>
      </x:c>
      <x:c r="E96" s="2" t="str">
        <x:v>直连优先，中继后备</x:v>
      </x:c>
      <x:c r="F96" s="2" t="str">
        <x:v>R002</x:v>
      </x:c>
      <x:c r="G96" s="2" t="str">
        <x:v>S013→S013</x:v>
      </x:c>
      <x:c r="H96" s="2" t="str">
        <x:v>DEM_triangle_LOS</x:v>
      </x:c>
      <x:c r="I96" s="17" t="n">
        <x:v>6.182612275017647</x:v>
      </x:c>
      <x:c r="J96" s="21" t="n">
        <x:v>1</x:v>
      </x:c>
    </x:row>
    <x:row r="97" ht="28" customHeight="1">
      <x:c r="A97" s="10" t="str">
        <x:v>T009</x:v>
      </x:c>
      <x:c r="B97" s="10" t="str">
        <x:v>爬升</x:v>
      </x:c>
      <x:c r="C97" s="18" t="n">
        <x:v>2754.775</x:v>
      </x:c>
      <x:c r="D97" s="18" t="n">
        <x:v>2770.602274576823</x:v>
      </x:c>
      <x:c r="E97" s="10" t="str">
        <x:v>直连优先，中继后备</x:v>
      </x:c>
      <x:c r="F97" s="10" t="str">
        <x:v>R002</x:v>
      </x:c>
      <x:c r="G97" s="10" t="str">
        <x:v>S013→O01</x:v>
      </x:c>
      <x:c r="H97" s="10" t="str">
        <x:v>DEM_triangle_LOS</x:v>
      </x:c>
      <x:c r="I97" s="18" t="n">
        <x:v>6.182612275017647</x:v>
      </x:c>
      <x:c r="J97" s="22" t="n">
        <x:v>1</x:v>
      </x:c>
    </x:row>
    <x:row r="98" ht="28" customHeight="1">
      <x:c r="A98" s="2" t="str">
        <x:v>T009</x:v>
      </x:c>
      <x:c r="B98" s="2" t="str">
        <x:v>巡航</x:v>
      </x:c>
      <x:c r="C98" s="17" t="n">
        <x:v>2770.602274576823</x:v>
      </x:c>
      <x:c r="D98" s="17" t="n">
        <x:v>2972.6663101830222</x:v>
      </x:c>
      <x:c r="E98" s="2" t="str">
        <x:v>直连优先，中继后备</x:v>
      </x:c>
      <x:c r="F98" s="2" t="str">
        <x:v>R002</x:v>
      </x:c>
      <x:c r="G98" s="2" t="str">
        <x:v>S013→O01</x:v>
      </x:c>
      <x:c r="H98" s="2" t="str">
        <x:v>DEM_triangle_LOS</x:v>
      </x:c>
      <x:c r="I98" s="17" t="n">
        <x:v>2.9118448075001595</x:v>
      </x:c>
      <x:c r="J98" s="21" t="n">
        <x:v>1</x:v>
      </x:c>
    </x:row>
    <x:row r="99" ht="28" customHeight="1">
      <x:c r="A99" s="10" t="str">
        <x:v>T009</x:v>
      </x:c>
      <x:c r="B99" s="10" t="str">
        <x:v>巡航</x:v>
      </x:c>
      <x:c r="C99" s="18" t="n">
        <x:v>2972.6663101830222</x:v>
      </x:c>
      <x:c r="D99" s="18" t="n">
        <x:v>3174.7303457892212</x:v>
      </x:c>
      <x:c r="E99" s="10" t="str">
        <x:v>直连</x:v>
      </x:c>
      <x:c r="F99" s="10" t="str"/>
      <x:c r="G99" s="10" t="str">
        <x:v>S013→O01</x:v>
      </x:c>
      <x:c r="H99" s="10" t="str">
        <x:v>最坏遮挡距离界</x:v>
      </x:c>
      <x:c r="I99" s="18" t="n">
        <x:v>4.20590418808473</x:v>
      </x:c>
      <x:c r="J99" s="22" t="n">
        <x:v>1</x:v>
      </x:c>
    </x:row>
    <x:row r="100" ht="28" customHeight="1">
      <x:c r="A100" s="2" t="str">
        <x:v>T009</x:v>
      </x:c>
      <x:c r="B100" s="2" t="str">
        <x:v>下降</x:v>
      </x:c>
      <x:c r="C100" s="17" t="n">
        <x:v>3174.7303457892212</x:v>
      </x:c>
      <x:c r="D100" s="17" t="n">
        <x:v>3283.323075281409</x:v>
      </x:c>
      <x:c r="E100" s="2" t="str">
        <x:v>直连</x:v>
      </x:c>
      <x:c r="F100" s="2" t="str"/>
      <x:c r="G100" s="2" t="str">
        <x:v>S013→O01</x:v>
      </x:c>
      <x:c r="H100" s="2" t="str">
        <x:v>最坏遮挡距离界</x:v>
      </x:c>
      <x:c r="I100" s="17" t="n">
        <x:v>23.935643142447674</x:v>
      </x:c>
      <x:c r="J100" s="21" t="n">
        <x:v>1</x:v>
      </x:c>
    </x:row>
    <x:row r="101" ht="28" customHeight="1">
      <x:c r="A101" s="10" t="str">
        <x:v>T009</x:v>
      </x:c>
      <x:c r="B101" s="10" t="str">
        <x:v>量化等待</x:v>
      </x:c>
      <x:c r="C101" s="18" t="n">
        <x:v>3283.323075281409</x:v>
      </x:c>
      <x:c r="D101" s="18" t="n">
        <x:v>3283.324</x:v>
      </x:c>
      <x:c r="E101" s="10" t="str">
        <x:v>直连</x:v>
      </x:c>
      <x:c r="F101" s="10" t="str"/>
      <x:c r="G101" s="10" t="str">
        <x:v>S013→O01</x:v>
      </x:c>
      <x:c r="H101" s="10" t="str">
        <x:v>最坏遮挡距离界</x:v>
      </x:c>
      <x:c r="I101" s="18" t="n">
        <x:v>45.925175252488266</x:v>
      </x:c>
      <x:c r="J101" s="22" t="n">
        <x:v>1</x:v>
      </x:c>
    </x:row>
    <x:row r="102" ht="28" customHeight="1">
      <x:c r="A102" s="2" t="str">
        <x:v>T010</x:v>
      </x:c>
      <x:c r="B102" s="2" t="str">
        <x:v>爬升</x:v>
      </x:c>
      <x:c r="C102" s="17" t="n">
        <x:v>2172.176</x:v>
      </x:c>
      <x:c r="D102" s="17" t="n">
        <x:v>2280.391666503906</x:v>
      </x:c>
      <x:c r="E102" s="2" t="str">
        <x:v>直连</x:v>
      </x:c>
      <x:c r="F102" s="2" t="str"/>
      <x:c r="G102" s="2" t="str">
        <x:v>O01→S004</x:v>
      </x:c>
      <x:c r="H102" s="2" t="str">
        <x:v>最坏遮挡距离界</x:v>
      </x:c>
      <x:c r="I102" s="17" t="n">
        <x:v>23.968262608738186</x:v>
      </x:c>
      <x:c r="J102" s="21" t="n">
        <x:v>1</x:v>
      </x:c>
    </x:row>
    <x:row r="103" ht="28" customHeight="1">
      <x:c r="A103" s="10" t="str">
        <x:v>T010</x:v>
      </x:c>
      <x:c r="B103" s="10" t="str">
        <x:v>巡航</x:v>
      </x:c>
      <x:c r="C103" s="18" t="n">
        <x:v>2280.391666503906</x:v>
      </x:c>
      <x:c r="D103" s="18" t="n">
        <x:v>2537.547721380123</x:v>
      </x:c>
      <x:c r="E103" s="10" t="str">
        <x:v>直连</x:v>
      </x:c>
      <x:c r="F103" s="10" t="str"/>
      <x:c r="G103" s="10" t="str">
        <x:v>O01→S004</x:v>
      </x:c>
      <x:c r="H103" s="10" t="str">
        <x:v>最坏遮挡距离界</x:v>
      </x:c>
      <x:c r="I103" s="18" t="n">
        <x:v>0.20173199561206445</x:v>
      </x:c>
      <x:c r="J103" s="22" t="n">
        <x:v>1</x:v>
      </x:c>
    </x:row>
    <x:row r="104" ht="28" customHeight="1">
      <x:c r="A104" s="2" t="str">
        <x:v>T010</x:v>
      </x:c>
      <x:c r="B104" s="2" t="str">
        <x:v>巡航</x:v>
      </x:c>
      <x:c r="C104" s="17" t="n">
        <x:v>2537.547721380123</x:v>
      </x:c>
      <x:c r="D104" s="17" t="n">
        <x:v>2794.70377625634</x:v>
      </x:c>
      <x:c r="E104" s="2" t="str">
        <x:v>直连优先，中继后备</x:v>
      </x:c>
      <x:c r="F104" s="2" t="str">
        <x:v>R002</x:v>
      </x:c>
      <x:c r="G104" s="2" t="str">
        <x:v>O01→S004</x:v>
      </x:c>
      <x:c r="H104" s="2" t="str">
        <x:v>DEM_triangle_LOS</x:v>
      </x:c>
      <x:c r="I104" s="17" t="n">
        <x:v>4.959746332036659</x:v>
      </x:c>
      <x:c r="J104" s="21" t="n">
        <x:v>1</x:v>
      </x:c>
    </x:row>
    <x:row r="105" ht="28" customHeight="1">
      <x:c r="A105" s="10" t="str">
        <x:v>T010</x:v>
      </x:c>
      <x:c r="B105" s="10" t="str">
        <x:v>下降</x:v>
      </x:c>
      <x:c r="C105" s="18" t="n">
        <x:v>2794.70377625634</x:v>
      </x:c>
      <x:c r="D105" s="18" t="n">
        <x:v>2879.6733593862227</x:v>
      </x:c>
      <x:c r="E105" s="10" t="str">
        <x:v>直连优先，中继后备</x:v>
      </x:c>
      <x:c r="F105" s="10" t="str">
        <x:v>R002</x:v>
      </x:c>
      <x:c r="G105" s="10" t="str">
        <x:v>O01→S004</x:v>
      </x:c>
      <x:c r="H105" s="10" t="str">
        <x:v>DEM_triangle_LOS</x:v>
      </x:c>
      <x:c r="I105" s="18" t="n">
        <x:v>5.006846996950301</x:v>
      </x:c>
      <x:c r="J105" s="22" t="n">
        <x:v>1</x:v>
      </x:c>
    </x:row>
    <x:row r="106" ht="28" customHeight="1">
      <x:c r="A106" s="2" t="str">
        <x:v>T010</x:v>
      </x:c>
      <x:c r="B106" s="2" t="str">
        <x:v>量化等待</x:v>
      </x:c>
      <x:c r="C106" s="17" t="n">
        <x:v>2879.6733593862227</x:v>
      </x:c>
      <x:c r="D106" s="17" t="n">
        <x:v>2879.674</x:v>
      </x:c>
      <x:c r="E106" s="2" t="str">
        <x:v>直连优先，中继后备</x:v>
      </x:c>
      <x:c r="F106" s="2" t="str">
        <x:v>R002</x:v>
      </x:c>
      <x:c r="G106" s="2" t="str">
        <x:v>O01→S004</x:v>
      </x:c>
      <x:c r="H106" s="2" t="str">
        <x:v>DEM_triangle_LOS</x:v>
      </x:c>
      <x:c r="I106" s="17" t="n">
        <x:v>5.006846996950301</x:v>
      </x:c>
      <x:c r="J106" s="21" t="n">
        <x:v>1</x:v>
      </x:c>
    </x:row>
    <x:row r="107" ht="28" customHeight="1">
      <x:c r="A107" s="10" t="str">
        <x:v>T010</x:v>
      </x:c>
      <x:c r="B107" s="10" t="str">
        <x:v>投送</x:v>
      </x:c>
      <x:c r="C107" s="18" t="n">
        <x:v>2879.674</x:v>
      </x:c>
      <x:c r="D107" s="18" t="n">
        <x:v>3275.674</x:v>
      </x:c>
      <x:c r="E107" s="10" t="str">
        <x:v>直连优先，中继后备</x:v>
      </x:c>
      <x:c r="F107" s="10" t="str">
        <x:v>R002</x:v>
      </x:c>
      <x:c r="G107" s="10" t="str">
        <x:v>S004→S004</x:v>
      </x:c>
      <x:c r="H107" s="10" t="str">
        <x:v>DEM_triangle_LOS</x:v>
      </x:c>
      <x:c r="I107" s="18" t="n">
        <x:v>5.006846996950301</x:v>
      </x:c>
      <x:c r="J107" s="22" t="n">
        <x:v>1</x:v>
      </x:c>
    </x:row>
    <x:row r="108" ht="28" customHeight="1">
      <x:c r="A108" s="2" t="str">
        <x:v>T010</x:v>
      </x:c>
      <x:c r="B108" s="2" t="str">
        <x:v>爬升</x:v>
      </x:c>
      <x:c r="C108" s="17" t="n">
        <x:v>3275.674</x:v>
      </x:c>
      <x:c r="D108" s="17" t="n">
        <x:v>3343.6496665039062</x:v>
      </x:c>
      <x:c r="E108" s="2" t="str">
        <x:v>直连优先，中继后备</x:v>
      </x:c>
      <x:c r="F108" s="2" t="str">
        <x:v>R002</x:v>
      </x:c>
      <x:c r="G108" s="2" t="str">
        <x:v>S004→O01</x:v>
      </x:c>
      <x:c r="H108" s="2" t="str">
        <x:v>DEM_triangle_LOS</x:v>
      </x:c>
      <x:c r="I108" s="17" t="n">
        <x:v>5.006846996950301</x:v>
      </x:c>
      <x:c r="J108" s="21" t="n">
        <x:v>1</x:v>
      </x:c>
    </x:row>
    <x:row r="109" ht="28" customHeight="1">
      <x:c r="A109" s="10" t="str">
        <x:v>T010</x:v>
      </x:c>
      <x:c r="B109" s="10" t="str">
        <x:v>巡航</x:v>
      </x:c>
      <x:c r="C109" s="18" t="n">
        <x:v>3343.6496665039062</x:v>
      </x:c>
      <x:c r="D109" s="18" t="n">
        <x:v>3600.805721380123</x:v>
      </x:c>
      <x:c r="E109" s="10" t="str">
        <x:v>直连优先，中继后备</x:v>
      </x:c>
      <x:c r="F109" s="10" t="str">
        <x:v>R002</x:v>
      </x:c>
      <x:c r="G109" s="10" t="str">
        <x:v>S004→O01</x:v>
      </x:c>
      <x:c r="H109" s="10" t="str">
        <x:v>DEM_triangle_LOS</x:v>
      </x:c>
      <x:c r="I109" s="18" t="n">
        <x:v>4.959746332036659</x:v>
      </x:c>
      <x:c r="J109" s="22" t="n">
        <x:v>1</x:v>
      </x:c>
    </x:row>
    <x:row r="110" ht="28" customHeight="1">
      <x:c r="A110" s="2" t="str">
        <x:v>T010</x:v>
      </x:c>
      <x:c r="B110" s="2" t="str">
        <x:v>巡航</x:v>
      </x:c>
      <x:c r="C110" s="17" t="n">
        <x:v>3600.805721380123</x:v>
      </x:c>
      <x:c r="D110" s="17" t="n">
        <x:v>3857.96177625634</x:v>
      </x:c>
      <x:c r="E110" s="2" t="str">
        <x:v>直连</x:v>
      </x:c>
      <x:c r="F110" s="2" t="str"/>
      <x:c r="G110" s="2" t="str">
        <x:v>S004→O01</x:v>
      </x:c>
      <x:c r="H110" s="2" t="str">
        <x:v>最坏遮挡距离界</x:v>
      </x:c>
      <x:c r="I110" s="17" t="n">
        <x:v>0.20173199561206445</x:v>
      </x:c>
      <x:c r="J110" s="21" t="n">
        <x:v>1</x:v>
      </x:c>
    </x:row>
    <x:row r="111" ht="28" customHeight="1">
      <x:c r="A111" s="10" t="str">
        <x:v>T010</x:v>
      </x:c>
      <x:c r="B111" s="10" t="str">
        <x:v>下降</x:v>
      </x:c>
      <x:c r="C111" s="18" t="n">
        <x:v>3857.96177625634</x:v>
      </x:c>
      <x:c r="D111" s="18" t="n">
        <x:v>3993.2313593862227</x:v>
      </x:c>
      <x:c r="E111" s="10" t="str">
        <x:v>直连</x:v>
      </x:c>
      <x:c r="F111" s="10" t="str"/>
      <x:c r="G111" s="10" t="str">
        <x:v>S004→O01</x:v>
      </x:c>
      <x:c r="H111" s="10" t="str">
        <x:v>最坏遮挡距离界</x:v>
      </x:c>
      <x:c r="I111" s="18" t="n">
        <x:v>23.968262608738186</x:v>
      </x:c>
      <x:c r="J111" s="22" t="n">
        <x:v>1</x:v>
      </x:c>
    </x:row>
    <x:row r="112" ht="28" customHeight="1">
      <x:c r="A112" s="2" t="str">
        <x:v>T010</x:v>
      </x:c>
      <x:c r="B112" s="2" t="str">
        <x:v>量化等待</x:v>
      </x:c>
      <x:c r="C112" s="17" t="n">
        <x:v>3993.2313593862227</x:v>
      </x:c>
      <x:c r="D112" s="17" t="n">
        <x:v>3993.232</x:v>
      </x:c>
      <x:c r="E112" s="2" t="str">
        <x:v>直连</x:v>
      </x:c>
      <x:c r="F112" s="2" t="str"/>
      <x:c r="G112" s="2" t="str">
        <x:v>S004→O01</x:v>
      </x:c>
      <x:c r="H112" s="2" t="str">
        <x:v>最坏遮挡距离界</x:v>
      </x:c>
      <x:c r="I112" s="17" t="n">
        <x:v>45.925175252488266</x:v>
      </x:c>
      <x:c r="J112" s="21" t="n">
        <x:v>1</x:v>
      </x:c>
    </x:row>
    <x:row r="113" ht="28" customHeight="1">
      <x:c r="A113" s="10" t="str">
        <x:v>T011</x:v>
      </x:c>
      <x:c r="B113" s="10" t="str">
        <x:v>爬升</x:v>
      </x:c>
      <x:c r="C113" s="18" t="n">
        <x:v>2234.884</x:v>
      </x:c>
      <x:c r="D113" s="18" t="n">
        <x:v>2314.3499464518227</x:v>
      </x:c>
      <x:c r="E113" s="10" t="str">
        <x:v>直连</x:v>
      </x:c>
      <x:c r="F113" s="10" t="str"/>
      <x:c r="G113" s="10" t="str">
        <x:v>O01→S006</x:v>
      </x:c>
      <x:c r="H113" s="10" t="str">
        <x:v>最坏遮挡距离界</x:v>
      </x:c>
      <x:c r="I113" s="18" t="n">
        <x:v>25.16080841557533</x:v>
      </x:c>
      <x:c r="J113" s="22" t="n">
        <x:v>1</x:v>
      </x:c>
    </x:row>
    <x:row r="114" ht="28" customHeight="1">
      <x:c r="A114" s="2" t="str">
        <x:v>T011</x:v>
      </x:c>
      <x:c r="B114" s="2" t="str">
        <x:v>巡航</x:v>
      </x:c>
      <x:c r="C114" s="17" t="n">
        <x:v>2314.3499464518227</x:v>
      </x:c>
      <x:c r="D114" s="17" t="n">
        <x:v>2579.8665174810594</x:v>
      </x:c>
      <x:c r="E114" s="2" t="str">
        <x:v>直连</x:v>
      </x:c>
      <x:c r="F114" s="2" t="str"/>
      <x:c r="G114" s="2" t="str">
        <x:v>O01→S006</x:v>
      </x:c>
      <x:c r="H114" s="2" t="str">
        <x:v>最坏遮挡距离界</x:v>
      </x:c>
      <x:c r="I114" s="17" t="n">
        <x:v>1.8599604785582073</x:v>
      </x:c>
      <x:c r="J114" s="21" t="n">
        <x:v>1</x:v>
      </x:c>
    </x:row>
    <x:row r="115" ht="28" customHeight="1">
      <x:c r="A115" s="10" t="str">
        <x:v>T011</x:v>
      </x:c>
      <x:c r="B115" s="10" t="str">
        <x:v>下降</x:v>
      </x:c>
      <x:c r="C115" s="18" t="n">
        <x:v>2579.8665174810594</x:v>
      </x:c>
      <x:c r="D115" s="18" t="n">
        <x:v>2600.385653223247</x:v>
      </x:c>
      <x:c r="E115" s="10" t="str">
        <x:v>直连</x:v>
      </x:c>
      <x:c r="F115" s="10" t="str"/>
      <x:c r="G115" s="10" t="str">
        <x:v>O01→S006</x:v>
      </x:c>
      <x:c r="H115" s="10" t="str">
        <x:v>最坏遮挡距离界</x:v>
      </x:c>
      <x:c r="I115" s="18" t="n">
        <x:v>1.8599604785582073</x:v>
      </x:c>
      <x:c r="J115" s="22" t="n">
        <x:v>1</x:v>
      </x:c>
    </x:row>
    <x:row r="116" ht="28" customHeight="1">
      <x:c r="A116" s="2" t="str">
        <x:v>T011</x:v>
      </x:c>
      <x:c r="B116" s="2" t="str">
        <x:v>量化等待</x:v>
      </x:c>
      <x:c r="C116" s="17" t="n">
        <x:v>2600.385653223247</x:v>
      </x:c>
      <x:c r="D116" s="17" t="n">
        <x:v>2600.386</x:v>
      </x:c>
      <x:c r="E116" s="2" t="str">
        <x:v>直连</x:v>
      </x:c>
      <x:c r="F116" s="2" t="str"/>
      <x:c r="G116" s="2" t="str">
        <x:v>O01→S006</x:v>
      </x:c>
      <x:c r="H116" s="2" t="str">
        <x:v>最坏遮挡距离界</x:v>
      </x:c>
      <x:c r="I116" s="17" t="n">
        <x:v>1.8683888800624544</x:v>
      </x:c>
      <x:c r="J116" s="21" t="n">
        <x:v>1</x:v>
      </x:c>
    </x:row>
    <x:row r="117" ht="28" customHeight="1">
      <x:c r="A117" s="10" t="str">
        <x:v>T011</x:v>
      </x:c>
      <x:c r="B117" s="10" t="str">
        <x:v>投送</x:v>
      </x:c>
      <x:c r="C117" s="18" t="n">
        <x:v>2600.386</x:v>
      </x:c>
      <x:c r="D117" s="18" t="n">
        <x:v>2780.386</x:v>
      </x:c>
      <x:c r="E117" s="10" t="str">
        <x:v>直连</x:v>
      </x:c>
      <x:c r="F117" s="10" t="str"/>
      <x:c r="G117" s="10" t="str">
        <x:v>S006→S006</x:v>
      </x:c>
      <x:c r="H117" s="10" t="str">
        <x:v>最坏遮挡距离界</x:v>
      </x:c>
      <x:c r="I117" s="18" t="n">
        <x:v>1.8683888800624544</x:v>
      </x:c>
      <x:c r="J117" s="22" t="n">
        <x:v>1</x:v>
      </x:c>
    </x:row>
    <x:row r="118" ht="28" customHeight="1">
      <x:c r="A118" s="2" t="str">
        <x:v>T011</x:v>
      </x:c>
      <x:c r="B118" s="2" t="str">
        <x:v>爬升</x:v>
      </x:c>
      <x:c r="C118" s="17" t="n">
        <x:v>2780.386</x:v>
      </x:c>
      <x:c r="D118" s="17" t="n">
        <x:v>2872.2397760416666</x:v>
      </x:c>
      <x:c r="E118" s="2" t="str">
        <x:v>直连</x:v>
      </x:c>
      <x:c r="F118" s="2" t="str"/>
      <x:c r="G118" s="2" t="str">
        <x:v>S006→S007</x:v>
      </x:c>
      <x:c r="H118" s="2" t="str">
        <x:v>最坏遮挡距离界</x:v>
      </x:c>
      <x:c r="I118" s="17" t="n">
        <x:v>1.7972897928624434</x:v>
      </x:c>
      <x:c r="J118" s="21" t="n">
        <x:v>1</x:v>
      </x:c>
    </x:row>
    <x:row r="119" ht="28" customHeight="1">
      <x:c r="A119" s="10" t="str">
        <x:v>T011</x:v>
      </x:c>
      <x:c r="B119" s="10" t="str">
        <x:v>巡航</x:v>
      </x:c>
      <x:c r="C119" s="18" t="n">
        <x:v>2872.2397760416666</x:v>
      </x:c>
      <x:c r="D119" s="18" t="n">
        <x:v>2976.717021723958</x:v>
      </x:c>
      <x:c r="E119" s="10" t="str">
        <x:v>直连</x:v>
      </x:c>
      <x:c r="F119" s="10" t="str"/>
      <x:c r="G119" s="10" t="str">
        <x:v>S006→S007</x:v>
      </x:c>
      <x:c r="H119" s="10" t="str">
        <x:v>最坏遮挡距离界</x:v>
      </x:c>
      <x:c r="I119" s="18" t="n">
        <x:v>0.4901194023406106</x:v>
      </x:c>
      <x:c r="J119" s="22" t="n">
        <x:v>1</x:v>
      </x:c>
    </x:row>
    <x:row r="120" ht="28" customHeight="1">
      <x:c r="A120" s="2" t="str">
        <x:v>T011</x:v>
      </x:c>
      <x:c r="B120" s="2" t="str">
        <x:v>巡航</x:v>
      </x:c>
      <x:c r="C120" s="17" t="n">
        <x:v>2976.717021723958</x:v>
      </x:c>
      <x:c r="D120" s="17" t="n">
        <x:v>3081.1942674062498</x:v>
      </x:c>
      <x:c r="E120" s="2" t="str">
        <x:v>直连优先，中继后备</x:v>
      </x:c>
      <x:c r="F120" s="2" t="str">
        <x:v>R003</x:v>
      </x:c>
      <x:c r="G120" s="2" t="str">
        <x:v>S006→S007</x:v>
      </x:c>
      <x:c r="H120" s="2" t="str">
        <x:v>最坏遮挡距离界</x:v>
      </x:c>
      <x:c r="I120" s="17" t="n">
        <x:v>0.07973598524506542</x:v>
      </x:c>
      <x:c r="J120" s="21" t="n">
        <x:v>1</x:v>
      </x:c>
    </x:row>
    <x:row r="121" ht="28" customHeight="1">
      <x:c r="A121" s="10" t="str">
        <x:v>T011</x:v>
      </x:c>
      <x:c r="B121" s="10" t="str">
        <x:v>下降</x:v>
      </x:c>
      <x:c r="C121" s="18" t="n">
        <x:v>3081.1942674062498</x:v>
      </x:c>
      <x:c r="D121" s="18" t="n">
        <x:v>3177.9387986562497</x:v>
      </x:c>
      <x:c r="E121" s="10" t="str">
        <x:v>直连优先，中继后备</x:v>
      </x:c>
      <x:c r="F121" s="10" t="str">
        <x:v>R003</x:v>
      </x:c>
      <x:c r="G121" s="10" t="str">
        <x:v>S006→S007</x:v>
      </x:c>
      <x:c r="H121" s="10" t="str">
        <x:v>最坏遮挡距离界</x:v>
      </x:c>
      <x:c r="I121" s="18" t="n">
        <x:v>4.522365880180942</x:v>
      </x:c>
      <x:c r="J121" s="22" t="n">
        <x:v>1</x:v>
      </x:c>
    </x:row>
    <x:row r="122" ht="28" customHeight="1">
      <x:c r="A122" s="2" t="str">
        <x:v>T011</x:v>
      </x:c>
      <x:c r="B122" s="2" t="str">
        <x:v>量化等待</x:v>
      </x:c>
      <x:c r="C122" s="17" t="n">
        <x:v>3177.9387986562497</x:v>
      </x:c>
      <x:c r="D122" s="17" t="n">
        <x:v>3177.9390000000003</x:v>
      </x:c>
      <x:c r="E122" s="2" t="str">
        <x:v>直连优先，中继后备</x:v>
      </x:c>
      <x:c r="F122" s="2" t="str">
        <x:v>R003</x:v>
      </x:c>
      <x:c r="G122" s="2" t="str">
        <x:v>S006→S007</x:v>
      </x:c>
      <x:c r="H122" s="2" t="str">
        <x:v>最坏遮挡距离界</x:v>
      </x:c>
      <x:c r="I122" s="17" t="n">
        <x:v>4.522365880180942</x:v>
      </x:c>
      <x:c r="J122" s="21" t="n">
        <x:v>1</x:v>
      </x:c>
    </x:row>
    <x:row r="123" ht="28" customHeight="1">
      <x:c r="A123" s="10" t="str">
        <x:v>T011</x:v>
      </x:c>
      <x:c r="B123" s="10" t="str">
        <x:v>投送</x:v>
      </x:c>
      <x:c r="C123" s="18" t="n">
        <x:v>3177.9390000000003</x:v>
      </x:c>
      <x:c r="D123" s="18" t="n">
        <x:v>3387.9390000000003</x:v>
      </x:c>
      <x:c r="E123" s="10" t="str">
        <x:v>直连优先，中继后备</x:v>
      </x:c>
      <x:c r="F123" s="10" t="str">
        <x:v>R003</x:v>
      </x:c>
      <x:c r="G123" s="10" t="str">
        <x:v>S007→S007</x:v>
      </x:c>
      <x:c r="H123" s="10" t="str">
        <x:v>最坏遮挡距离界</x:v>
      </x:c>
      <x:c r="I123" s="18" t="n">
        <x:v>4.522365880180942</x:v>
      </x:c>
      <x:c r="J123" s="22" t="n">
        <x:v>1</x:v>
      </x:c>
    </x:row>
    <x:row r="124" ht="28" customHeight="1">
      <x:c r="A124" s="2" t="str">
        <x:v>T011</x:v>
      </x:c>
      <x:c r="B124" s="2" t="str">
        <x:v>爬升</x:v>
      </x:c>
      <x:c r="C124" s="17" t="n">
        <x:v>3387.9390000000003</x:v>
      </x:c>
      <x:c r="D124" s="17" t="n">
        <x:v>3442.4300583496097</x:v>
      </x:c>
      <x:c r="E124" s="2" t="str">
        <x:v>直连优先，中继后备</x:v>
      </x:c>
      <x:c r="F124" s="2" t="str">
        <x:v>R003</x:v>
      </x:c>
      <x:c r="G124" s="2" t="str">
        <x:v>S007→O01</x:v>
      </x:c>
      <x:c r="H124" s="2" t="str">
        <x:v>最坏遮挡距离界</x:v>
      </x:c>
      <x:c r="I124" s="17" t="n">
        <x:v>4.522365880180942</x:v>
      </x:c>
      <x:c r="J124" s="21" t="n">
        <x:v>1</x:v>
      </x:c>
    </x:row>
    <x:row r="125" ht="28" customHeight="1">
      <x:c r="A125" s="10" t="str">
        <x:v>T011</x:v>
      </x:c>
      <x:c r="B125" s="10" t="str">
        <x:v>巡航</x:v>
      </x:c>
      <x:c r="C125" s="18" t="n">
        <x:v>3442.4300583496097</x:v>
      </x:c>
      <x:c r="D125" s="18" t="n">
        <x:v>3820.32317292636</x:v>
      </x:c>
      <x:c r="E125" s="10" t="str">
        <x:v>直连优先，中继后备</x:v>
      </x:c>
      <x:c r="F125" s="10" t="str">
        <x:v>R003</x:v>
      </x:c>
      <x:c r="G125" s="10" t="str">
        <x:v>S007→O01</x:v>
      </x:c>
      <x:c r="H125" s="10" t="str">
        <x:v>DEM_triangle_LOS</x:v>
      </x:c>
      <x:c r="I125" s="18" t="n">
        <x:v>3.3860750142375053</x:v>
      </x:c>
      <x:c r="J125" s="22" t="n">
        <x:v>1</x:v>
      </x:c>
    </x:row>
    <x:row r="126" ht="28" customHeight="1">
      <x:c r="A126" s="2" t="str">
        <x:v>T011</x:v>
      </x:c>
      <x:c r="B126" s="2" t="str">
        <x:v>下降</x:v>
      </x:c>
      <x:c r="C126" s="17" t="n">
        <x:v>3820.32317292636</x:v>
      </x:c>
      <x:c r="D126" s="17" t="n">
        <x:v>3974.032442945891</x:v>
      </x:c>
      <x:c r="E126" s="2" t="str">
        <x:v>直连</x:v>
      </x:c>
      <x:c r="F126" s="2" t="str"/>
      <x:c r="G126" s="2" t="str">
        <x:v>S007→O01</x:v>
      </x:c>
      <x:c r="H126" s="2" t="str">
        <x:v>最坏遮挡距离界</x:v>
      </x:c>
      <x:c r="I126" s="17" t="n">
        <x:v>20.717231343301734</x:v>
      </x:c>
      <x:c r="J126" s="21" t="n">
        <x:v>1</x:v>
      </x:c>
    </x:row>
    <x:row r="127" ht="28" customHeight="1">
      <x:c r="A127" s="10" t="str">
        <x:v>T011</x:v>
      </x:c>
      <x:c r="B127" s="10" t="str">
        <x:v>量化等待</x:v>
      </x:c>
      <x:c r="C127" s="18" t="n">
        <x:v>3974.032442945891</x:v>
      </x:c>
      <x:c r="D127" s="18" t="n">
        <x:v>3974.033</x:v>
      </x:c>
      <x:c r="E127" s="10" t="str">
        <x:v>直连</x:v>
      </x:c>
      <x:c r="F127" s="10" t="str"/>
      <x:c r="G127" s="10" t="str">
        <x:v>S007→O01</x:v>
      </x:c>
      <x:c r="H127" s="10" t="str">
        <x:v>最坏遮挡距离界</x:v>
      </x:c>
      <x:c r="I127" s="18" t="n">
        <x:v>45.925175252488266</x:v>
      </x:c>
      <x:c r="J127" s="22" t="n">
        <x:v>1</x:v>
      </x:c>
    </x:row>
    <x:row r="128" ht="28" customHeight="1">
      <x:c r="A128" s="2" t="str">
        <x:v>T012</x:v>
      </x:c>
      <x:c r="B128" s="2" t="str">
        <x:v>爬升</x:v>
      </x:c>
      <x:c r="C128" s="17" t="n">
        <x:v>2259.749</x:v>
      </x:c>
      <x:c r="D128" s="17" t="n">
        <x:v>2354.949331624349</x:v>
      </x:c>
      <x:c r="E128" s="2" t="str">
        <x:v>直连</x:v>
      </x:c>
      <x:c r="F128" s="2" t="str"/>
      <x:c r="G128" s="2" t="str">
        <x:v>O01→S012</x:v>
      </x:c>
      <x:c r="H128" s="2" t="str">
        <x:v>最坏遮挡距离界</x:v>
      </x:c>
      <x:c r="I128" s="17" t="n">
        <x:v>23.46118121667771</x:v>
      </x:c>
      <x:c r="J128" s="21" t="n">
        <x:v>1</x:v>
      </x:c>
    </x:row>
    <x:row r="129" ht="28" customHeight="1">
      <x:c r="A129" s="10" t="str">
        <x:v>T012</x:v>
      </x:c>
      <x:c r="B129" s="10" t="str">
        <x:v>巡航</x:v>
      </x:c>
      <x:c r="C129" s="18" t="n">
        <x:v>2354.949331624349</x:v>
      </x:c>
      <x:c r="D129" s="18" t="n">
        <x:v>2601.320670374862</x:v>
      </x:c>
      <x:c r="E129" s="10" t="str">
        <x:v>直连</x:v>
      </x:c>
      <x:c r="F129" s="10" t="str"/>
      <x:c r="G129" s="10" t="str">
        <x:v>O01→S012</x:v>
      </x:c>
      <x:c r="H129" s="10" t="str">
        <x:v>最坏遮挡距离界</x:v>
      </x:c>
      <x:c r="I129" s="18" t="n">
        <x:v>0.5697713909764133</x:v>
      </x:c>
      <x:c r="J129" s="22" t="n">
        <x:v>1</x:v>
      </x:c>
    </x:row>
    <x:row r="130" ht="28" customHeight="1">
      <x:c r="A130" s="2" t="str">
        <x:v>T012</x:v>
      </x:c>
      <x:c r="B130" s="2" t="str">
        <x:v>巡航</x:v>
      </x:c>
      <x:c r="C130" s="17" t="n">
        <x:v>2601.320670374862</x:v>
      </x:c>
      <x:c r="D130" s="17" t="n">
        <x:v>2847.6920091253746</x:v>
      </x:c>
      <x:c r="E130" s="2" t="str">
        <x:v>直连优先，中继后备</x:v>
      </x:c>
      <x:c r="F130" s="2" t="str">
        <x:v>R002</x:v>
      </x:c>
      <x:c r="G130" s="2" t="str">
        <x:v>O01→S012</x:v>
      </x:c>
      <x:c r="H130" s="2" t="str">
        <x:v>DEM_triangle_LOS</x:v>
      </x:c>
      <x:c r="I130" s="17" t="n">
        <x:v>6.201621707317173</x:v>
      </x:c>
      <x:c r="J130" s="21" t="n">
        <x:v>1</x:v>
      </x:c>
    </x:row>
    <x:row r="131" ht="28" customHeight="1">
      <x:c r="A131" s="10" t="str">
        <x:v>T012</x:v>
      </x:c>
      <x:c r="B131" s="10" t="str">
        <x:v>下降</x:v>
      </x:c>
      <x:c r="C131" s="18" t="n">
        <x:v>2847.6920091253746</x:v>
      </x:c>
      <x:c r="D131" s="18" t="n">
        <x:v>2901.092407074593</x:v>
      </x:c>
      <x:c r="E131" s="10" t="str">
        <x:v>直连优先，中继后备</x:v>
      </x:c>
      <x:c r="F131" s="10" t="str">
        <x:v>R002</x:v>
      </x:c>
      <x:c r="G131" s="10" t="str">
        <x:v>O01→S012</x:v>
      </x:c>
      <x:c r="H131" s="10" t="str">
        <x:v>最坏遮挡距离界</x:v>
      </x:c>
      <x:c r="I131" s="18" t="n">
        <x:v>0.25695137686950886</x:v>
      </x:c>
      <x:c r="J131" s="22" t="n">
        <x:v>1</x:v>
      </x:c>
    </x:row>
    <x:row r="132" ht="28" customHeight="1">
      <x:c r="A132" s="2" t="str">
        <x:v>T012</x:v>
      </x:c>
      <x:c r="B132" s="2" t="str">
        <x:v>量化等待</x:v>
      </x:c>
      <x:c r="C132" s="17" t="n">
        <x:v>2901.092407074593</x:v>
      </x:c>
      <x:c r="D132" s="17" t="n">
        <x:v>2901.093</x:v>
      </x:c>
      <x:c r="E132" s="2" t="str">
        <x:v>直连优先，中继后备</x:v>
      </x:c>
      <x:c r="F132" s="2" t="str">
        <x:v>R002</x:v>
      </x:c>
      <x:c r="G132" s="2" t="str">
        <x:v>O01→S012</x:v>
      </x:c>
      <x:c r="H132" s="2" t="str">
        <x:v>最坏遮挡距离界</x:v>
      </x:c>
      <x:c r="I132" s="17" t="n">
        <x:v>0.25695137686950886</x:v>
      </x:c>
      <x:c r="J132" s="21" t="n">
        <x:v>1</x:v>
      </x:c>
    </x:row>
    <x:row r="133" ht="28" customHeight="1">
      <x:c r="A133" s="10" t="str">
        <x:v>T012</x:v>
      </x:c>
      <x:c r="B133" s="10" t="str">
        <x:v>投送</x:v>
      </x:c>
      <x:c r="C133" s="18" t="n">
        <x:v>2901.093</x:v>
      </x:c>
      <x:c r="D133" s="18" t="n">
        <x:v>3141.093</x:v>
      </x:c>
      <x:c r="E133" s="10" t="str">
        <x:v>直连优先，中继后备</x:v>
      </x:c>
      <x:c r="F133" s="10" t="str">
        <x:v>R002</x:v>
      </x:c>
      <x:c r="G133" s="10" t="str">
        <x:v>S012→S012</x:v>
      </x:c>
      <x:c r="H133" s="10" t="str">
        <x:v>最坏遮挡距离界</x:v>
      </x:c>
      <x:c r="I133" s="18" t="n">
        <x:v>0.25695137686950886</x:v>
      </x:c>
      <x:c r="J133" s="22" t="n">
        <x:v>1</x:v>
      </x:c>
    </x:row>
    <x:row r="134" ht="28" customHeight="1">
      <x:c r="A134" s="2" t="str">
        <x:v>T012</x:v>
      </x:c>
      <x:c r="B134" s="2" t="str">
        <x:v>爬升</x:v>
      </x:c>
      <x:c r="C134" s="17" t="n">
        <x:v>3141.093</x:v>
      </x:c>
      <x:c r="D134" s="17" t="n">
        <x:v>3185.593331624349</x:v>
      </x:c>
      <x:c r="E134" s="2" t="str">
        <x:v>直连优先，中继后备</x:v>
      </x:c>
      <x:c r="F134" s="2" t="str">
        <x:v>R002</x:v>
      </x:c>
      <x:c r="G134" s="2" t="str">
        <x:v>S012→O01</x:v>
      </x:c>
      <x:c r="H134" s="2" t="str">
        <x:v>最坏遮挡距离界</x:v>
      </x:c>
      <x:c r="I134" s="17" t="n">
        <x:v>0.25695137686950886</x:v>
      </x:c>
      <x:c r="J134" s="21" t="n">
        <x:v>1</x:v>
      </x:c>
    </x:row>
    <x:row r="135" ht="28" customHeight="1">
      <x:c r="A135" s="10" t="str">
        <x:v>T012</x:v>
      </x:c>
      <x:c r="B135" s="10" t="str">
        <x:v>巡航</x:v>
      </x:c>
      <x:c r="C135" s="18" t="n">
        <x:v>3185.593331624349</x:v>
      </x:c>
      <x:c r="D135" s="18" t="n">
        <x:v>3431.964670374862</x:v>
      </x:c>
      <x:c r="E135" s="10" t="str">
        <x:v>直连优先，中继后备</x:v>
      </x:c>
      <x:c r="F135" s="10" t="str">
        <x:v>R002</x:v>
      </x:c>
      <x:c r="G135" s="10" t="str">
        <x:v>S012→O01</x:v>
      </x:c>
      <x:c r="H135" s="10" t="str">
        <x:v>DEM_triangle_LOS</x:v>
      </x:c>
      <x:c r="I135" s="18" t="n">
        <x:v>6.201621707317173</x:v>
      </x:c>
      <x:c r="J135" s="22" t="n">
        <x:v>1</x:v>
      </x:c>
    </x:row>
    <x:row r="136" ht="28" customHeight="1">
      <x:c r="A136" s="2" t="str">
        <x:v>T012</x:v>
      </x:c>
      <x:c r="B136" s="2" t="str">
        <x:v>巡航</x:v>
      </x:c>
      <x:c r="C136" s="17" t="n">
        <x:v>3431.964670374862</x:v>
      </x:c>
      <x:c r="D136" s="17" t="n">
        <x:v>3678.336009125375</x:v>
      </x:c>
      <x:c r="E136" s="2" t="str">
        <x:v>直连</x:v>
      </x:c>
      <x:c r="F136" s="2" t="str"/>
      <x:c r="G136" s="2" t="str">
        <x:v>S012→O01</x:v>
      </x:c>
      <x:c r="H136" s="2" t="str">
        <x:v>最坏遮挡距离界</x:v>
      </x:c>
      <x:c r="I136" s="17" t="n">
        <x:v>0.5697713909764133</x:v>
      </x:c>
      <x:c r="J136" s="21" t="n">
        <x:v>1</x:v>
      </x:c>
    </x:row>
    <x:row r="137" ht="28" customHeight="1">
      <x:c r="A137" s="10" t="str">
        <x:v>T012</x:v>
      </x:c>
      <x:c r="B137" s="10" t="str">
        <x:v>下降</x:v>
      </x:c>
      <x:c r="C137" s="18" t="n">
        <x:v>3678.336009125375</x:v>
      </x:c>
      <x:c r="D137" s="18" t="n">
        <x:v>3792.5764070745936</x:v>
      </x:c>
      <x:c r="E137" s="10" t="str">
        <x:v>直连</x:v>
      </x:c>
      <x:c r="F137" s="10" t="str"/>
      <x:c r="G137" s="10" t="str">
        <x:v>S012→O01</x:v>
      </x:c>
      <x:c r="H137" s="10" t="str">
        <x:v>最坏遮挡距离界</x:v>
      </x:c>
      <x:c r="I137" s="18" t="n">
        <x:v>23.46118121667771</x:v>
      </x:c>
      <x:c r="J137" s="22" t="n">
        <x:v>1</x:v>
      </x:c>
    </x:row>
    <x:row r="138" ht="28" customHeight="1">
      <x:c r="A138" s="2" t="str">
        <x:v>T012</x:v>
      </x:c>
      <x:c r="B138" s="2" t="str">
        <x:v>量化等待</x:v>
      </x:c>
      <x:c r="C138" s="17" t="n">
        <x:v>3792.5764070745936</x:v>
      </x:c>
      <x:c r="D138" s="17" t="n">
        <x:v>3792.577</x:v>
      </x:c>
      <x:c r="E138" s="2" t="str">
        <x:v>直连</x:v>
      </x:c>
      <x:c r="F138" s="2" t="str"/>
      <x:c r="G138" s="2" t="str">
        <x:v>S012→O01</x:v>
      </x:c>
      <x:c r="H138" s="2" t="str">
        <x:v>最坏遮挡距离界</x:v>
      </x:c>
      <x:c r="I138" s="17" t="n">
        <x:v>45.925175252488266</x:v>
      </x:c>
      <x:c r="J138" s="21" t="n">
        <x:v>1</x:v>
      </x:c>
    </x:row>
    <x:row r="139" ht="28" customHeight="1">
      <x:c r="A139" s="10" t="str">
        <x:v>T013</x:v>
      </x:c>
      <x:c r="B139" s="10" t="str">
        <x:v>爬升</x:v>
      </x:c>
      <x:c r="C139" s="18" t="n">
        <x:v>2848.626</x:v>
      </x:c>
      <x:c r="D139" s="18" t="n">
        <x:v>2976.7170583496095</x:v>
      </x:c>
      <x:c r="E139" s="10" t="str">
        <x:v>直连</x:v>
      </x:c>
      <x:c r="F139" s="10" t="str"/>
      <x:c r="G139" s="10" t="str">
        <x:v>O01→S007</x:v>
      </x:c>
      <x:c r="H139" s="10" t="str">
        <x:v>最坏遮挡距离界</x:v>
      </x:c>
      <x:c r="I139" s="18" t="n">
        <x:v>20.717231343301734</x:v>
      </x:c>
      <x:c r="J139" s="22" t="n">
        <x:v>1</x:v>
      </x:c>
    </x:row>
    <x:row r="140" ht="28" customHeight="1">
      <x:c r="A140" s="2" t="str">
        <x:v>T013</x:v>
      </x:c>
      <x:c r="B140" s="2" t="str">
        <x:v>巡航</x:v>
      </x:c>
      <x:c r="C140" s="17" t="n">
        <x:v>2976.7170583496095</x:v>
      </x:c>
      <x:c r="D140" s="17" t="n">
        <x:v>3354.61017292636</x:v>
      </x:c>
      <x:c r="E140" s="2" t="str">
        <x:v>直连优先，中继后备</x:v>
      </x:c>
      <x:c r="F140" s="2" t="str">
        <x:v>R003</x:v>
      </x:c>
      <x:c r="G140" s="2" t="str">
        <x:v>O01→S007</x:v>
      </x:c>
      <x:c r="H140" s="2" t="str">
        <x:v>DEM_triangle_LOS</x:v>
      </x:c>
      <x:c r="I140" s="17" t="n">
        <x:v>3.3860750142375053</x:v>
      </x:c>
      <x:c r="J140" s="21" t="n">
        <x:v>1</x:v>
      </x:c>
    </x:row>
    <x:row r="141" ht="28" customHeight="1">
      <x:c r="A141" s="10" t="str">
        <x:v>T013</x:v>
      </x:c>
      <x:c r="B141" s="10" t="str">
        <x:v>下降</x:v>
      </x:c>
      <x:c r="C141" s="18" t="n">
        <x:v>3354.61017292636</x:v>
      </x:c>
      <x:c r="D141" s="18" t="n">
        <x:v>3419.999442945891</x:v>
      </x:c>
      <x:c r="E141" s="10" t="str">
        <x:v>直连优先，中继后备</x:v>
      </x:c>
      <x:c r="F141" s="10" t="str">
        <x:v>R003</x:v>
      </x:c>
      <x:c r="G141" s="10" t="str">
        <x:v>O01→S007</x:v>
      </x:c>
      <x:c r="H141" s="10" t="str">
        <x:v>最坏遮挡距离界</x:v>
      </x:c>
      <x:c r="I141" s="18" t="n">
        <x:v>4.522365880180942</x:v>
      </x:c>
      <x:c r="J141" s="22" t="n">
        <x:v>1</x:v>
      </x:c>
    </x:row>
    <x:row r="142" ht="28" customHeight="1">
      <x:c r="A142" s="2" t="str">
        <x:v>T013</x:v>
      </x:c>
      <x:c r="B142" s="2" t="str">
        <x:v>量化等待</x:v>
      </x:c>
      <x:c r="C142" s="17" t="n">
        <x:v>3419.999442945891</x:v>
      </x:c>
      <x:c r="D142" s="17" t="n">
        <x:v>3420</x:v>
      </x:c>
      <x:c r="E142" s="2" t="str">
        <x:v>直连优先，中继后备</x:v>
      </x:c>
      <x:c r="F142" s="2" t="str">
        <x:v>R003</x:v>
      </x:c>
      <x:c r="G142" s="2" t="str">
        <x:v>O01→S007</x:v>
      </x:c>
      <x:c r="H142" s="2" t="str">
        <x:v>最坏遮挡距离界</x:v>
      </x:c>
      <x:c r="I142" s="17" t="n">
        <x:v>4.522365880180942</x:v>
      </x:c>
      <x:c r="J142" s="21" t="n">
        <x:v>1</x:v>
      </x:c>
    </x:row>
    <x:row r="143" ht="28" customHeight="1">
      <x:c r="A143" s="10" t="str">
        <x:v>T013</x:v>
      </x:c>
      <x:c r="B143" s="10" t="str">
        <x:v>投送</x:v>
      </x:c>
      <x:c r="C143" s="18" t="n">
        <x:v>3420</x:v>
      </x:c>
      <x:c r="D143" s="18" t="n">
        <x:v>3630</x:v>
      </x:c>
      <x:c r="E143" s="10" t="str">
        <x:v>直连优先，中继后备</x:v>
      </x:c>
      <x:c r="F143" s="10" t="str">
        <x:v>R003</x:v>
      </x:c>
      <x:c r="G143" s="10" t="str">
        <x:v>S007→S007</x:v>
      </x:c>
      <x:c r="H143" s="10" t="str">
        <x:v>最坏遮挡距离界</x:v>
      </x:c>
      <x:c r="I143" s="18" t="n">
        <x:v>4.522365880180942</x:v>
      </x:c>
      <x:c r="J143" s="22" t="n">
        <x:v>1</x:v>
      </x:c>
    </x:row>
    <x:row r="144" ht="28" customHeight="1">
      <x:c r="A144" s="2" t="str">
        <x:v>T013</x:v>
      </x:c>
      <x:c r="B144" s="2" t="str">
        <x:v>爬升</x:v>
      </x:c>
      <x:c r="C144" s="17" t="n">
        <x:v>3630</x:v>
      </x:c>
      <x:c r="D144" s="17" t="n">
        <x:v>3684.4910583496094</x:v>
      </x:c>
      <x:c r="E144" s="2" t="str">
        <x:v>直连优先，中继后备</x:v>
      </x:c>
      <x:c r="F144" s="2" t="str">
        <x:v>R003</x:v>
      </x:c>
      <x:c r="G144" s="2" t="str">
        <x:v>S007→O01</x:v>
      </x:c>
      <x:c r="H144" s="2" t="str">
        <x:v>最坏遮挡距离界</x:v>
      </x:c>
      <x:c r="I144" s="17" t="n">
        <x:v>4.522365880180942</x:v>
      </x:c>
      <x:c r="J144" s="21" t="n">
        <x:v>1</x:v>
      </x:c>
    </x:row>
    <x:row r="145" ht="28" customHeight="1">
      <x:c r="A145" s="10" t="str">
        <x:v>T013</x:v>
      </x:c>
      <x:c r="B145" s="10" t="str">
        <x:v>巡航</x:v>
      </x:c>
      <x:c r="C145" s="18" t="n">
        <x:v>3684.4910583496094</x:v>
      </x:c>
      <x:c r="D145" s="18" t="n">
        <x:v>4062.38417292636</x:v>
      </x:c>
      <x:c r="E145" s="10" t="str">
        <x:v>直连优先，中继后备</x:v>
      </x:c>
      <x:c r="F145" s="10" t="str">
        <x:v>R003</x:v>
      </x:c>
      <x:c r="G145" s="10" t="str">
        <x:v>S007→O01</x:v>
      </x:c>
      <x:c r="H145" s="10" t="str">
        <x:v>DEM_triangle_LOS</x:v>
      </x:c>
      <x:c r="I145" s="18" t="n">
        <x:v>3.3860750142375053</x:v>
      </x:c>
      <x:c r="J145" s="22" t="n">
        <x:v>1</x:v>
      </x:c>
    </x:row>
    <x:row r="146" ht="28" customHeight="1">
      <x:c r="A146" s="2" t="str">
        <x:v>T013</x:v>
      </x:c>
      <x:c r="B146" s="2" t="str">
        <x:v>下降</x:v>
      </x:c>
      <x:c r="C146" s="17" t="n">
        <x:v>4062.38417292636</x:v>
      </x:c>
      <x:c r="D146" s="17" t="n">
        <x:v>4216.093442945891</x:v>
      </x:c>
      <x:c r="E146" s="2" t="str">
        <x:v>直连</x:v>
      </x:c>
      <x:c r="F146" s="2" t="str"/>
      <x:c r="G146" s="2" t="str">
        <x:v>S007→O01</x:v>
      </x:c>
      <x:c r="H146" s="2" t="str">
        <x:v>最坏遮挡距离界</x:v>
      </x:c>
      <x:c r="I146" s="17" t="n">
        <x:v>20.717231343301734</x:v>
      </x:c>
      <x:c r="J146" s="21" t="n">
        <x:v>1</x:v>
      </x:c>
    </x:row>
    <x:row r="147" ht="28" customHeight="1">
      <x:c r="A147" s="10" t="str">
        <x:v>T013</x:v>
      </x:c>
      <x:c r="B147" s="10" t="str">
        <x:v>量化等待</x:v>
      </x:c>
      <x:c r="C147" s="18" t="n">
        <x:v>4216.093442945891</x:v>
      </x:c>
      <x:c r="D147" s="18" t="n">
        <x:v>4216.094</x:v>
      </x:c>
      <x:c r="E147" s="10" t="str">
        <x:v>直连</x:v>
      </x:c>
      <x:c r="F147" s="10" t="str"/>
      <x:c r="G147" s="10" t="str">
        <x:v>S007→O01</x:v>
      </x:c>
      <x:c r="H147" s="10" t="str">
        <x:v>最坏遮挡距离界</x:v>
      </x:c>
      <x:c r="I147" s="18" t="n">
        <x:v>45.925175252488266</x:v>
      </x:c>
      <x:c r="J147" s="22" t="n">
        <x:v>1</x:v>
      </x:c>
    </x:row>
    <x:row r="148" ht="28" customHeight="1">
      <x:c r="A148" s="2" t="str">
        <x:v>T014</x:v>
      </x:c>
      <x:c r="B148" s="2" t="str">
        <x:v>爬升</x:v>
      </x:c>
      <x:c r="C148" s="17" t="n">
        <x:v>3372.133</x:v>
      </x:c>
      <x:c r="D148" s="17" t="n">
        <x:v>3453.8694440917966</x:v>
      </x:c>
      <x:c r="E148" s="2" t="str">
        <x:v>直连</x:v>
      </x:c>
      <x:c r="F148" s="2" t="str"/>
      <x:c r="G148" s="2" t="str">
        <x:v>O01→S008</x:v>
      </x:c>
      <x:c r="H148" s="2" t="str">
        <x:v>最坏遮挡距离界</x:v>
      </x:c>
      <x:c r="I148" s="17" t="n">
        <x:v>24.894047506859245</x:v>
      </x:c>
      <x:c r="J148" s="21" t="n">
        <x:v>1</x:v>
      </x:c>
    </x:row>
    <x:row r="149" ht="28" customHeight="1">
      <x:c r="A149" s="10" t="str">
        <x:v>T014</x:v>
      </x:c>
      <x:c r="B149" s="10" t="str">
        <x:v>巡航</x:v>
      </x:c>
      <x:c r="C149" s="18" t="n">
        <x:v>3453.8694440917966</x:v>
      </x:c>
      <x:c r="D149" s="18" t="n">
        <x:v>3992.476807344362</x:v>
      </x:c>
      <x:c r="E149" s="10" t="str">
        <x:v>直连优先，中继后备</x:v>
      </x:c>
      <x:c r="F149" s="10" t="str">
        <x:v>R003</x:v>
      </x:c>
      <x:c r="G149" s="10" t="str">
        <x:v>O01→S008</x:v>
      </x:c>
      <x:c r="H149" s="10" t="str">
        <x:v>DEM_triangle_LOS</x:v>
      </x:c>
      <x:c r="I149" s="18" t="n">
        <x:v>1.9571095653873556</x:v>
      </x:c>
      <x:c r="J149" s="22" t="n">
        <x:v>1</x:v>
      </x:c>
    </x:row>
    <x:row r="150" ht="28" customHeight="1">
      <x:c r="A150" s="2" t="str">
        <x:v>T014</x:v>
      </x:c>
      <x:c r="B150" s="2" t="str">
        <x:v>下降</x:v>
      </x:c>
      <x:c r="C150" s="17" t="n">
        <x:v>3992.476807344362</x:v>
      </x:c>
      <x:c r="D150" s="17" t="n">
        <x:v>4033.280540254518</x:v>
      </x:c>
      <x:c r="E150" s="2" t="str">
        <x:v>直连优先，中继后备</x:v>
      </x:c>
      <x:c r="F150" s="2" t="str">
        <x:v>R003</x:v>
      </x:c>
      <x:c r="G150" s="2" t="str">
        <x:v>O01→S008</x:v>
      </x:c>
      <x:c r="H150" s="2" t="str">
        <x:v>DEM_triangle_LOS</x:v>
      </x:c>
      <x:c r="I150" s="17" t="n">
        <x:v>1.9443905852773327</x:v>
      </x:c>
      <x:c r="J150" s="21" t="n">
        <x:v>1</x:v>
      </x:c>
    </x:row>
    <x:row r="151" ht="28" customHeight="1">
      <x:c r="A151" s="10" t="str">
        <x:v>T014</x:v>
      </x:c>
      <x:c r="B151" s="10" t="str">
        <x:v>量化等待</x:v>
      </x:c>
      <x:c r="C151" s="18" t="n">
        <x:v>4033.280540254518</x:v>
      </x:c>
      <x:c r="D151" s="18" t="n">
        <x:v>4033.281</x:v>
      </x:c>
      <x:c r="E151" s="10" t="str">
        <x:v>直连优先，中继后备</x:v>
      </x:c>
      <x:c r="F151" s="10" t="str">
        <x:v>R003</x:v>
      </x:c>
      <x:c r="G151" s="10" t="str">
        <x:v>O01→S008</x:v>
      </x:c>
      <x:c r="H151" s="10" t="str">
        <x:v>DEM_triangle_LOS</x:v>
      </x:c>
      <x:c r="I151" s="18" t="n">
        <x:v>1.9443905852773327</x:v>
      </x:c>
      <x:c r="J151" s="22" t="n">
        <x:v>1</x:v>
      </x:c>
    </x:row>
    <x:row r="152" ht="28" customHeight="1">
      <x:c r="A152" s="2" t="str">
        <x:v>T014</x:v>
      </x:c>
      <x:c r="B152" s="2" t="str">
        <x:v>投送</x:v>
      </x:c>
      <x:c r="C152" s="17" t="n">
        <x:v>4033.281</x:v>
      </x:c>
      <x:c r="D152" s="17" t="n">
        <x:v>4243.281</x:v>
      </x:c>
      <x:c r="E152" s="2" t="str">
        <x:v>直连优先，中继后备</x:v>
      </x:c>
      <x:c r="F152" s="2" t="str">
        <x:v>R003</x:v>
      </x:c>
      <x:c r="G152" s="2" t="str">
        <x:v>S008→S008</x:v>
      </x:c>
      <x:c r="H152" s="2" t="str">
        <x:v>DEM_triangle_LOS</x:v>
      </x:c>
      <x:c r="I152" s="17" t="n">
        <x:v>1.9443905852773327</x:v>
      </x:c>
      <x:c r="J152" s="21" t="n">
        <x:v>1</x:v>
      </x:c>
    </x:row>
    <x:row r="153" ht="28" customHeight="1">
      <x:c r="A153" s="10" t="str">
        <x:v>T014</x:v>
      </x:c>
      <x:c r="B153" s="10" t="str">
        <x:v>爬升</x:v>
      </x:c>
      <x:c r="C153" s="18" t="n">
        <x:v>4243.281</x:v>
      </x:c>
      <x:c r="D153" s="18" t="n">
        <x:v>4277.284110758463</x:v>
      </x:c>
      <x:c r="E153" s="10" t="str">
        <x:v>直连优先，中继后备</x:v>
      </x:c>
      <x:c r="F153" s="10" t="str">
        <x:v>R003</x:v>
      </x:c>
      <x:c r="G153" s="10" t="str">
        <x:v>S008→O01</x:v>
      </x:c>
      <x:c r="H153" s="10" t="str">
        <x:v>DEM_triangle_LOS</x:v>
      </x:c>
      <x:c r="I153" s="18" t="n">
        <x:v>1.9443905852773327</x:v>
      </x:c>
      <x:c r="J153" s="22" t="n">
        <x:v>1</x:v>
      </x:c>
    </x:row>
    <x:row r="154" ht="28" customHeight="1">
      <x:c r="A154" s="2" t="str">
        <x:v>T014</x:v>
      </x:c>
      <x:c r="B154" s="2" t="str">
        <x:v>巡航</x:v>
      </x:c>
      <x:c r="C154" s="17" t="n">
        <x:v>4277.284110758463</x:v>
      </x:c>
      <x:c r="D154" s="17" t="n">
        <x:v>4815.891474011029</x:v>
      </x:c>
      <x:c r="E154" s="2" t="str">
        <x:v>直连优先，中继后备</x:v>
      </x:c>
      <x:c r="F154" s="2" t="str">
        <x:v>R003</x:v>
      </x:c>
      <x:c r="G154" s="2" t="str">
        <x:v>S008→O01</x:v>
      </x:c>
      <x:c r="H154" s="2" t="str">
        <x:v>DEM_triangle_LOS</x:v>
      </x:c>
      <x:c r="I154" s="17" t="n">
        <x:v>1.9571095653873556</x:v>
      </x:c>
      <x:c r="J154" s="21" t="n">
        <x:v>1</x:v>
      </x:c>
    </x:row>
    <x:row r="155" ht="28" customHeight="1">
      <x:c r="A155" s="10" t="str">
        <x:v>T014</x:v>
      </x:c>
      <x:c r="B155" s="10" t="str">
        <x:v>下降</x:v>
      </x:c>
      <x:c r="C155" s="18" t="n">
        <x:v>4815.891474011029</x:v>
      </x:c>
      <x:c r="D155" s="18" t="n">
        <x:v>4913.9752069211845</x:v>
      </x:c>
      <x:c r="E155" s="10" t="str">
        <x:v>直连</x:v>
      </x:c>
      <x:c r="F155" s="10" t="str"/>
      <x:c r="G155" s="10" t="str">
        <x:v>S008→O01</x:v>
      </x:c>
      <x:c r="H155" s="10" t="str">
        <x:v>最坏遮挡距离界</x:v>
      </x:c>
      <x:c r="I155" s="18" t="n">
        <x:v>24.894047506859245</x:v>
      </x:c>
      <x:c r="J155" s="22" t="n">
        <x:v>1</x:v>
      </x:c>
    </x:row>
    <x:row r="156" ht="28" customHeight="1">
      <x:c r="A156" s="2" t="str">
        <x:v>T014</x:v>
      </x:c>
      <x:c r="B156" s="2" t="str">
        <x:v>量化等待</x:v>
      </x:c>
      <x:c r="C156" s="17" t="n">
        <x:v>4913.9752069211845</x:v>
      </x:c>
      <x:c r="D156" s="17" t="n">
        <x:v>4913.976</x:v>
      </x:c>
      <x:c r="E156" s="2" t="str">
        <x:v>直连</x:v>
      </x:c>
      <x:c r="F156" s="2" t="str"/>
      <x:c r="G156" s="2" t="str">
        <x:v>S008→O01</x:v>
      </x:c>
      <x:c r="H156" s="2" t="str">
        <x:v>最坏遮挡距离界</x:v>
      </x:c>
      <x:c r="I156" s="17" t="n">
        <x:v>45.925175252488266</x:v>
      </x:c>
      <x:c r="J156" s="21" t="n">
        <x:v>1</x:v>
      </x:c>
    </x:row>
    <x:row r="157" ht="28" customHeight="1">
      <x:c r="A157" s="10" t="str">
        <x:v>T015</x:v>
      </x:c>
      <x:c r="B157" s="10" t="str">
        <x:v>爬升</x:v>
      </x:c>
      <x:c r="C157" s="18" t="n">
        <x:v>3673.324</x:v>
      </x:c>
      <x:c r="D157" s="18" t="n">
        <x:v>3818.0253793945312</x:v>
      </x:c>
      <x:c r="E157" s="10" t="str">
        <x:v>直连</x:v>
      </x:c>
      <x:c r="F157" s="10" t="str"/>
      <x:c r="G157" s="10" t="str">
        <x:v>O01→S003</x:v>
      </x:c>
      <x:c r="H157" s="10" t="str">
        <x:v>最坏遮挡距离界</x:v>
      </x:c>
      <x:c r="I157" s="18" t="n">
        <x:v>19.603583756332732</x:v>
      </x:c>
      <x:c r="J157" s="22" t="n">
        <x:v>1</x:v>
      </x:c>
    </x:row>
    <x:row r="158" ht="28" customHeight="1">
      <x:c r="A158" s="2" t="str">
        <x:v>T015</x:v>
      </x:c>
      <x:c r="B158" s="2" t="str">
        <x:v>巡航</x:v>
      </x:c>
      <x:c r="C158" s="17" t="n">
        <x:v>3818.0253793945312</x:v>
      </x:c>
      <x:c r="D158" s="17" t="n">
        <x:v>4423.344293375027</x:v>
      </x:c>
      <x:c r="E158" s="2" t="str">
        <x:v>直连优先，中继后备</x:v>
      </x:c>
      <x:c r="F158" s="2" t="str">
        <x:v>R003</x:v>
      </x:c>
      <x:c r="G158" s="2" t="str">
        <x:v>O01→S003</x:v>
      </x:c>
      <x:c r="H158" s="2" t="str">
        <x:v>DEM_triangle_LOS</x:v>
      </x:c>
      <x:c r="I158" s="17" t="n">
        <x:v>3.3895618044019784</x:v>
      </x:c>
      <x:c r="J158" s="21" t="n">
        <x:v>1</x:v>
      </x:c>
    </x:row>
    <x:row r="159" ht="28" customHeight="1">
      <x:c r="A159" s="10" t="str">
        <x:v>T015</x:v>
      </x:c>
      <x:c r="B159" s="10" t="str">
        <x:v>下降</x:v>
      </x:c>
      <x:c r="C159" s="18" t="n">
        <x:v>4423.344293375027</x:v>
      </x:c>
      <x:c r="D159" s="18" t="n">
        <x:v>4512.665948648464</x:v>
      </x:c>
      <x:c r="E159" s="10" t="str">
        <x:v>直连优先，中继后备</x:v>
      </x:c>
      <x:c r="F159" s="10" t="str">
        <x:v>R003</x:v>
      </x:c>
      <x:c r="G159" s="10" t="str">
        <x:v>O01→S003</x:v>
      </x:c>
      <x:c r="H159" s="10" t="str">
        <x:v>DEM_triangle_LOS</x:v>
      </x:c>
      <x:c r="I159" s="18" t="n">
        <x:v>5.284634501205119</x:v>
      </x:c>
      <x:c r="J159" s="22" t="n">
        <x:v>1</x:v>
      </x:c>
    </x:row>
    <x:row r="160" ht="28" customHeight="1">
      <x:c r="A160" s="2" t="str">
        <x:v>T015</x:v>
      </x:c>
      <x:c r="B160" s="2" t="str">
        <x:v>量化等待</x:v>
      </x:c>
      <x:c r="C160" s="17" t="n">
        <x:v>4512.665948648464</x:v>
      </x:c>
      <x:c r="D160" s="17" t="n">
        <x:v>4512.666</x:v>
      </x:c>
      <x:c r="E160" s="2" t="str">
        <x:v>直连优先，中继后备</x:v>
      </x:c>
      <x:c r="F160" s="2" t="str">
        <x:v>R003</x:v>
      </x:c>
      <x:c r="G160" s="2" t="str">
        <x:v>O01→S003</x:v>
      </x:c>
      <x:c r="H160" s="2" t="str">
        <x:v>DEM_triangle_LOS</x:v>
      </x:c>
      <x:c r="I160" s="17" t="n">
        <x:v>5.284634501205119</x:v>
      </x:c>
      <x:c r="J160" s="21" t="n">
        <x:v>1</x:v>
      </x:c>
    </x:row>
    <x:row r="161" ht="28" customHeight="1">
      <x:c r="A161" s="10" t="str">
        <x:v>T015</x:v>
      </x:c>
      <x:c r="B161" s="10" t="str">
        <x:v>投送</x:v>
      </x:c>
      <x:c r="C161" s="18" t="n">
        <x:v>4512.666</x:v>
      </x:c>
      <x:c r="D161" s="18" t="n">
        <x:v>4722.666</x:v>
      </x:c>
      <x:c r="E161" s="10" t="str">
        <x:v>直连优先，中继后备</x:v>
      </x:c>
      <x:c r="F161" s="10" t="str">
        <x:v>R003</x:v>
      </x:c>
      <x:c r="G161" s="10" t="str">
        <x:v>S003→S003</x:v>
      </x:c>
      <x:c r="H161" s="10" t="str">
        <x:v>DEM_triangle_LOS</x:v>
      </x:c>
      <x:c r="I161" s="18" t="n">
        <x:v>5.284634501205119</x:v>
      </x:c>
      <x:c r="J161" s="22" t="n">
        <x:v>1</x:v>
      </x:c>
    </x:row>
    <x:row r="162" ht="28" customHeight="1">
      <x:c r="A162" s="2" t="str">
        <x:v>T015</x:v>
      </x:c>
      <x:c r="B162" s="2" t="str">
        <x:v>爬升</x:v>
      </x:c>
      <x:c r="C162" s="17" t="n">
        <x:v>4722.666</x:v>
      </x:c>
      <x:c r="D162" s="17" t="n">
        <x:v>4772.465621582031</x:v>
      </x:c>
      <x:c r="E162" s="2" t="str">
        <x:v>直连优先，中继后备</x:v>
      </x:c>
      <x:c r="F162" s="2" t="str">
        <x:v>R003</x:v>
      </x:c>
      <x:c r="G162" s="2" t="str">
        <x:v>S003→S015</x:v>
      </x:c>
      <x:c r="H162" s="2" t="str">
        <x:v>DEM_triangle_LOS</x:v>
      </x:c>
      <x:c r="I162" s="17" t="n">
        <x:v>5.284634501205119</x:v>
      </x:c>
      <x:c r="J162" s="21" t="n">
        <x:v>1</x:v>
      </x:c>
    </x:row>
    <x:row r="163" ht="28" customHeight="1">
      <x:c r="A163" s="10" t="str">
        <x:v>T015</x:v>
      </x:c>
      <x:c r="B163" s="10" t="str">
        <x:v>巡航</x:v>
      </x:c>
      <x:c r="C163" s="18" t="n">
        <x:v>4772.465621582031</x:v>
      </x:c>
      <x:c r="D163" s="18" t="n">
        <x:v>4990.5456833706685</x:v>
      </x:c>
      <x:c r="E163" s="10" t="str">
        <x:v>直连优先，中继后备</x:v>
      </x:c>
      <x:c r="F163" s="10" t="str">
        <x:v>R003</x:v>
      </x:c>
      <x:c r="G163" s="10" t="str">
        <x:v>S003→S015</x:v>
      </x:c>
      <x:c r="H163" s="10" t="str">
        <x:v>DEM_triangle_LOS</x:v>
      </x:c>
      <x:c r="I163" s="18" t="n">
        <x:v>5.314701613849394</x:v>
      </x:c>
      <x:c r="J163" s="22" t="n">
        <x:v>1</x:v>
      </x:c>
    </x:row>
    <x:row r="164" ht="28" customHeight="1">
      <x:c r="A164" s="2" t="str">
        <x:v>T015</x:v>
      </x:c>
      <x:c r="B164" s="2" t="str">
        <x:v>下降</x:v>
      </x:c>
      <x:c r="C164" s="17" t="n">
        <x:v>4990.5456833706685</x:v>
      </x:c>
      <x:c r="D164" s="17" t="n">
        <x:v>4995.905229269107</x:v>
      </x:c>
      <x:c r="E164" s="2" t="str">
        <x:v>直连优先，中继后备</x:v>
      </x:c>
      <x:c r="F164" s="2" t="str">
        <x:v>R003</x:v>
      </x:c>
      <x:c r="G164" s="2" t="str">
        <x:v>S003→S015</x:v>
      </x:c>
      <x:c r="H164" s="2" t="str">
        <x:v>最坏遮挡距离界</x:v>
      </x:c>
      <x:c r="I164" s="17" t="n">
        <x:v>0.7751696819081673</x:v>
      </x:c>
      <x:c r="J164" s="21" t="n">
        <x:v>1</x:v>
      </x:c>
    </x:row>
    <x:row r="165" ht="28" customHeight="1">
      <x:c r="A165" s="10" t="str">
        <x:v>T015</x:v>
      </x:c>
      <x:c r="B165" s="10" t="str">
        <x:v>量化等待</x:v>
      </x:c>
      <x:c r="C165" s="18" t="n">
        <x:v>4995.905229269107</x:v>
      </x:c>
      <x:c r="D165" s="18" t="n">
        <x:v>4995.906</x:v>
      </x:c>
      <x:c r="E165" s="10" t="str">
        <x:v>直连优先，中继后备</x:v>
      </x:c>
      <x:c r="F165" s="10" t="str">
        <x:v>R003</x:v>
      </x:c>
      <x:c r="G165" s="10" t="str">
        <x:v>S003→S015</x:v>
      </x:c>
      <x:c r="H165" s="10" t="str">
        <x:v>最坏遮挡距离界</x:v>
      </x:c>
      <x:c r="I165" s="18" t="n">
        <x:v>0.7751696819081673</x:v>
      </x:c>
      <x:c r="J165" s="22" t="n">
        <x:v>1</x:v>
      </x:c>
    </x:row>
    <x:row r="166" ht="28" customHeight="1">
      <x:c r="A166" s="2" t="str">
        <x:v>T015</x:v>
      </x:c>
      <x:c r="B166" s="2" t="str">
        <x:v>投送</x:v>
      </x:c>
      <x:c r="C166" s="17" t="n">
        <x:v>4995.906</x:v>
      </x:c>
      <x:c r="D166" s="17" t="n">
        <x:v>5175.906</x:v>
      </x:c>
      <x:c r="E166" s="2" t="str">
        <x:v>直连优先，中继后备</x:v>
      </x:c>
      <x:c r="F166" s="2" t="str">
        <x:v>R003</x:v>
      </x:c>
      <x:c r="G166" s="2" t="str">
        <x:v>S015→S015</x:v>
      </x:c>
      <x:c r="H166" s="2" t="str">
        <x:v>最坏遮挡距离界</x:v>
      </x:c>
      <x:c r="I166" s="17" t="n">
        <x:v>0.7751696819081673</x:v>
      </x:c>
      <x:c r="J166" s="21" t="n">
        <x:v>1</x:v>
      </x:c>
    </x:row>
    <x:row r="167" ht="28" customHeight="1">
      <x:c r="A167" s="10" t="str">
        <x:v>T015</x:v>
      </x:c>
      <x:c r="B167" s="10" t="str">
        <x:v>爬升</x:v>
      </x:c>
      <x:c r="C167" s="18" t="n">
        <x:v>5175.906</x:v>
      </x:c>
      <x:c r="D167" s="18" t="n">
        <x:v>5208.339085123698</x:v>
      </x:c>
      <x:c r="E167" s="10" t="str">
        <x:v>直连优先，中继后备</x:v>
      </x:c>
      <x:c r="F167" s="10" t="str">
        <x:v>R003</x:v>
      </x:c>
      <x:c r="G167" s="10" t="str">
        <x:v>S015→O01</x:v>
      </x:c>
      <x:c r="H167" s="10" t="str">
        <x:v>最坏遮挡距离界</x:v>
      </x:c>
      <x:c r="I167" s="18" t="n">
        <x:v>0.7751696819081673</x:v>
      </x:c>
      <x:c r="J167" s="22" t="n">
        <x:v>1</x:v>
      </x:c>
    </x:row>
    <x:row r="168" ht="28" customHeight="1">
      <x:c r="A168" s="2" t="str">
        <x:v>T015</x:v>
      </x:c>
      <x:c r="B168" s="2" t="str">
        <x:v>巡航</x:v>
      </x:c>
      <x:c r="C168" s="17" t="n">
        <x:v>5208.339085123698</x:v>
      </x:c>
      <x:c r="D168" s="17" t="n">
        <x:v>5709.152826142066</x:v>
      </x:c>
      <x:c r="E168" s="2" t="str">
        <x:v>直连优先，中继后备</x:v>
      </x:c>
      <x:c r="F168" s="2" t="str">
        <x:v>R003</x:v>
      </x:c>
      <x:c r="G168" s="2" t="str">
        <x:v>S015→O01</x:v>
      </x:c>
      <x:c r="H168" s="2" t="str">
        <x:v>DEM_triangle_LOS</x:v>
      </x:c>
      <x:c r="I168" s="17" t="n">
        <x:v>3.3901173438287486</x:v>
      </x:c>
      <x:c r="J168" s="21" t="n">
        <x:v>1</x:v>
      </x:c>
    </x:row>
    <x:row r="169" ht="28" customHeight="1">
      <x:c r="A169" s="10" t="str">
        <x:v>T015</x:v>
      </x:c>
      <x:c r="B169" s="10" t="str">
        <x:v>下降</x:v>
      </x:c>
      <x:c r="C169" s="18" t="n">
        <x:v>5709.152826142066</x:v>
      </x:c>
      <x:c r="D169" s="18" t="n">
        <x:v>5886.7925282905035</x:v>
      </x:c>
      <x:c r="E169" s="10" t="str">
        <x:v>直连</x:v>
      </x:c>
      <x:c r="F169" s="10" t="str"/>
      <x:c r="G169" s="10" t="str">
        <x:v>S015→O01</x:v>
      </x:c>
      <x:c r="H169" s="10" t="str">
        <x:v>最坏遮挡距离界</x:v>
      </x:c>
      <x:c r="I169" s="18" t="n">
        <x:v>19.396424967151802</x:v>
      </x:c>
      <x:c r="J169" s="22" t="n">
        <x:v>1</x:v>
      </x:c>
    </x:row>
    <x:row r="170" ht="28" customHeight="1">
      <x:c r="A170" s="2" t="str">
        <x:v>T015</x:v>
      </x:c>
      <x:c r="B170" s="2" t="str">
        <x:v>量化等待</x:v>
      </x:c>
      <x:c r="C170" s="17" t="n">
        <x:v>5886.7925282905035</x:v>
      </x:c>
      <x:c r="D170" s="17" t="n">
        <x:v>5886.793</x:v>
      </x:c>
      <x:c r="E170" s="2" t="str">
        <x:v>直连</x:v>
      </x:c>
      <x:c r="F170" s="2" t="str"/>
      <x:c r="G170" s="2" t="str">
        <x:v>S015→O01</x:v>
      </x:c>
      <x:c r="H170" s="2" t="str">
        <x:v>最坏遮挡距离界</x:v>
      </x:c>
      <x:c r="I170" s="17" t="n">
        <x:v>45.925175252488266</x:v>
      </x:c>
      <x:c r="J170" s="21" t="n">
        <x:v>1</x:v>
      </x:c>
    </x:row>
    <x:row r="171" ht="28" customHeight="1">
      <x:c r="A171" s="10" t="str">
        <x:v>T016</x:v>
      </x:c>
      <x:c r="B171" s="10" t="str">
        <x:v>爬升</x:v>
      </x:c>
      <x:c r="C171" s="18" t="n">
        <x:v>4178.021000000001</x:v>
      </x:c>
      <x:c r="D171" s="18" t="n">
        <x:v>4331.730270019531</x:v>
      </x:c>
      <x:c r="E171" s="10" t="str">
        <x:v>直连</x:v>
      </x:c>
      <x:c r="F171" s="10" t="str"/>
      <x:c r="G171" s="10" t="str">
        <x:v>O01→S007</x:v>
      </x:c>
      <x:c r="H171" s="10" t="str">
        <x:v>最坏遮挡距离界</x:v>
      </x:c>
      <x:c r="I171" s="18" t="n">
        <x:v>20.717231343301734</x:v>
      </x:c>
      <x:c r="J171" s="22" t="n">
        <x:v>1</x:v>
      </x:c>
    </x:row>
    <x:row r="172" ht="28" customHeight="1">
      <x:c r="A172" s="2" t="str">
        <x:v>T016</x:v>
      </x:c>
      <x:c r="B172" s="2" t="str">
        <x:v>巡航</x:v>
      </x:c>
      <x:c r="C172" s="17" t="n">
        <x:v>4331.730270019531</x:v>
      </x:c>
      <x:c r="D172" s="17" t="n">
        <x:v>4634.0447616809315</x:v>
      </x:c>
      <x:c r="E172" s="2" t="str">
        <x:v>直连优先，中继后备</x:v>
      </x:c>
      <x:c r="F172" s="2" t="str">
        <x:v>R003</x:v>
      </x:c>
      <x:c r="G172" s="2" t="str">
        <x:v>O01→S007</x:v>
      </x:c>
      <x:c r="H172" s="2" t="str">
        <x:v>DEM_triangle_LOS</x:v>
      </x:c>
      <x:c r="I172" s="17" t="n">
        <x:v>3.3860750142375053</x:v>
      </x:c>
      <x:c r="J172" s="21" t="n">
        <x:v>1</x:v>
      </x:c>
    </x:row>
    <x:row r="173" ht="28" customHeight="1">
      <x:c r="A173" s="10" t="str">
        <x:v>T016</x:v>
      </x:c>
      <x:c r="B173" s="10" t="str">
        <x:v>下降</x:v>
      </x:c>
      <x:c r="C173" s="18" t="n">
        <x:v>4634.0447616809315</x:v>
      </x:c>
      <x:c r="D173" s="18" t="n">
        <x:v>4715.781349205346</x:v>
      </x:c>
      <x:c r="E173" s="10" t="str">
        <x:v>直连优先，中继后备</x:v>
      </x:c>
      <x:c r="F173" s="10" t="str">
        <x:v>R003</x:v>
      </x:c>
      <x:c r="G173" s="10" t="str">
        <x:v>O01→S007</x:v>
      </x:c>
      <x:c r="H173" s="10" t="str">
        <x:v>最坏遮挡距离界</x:v>
      </x:c>
      <x:c r="I173" s="18" t="n">
        <x:v>4.522365880180942</x:v>
      </x:c>
      <x:c r="J173" s="22" t="n">
        <x:v>1</x:v>
      </x:c>
    </x:row>
    <x:row r="174" ht="28" customHeight="1">
      <x:c r="A174" s="2" t="str">
        <x:v>T016</x:v>
      </x:c>
      <x:c r="B174" s="2" t="str">
        <x:v>量化等待</x:v>
      </x:c>
      <x:c r="C174" s="17" t="n">
        <x:v>4715.781349205346</x:v>
      </x:c>
      <x:c r="D174" s="17" t="n">
        <x:v>4715.782</x:v>
      </x:c>
      <x:c r="E174" s="2" t="str">
        <x:v>直连优先，中继后备</x:v>
      </x:c>
      <x:c r="F174" s="2" t="str">
        <x:v>R003</x:v>
      </x:c>
      <x:c r="G174" s="2" t="str">
        <x:v>O01→S007</x:v>
      </x:c>
      <x:c r="H174" s="2" t="str">
        <x:v>最坏遮挡距离界</x:v>
      </x:c>
      <x:c r="I174" s="17" t="n">
        <x:v>4.522365880180942</x:v>
      </x:c>
      <x:c r="J174" s="21" t="n">
        <x:v>1</x:v>
      </x:c>
    </x:row>
    <x:row r="175" ht="28" customHeight="1">
      <x:c r="A175" s="10" t="str">
        <x:v>T016</x:v>
      </x:c>
      <x:c r="B175" s="10" t="str">
        <x:v>投送</x:v>
      </x:c>
      <x:c r="C175" s="18" t="n">
        <x:v>4715.782</x:v>
      </x:c>
      <x:c r="D175" s="18" t="n">
        <x:v>4931.782</x:v>
      </x:c>
      <x:c r="E175" s="10" t="str">
        <x:v>直连优先，中继后备</x:v>
      </x:c>
      <x:c r="F175" s="10" t="str">
        <x:v>R003</x:v>
      </x:c>
      <x:c r="G175" s="10" t="str">
        <x:v>S007→S007</x:v>
      </x:c>
      <x:c r="H175" s="10" t="str">
        <x:v>最坏遮挡距离界</x:v>
      </x:c>
      <x:c r="I175" s="18" t="n">
        <x:v>4.522365880180942</x:v>
      </x:c>
      <x:c r="J175" s="22" t="n">
        <x:v>1</x:v>
      </x:c>
    </x:row>
    <x:row r="176" ht="28" customHeight="1">
      <x:c r="A176" s="2" t="str">
        <x:v>T016</x:v>
      </x:c>
      <x:c r="B176" s="2" t="str">
        <x:v>爬升</x:v>
      </x:c>
      <x:c r="C176" s="17" t="n">
        <x:v>4931.782</x:v>
      </x:c>
      <x:c r="D176" s="17" t="n">
        <x:v>4956.661736328126</x:v>
      </x:c>
      <x:c r="E176" s="2" t="str">
        <x:v>直连优先，中继后备</x:v>
      </x:c>
      <x:c r="F176" s="2" t="str">
        <x:v>R003</x:v>
      </x:c>
      <x:c r="G176" s="2" t="str">
        <x:v>S007→S003</x:v>
      </x:c>
      <x:c r="H176" s="2" t="str">
        <x:v>最坏遮挡距离界</x:v>
      </x:c>
      <x:c r="I176" s="17" t="n">
        <x:v>4.522365880180942</x:v>
      </x:c>
      <x:c r="J176" s="21" t="n">
        <x:v>1</x:v>
      </x:c>
    </x:row>
    <x:row r="177" ht="28" customHeight="1">
      <x:c r="A177" s="10" t="str">
        <x:v>T016</x:v>
      </x:c>
      <x:c r="B177" s="10" t="str">
        <x:v>巡航</x:v>
      </x:c>
      <x:c r="C177" s="18" t="n">
        <x:v>4956.661736328126</x:v>
      </x:c>
      <x:c r="D177" s="18" t="n">
        <x:v>5138.974291339484</x:v>
      </x:c>
      <x:c r="E177" s="10" t="str">
        <x:v>直连优先，中继后备</x:v>
      </x:c>
      <x:c r="F177" s="10" t="str">
        <x:v>R003</x:v>
      </x:c>
      <x:c r="G177" s="10" t="str">
        <x:v>S007→S003</x:v>
      </x:c>
      <x:c r="H177" s="10" t="str">
        <x:v>DEM_triangle_LOS</x:v>
      </x:c>
      <x:c r="I177" s="18" t="n">
        <x:v>5.301225196534546</x:v>
      </x:c>
      <x:c r="J177" s="22" t="n">
        <x:v>1</x:v>
      </x:c>
    </x:row>
    <x:row r="178" ht="28" customHeight="1">
      <x:c r="A178" s="2" t="str">
        <x:v>T016</x:v>
      </x:c>
      <x:c r="B178" s="2" t="str">
        <x:v>下降</x:v>
      </x:c>
      <x:c r="C178" s="17" t="n">
        <x:v>5138.974291339484</x:v>
      </x:c>
      <x:c r="D178" s="17" t="n">
        <x:v>5175.07396174964</x:v>
      </x:c>
      <x:c r="E178" s="2" t="str">
        <x:v>直连优先，中继后备</x:v>
      </x:c>
      <x:c r="F178" s="2" t="str">
        <x:v>R003</x:v>
      </x:c>
      <x:c r="G178" s="2" t="str">
        <x:v>S007→S003</x:v>
      </x:c>
      <x:c r="H178" s="2" t="str">
        <x:v>DEM_triangle_LOS</x:v>
      </x:c>
      <x:c r="I178" s="17" t="n">
        <x:v>5.284634501205119</x:v>
      </x:c>
      <x:c r="J178" s="21" t="n">
        <x:v>1</x:v>
      </x:c>
    </x:row>
    <x:row r="179" ht="28" customHeight="1">
      <x:c r="A179" s="10" t="str">
        <x:v>T016</x:v>
      </x:c>
      <x:c r="B179" s="10" t="str">
        <x:v>量化等待</x:v>
      </x:c>
      <x:c r="C179" s="18" t="n">
        <x:v>5175.07396174964</x:v>
      </x:c>
      <x:c r="D179" s="18" t="n">
        <x:v>5175.0740000000005</x:v>
      </x:c>
      <x:c r="E179" s="10" t="str">
        <x:v>直连优先，中继后备</x:v>
      </x:c>
      <x:c r="F179" s="10" t="str">
        <x:v>R003</x:v>
      </x:c>
      <x:c r="G179" s="10" t="str">
        <x:v>S007→S003</x:v>
      </x:c>
      <x:c r="H179" s="10" t="str">
        <x:v>DEM_triangle_LOS</x:v>
      </x:c>
      <x:c r="I179" s="18" t="n">
        <x:v>5.284634501205119</x:v>
      </x:c>
      <x:c r="J179" s="22" t="n">
        <x:v>1</x:v>
      </x:c>
    </x:row>
    <x:row r="180" ht="28" customHeight="1">
      <x:c r="A180" s="2" t="str">
        <x:v>T016</x:v>
      </x:c>
      <x:c r="B180" s="2" t="str">
        <x:v>投送</x:v>
      </x:c>
      <x:c r="C180" s="17" t="n">
        <x:v>5175.0740000000005</x:v>
      </x:c>
      <x:c r="D180" s="17" t="n">
        <x:v>5571.0740000000005</x:v>
      </x:c>
      <x:c r="E180" s="2" t="str">
        <x:v>直连优先，中继后备</x:v>
      </x:c>
      <x:c r="F180" s="2" t="str">
        <x:v>R003</x:v>
      </x:c>
      <x:c r="G180" s="2" t="str">
        <x:v>S003→S003</x:v>
      </x:c>
      <x:c r="H180" s="2" t="str">
        <x:v>DEM_triangle_LOS</x:v>
      </x:c>
      <x:c r="I180" s="17" t="n">
        <x:v>5.284634501205119</x:v>
      </x:c>
      <x:c r="J180" s="21" t="n">
        <x:v>1</x:v>
      </x:c>
    </x:row>
    <x:row r="181" ht="28" customHeight="1">
      <x:c r="A181" s="10" t="str">
        <x:v>T016</x:v>
      </x:c>
      <x:c r="B181" s="10" t="str">
        <x:v>爬升</x:v>
      </x:c>
      <x:c r="C181" s="18" t="n">
        <x:v>5571.0740000000005</x:v>
      </x:c>
      <x:c r="D181" s="18" t="n">
        <x:v>5660.395655273438</x:v>
      </x:c>
      <x:c r="E181" s="10" t="str">
        <x:v>直连优先，中继后备</x:v>
      </x:c>
      <x:c r="F181" s="10" t="str">
        <x:v>R003</x:v>
      </x:c>
      <x:c r="G181" s="10" t="str">
        <x:v>S003→O01</x:v>
      </x:c>
      <x:c r="H181" s="10" t="str">
        <x:v>DEM_triangle_LOS</x:v>
      </x:c>
      <x:c r="I181" s="18" t="n">
        <x:v>5.284634501205119</x:v>
      </x:c>
      <x:c r="J181" s="22" t="n">
        <x:v>1</x:v>
      </x:c>
    </x:row>
    <x:row r="182" ht="28" customHeight="1">
      <x:c r="A182" s="2" t="str">
        <x:v>T016</x:v>
      </x:c>
      <x:c r="B182" s="2" t="str">
        <x:v>巡航</x:v>
      </x:c>
      <x:c r="C182" s="17" t="n">
        <x:v>5660.395655273438</x:v>
      </x:c>
      <x:c r="D182" s="17" t="n">
        <x:v>6144.650786457833</x:v>
      </x:c>
      <x:c r="E182" s="2" t="str">
        <x:v>直连优先，中继后备</x:v>
      </x:c>
      <x:c r="F182" s="2" t="str">
        <x:v>R003</x:v>
      </x:c>
      <x:c r="G182" s="2" t="str">
        <x:v>S003→O01</x:v>
      </x:c>
      <x:c r="H182" s="2" t="str">
        <x:v>DEM_triangle_LOS</x:v>
      </x:c>
      <x:c r="I182" s="17" t="n">
        <x:v>3.3895618044019784</x:v>
      </x:c>
      <x:c r="J182" s="21" t="n">
        <x:v>1</x:v>
      </x:c>
    </x:row>
    <x:row r="183" ht="28" customHeight="1">
      <x:c r="A183" s="10" t="str">
        <x:v>T016</x:v>
      </x:c>
      <x:c r="B183" s="10" t="str">
        <x:v>下降</x:v>
      </x:c>
      <x:c r="C183" s="18" t="n">
        <x:v>6144.650786457833</x:v>
      </x:c>
      <x:c r="D183" s="18" t="n">
        <x:v>6361.702855549631</x:v>
      </x:c>
      <x:c r="E183" s="10" t="str">
        <x:v>直连</x:v>
      </x:c>
      <x:c r="F183" s="10" t="str"/>
      <x:c r="G183" s="10" t="str">
        <x:v>S003→O01</x:v>
      </x:c>
      <x:c r="H183" s="10" t="str">
        <x:v>最坏遮挡距离界</x:v>
      </x:c>
      <x:c r="I183" s="18" t="n">
        <x:v>19.603583756332732</x:v>
      </x:c>
      <x:c r="J183" s="22" t="n">
        <x:v>1</x:v>
      </x:c>
    </x:row>
    <x:row r="184" ht="28" customHeight="1">
      <x:c r="A184" s="2" t="str">
        <x:v>T016</x:v>
      </x:c>
      <x:c r="B184" s="2" t="str">
        <x:v>量化等待</x:v>
      </x:c>
      <x:c r="C184" s="17" t="n">
        <x:v>6361.702855549631</x:v>
      </x:c>
      <x:c r="D184" s="17" t="n">
        <x:v>6361.7029999999995</x:v>
      </x:c>
      <x:c r="E184" s="2" t="str">
        <x:v>直连</x:v>
      </x:c>
      <x:c r="F184" s="2" t="str"/>
      <x:c r="G184" s="2" t="str">
        <x:v>S003→O01</x:v>
      </x:c>
      <x:c r="H184" s="2" t="str">
        <x:v>最坏遮挡距离界</x:v>
      </x:c>
      <x:c r="I184" s="17" t="n">
        <x:v>45.925175252488266</x:v>
      </x:c>
      <x:c r="J184" s="21" t="n">
        <x:v>1</x:v>
      </x:c>
    </x:row>
    <x:row r="185" ht="28" customHeight="1">
      <x:c r="A185" s="10" t="str">
        <x:v>T017</x:v>
      </x:c>
      <x:c r="B185" s="10" t="str">
        <x:v>爬升</x:v>
      </x:c>
      <x:c r="C185" s="18" t="n">
        <x:v>4182.577</x:v>
      </x:c>
      <x:c r="D185" s="18" t="n">
        <x:v>4264.3134440917975</x:v>
      </x:c>
      <x:c r="E185" s="10" t="str">
        <x:v>直连</x:v>
      </x:c>
      <x:c r="F185" s="10" t="str"/>
      <x:c r="G185" s="10" t="str">
        <x:v>O01→S008</x:v>
      </x:c>
      <x:c r="H185" s="10" t="str">
        <x:v>最坏遮挡距离界</x:v>
      </x:c>
      <x:c r="I185" s="18" t="n">
        <x:v>24.894047506859245</x:v>
      </x:c>
      <x:c r="J185" s="22" t="n">
        <x:v>1</x:v>
      </x:c>
    </x:row>
    <x:row r="186" ht="28" customHeight="1">
      <x:c r="A186" s="2" t="str">
        <x:v>T017</x:v>
      </x:c>
      <x:c r="B186" s="2" t="str">
        <x:v>巡航</x:v>
      </x:c>
      <x:c r="C186" s="17" t="n">
        <x:v>4264.3134440917975</x:v>
      </x:c>
      <x:c r="D186" s="17" t="n">
        <x:v>4802.920807344362</x:v>
      </x:c>
      <x:c r="E186" s="2" t="str">
        <x:v>直连优先，中继后备</x:v>
      </x:c>
      <x:c r="F186" s="2" t="str">
        <x:v>R003</x:v>
      </x:c>
      <x:c r="G186" s="2" t="str">
        <x:v>O01→S008</x:v>
      </x:c>
      <x:c r="H186" s="2" t="str">
        <x:v>DEM_triangle_LOS</x:v>
      </x:c>
      <x:c r="I186" s="17" t="n">
        <x:v>1.9571095653873556</x:v>
      </x:c>
      <x:c r="J186" s="21" t="n">
        <x:v>1</x:v>
      </x:c>
    </x:row>
    <x:row r="187" ht="28" customHeight="1">
      <x:c r="A187" s="10" t="str">
        <x:v>T017</x:v>
      </x:c>
      <x:c r="B187" s="10" t="str">
        <x:v>下降</x:v>
      </x:c>
      <x:c r="C187" s="18" t="n">
        <x:v>4802.920807344362</x:v>
      </x:c>
      <x:c r="D187" s="18" t="n">
        <x:v>4843.724540254519</x:v>
      </x:c>
      <x:c r="E187" s="10" t="str">
        <x:v>直连优先，中继后备</x:v>
      </x:c>
      <x:c r="F187" s="10" t="str">
        <x:v>R003</x:v>
      </x:c>
      <x:c r="G187" s="10" t="str">
        <x:v>O01→S008</x:v>
      </x:c>
      <x:c r="H187" s="10" t="str">
        <x:v>DEM_triangle_LOS</x:v>
      </x:c>
      <x:c r="I187" s="18" t="n">
        <x:v>1.9443905852773327</x:v>
      </x:c>
      <x:c r="J187" s="22" t="n">
        <x:v>1</x:v>
      </x:c>
    </x:row>
    <x:row r="188" ht="28" customHeight="1">
      <x:c r="A188" s="2" t="str">
        <x:v>T017</x:v>
      </x:c>
      <x:c r="B188" s="2" t="str">
        <x:v>量化等待</x:v>
      </x:c>
      <x:c r="C188" s="17" t="n">
        <x:v>4843.724540254519</x:v>
      </x:c>
      <x:c r="D188" s="17" t="n">
        <x:v>4843.725</x:v>
      </x:c>
      <x:c r="E188" s="2" t="str">
        <x:v>直连优先，中继后备</x:v>
      </x:c>
      <x:c r="F188" s="2" t="str">
        <x:v>R003</x:v>
      </x:c>
      <x:c r="G188" s="2" t="str">
        <x:v>O01→S008</x:v>
      </x:c>
      <x:c r="H188" s="2" t="str">
        <x:v>DEM_triangle_LOS</x:v>
      </x:c>
      <x:c r="I188" s="17" t="n">
        <x:v>1.9443905852773327</x:v>
      </x:c>
      <x:c r="J188" s="21" t="n">
        <x:v>1</x:v>
      </x:c>
    </x:row>
    <x:row r="189" ht="28" customHeight="1">
      <x:c r="A189" s="10" t="str">
        <x:v>T017</x:v>
      </x:c>
      <x:c r="B189" s="10" t="str">
        <x:v>投送</x:v>
      </x:c>
      <x:c r="C189" s="18" t="n">
        <x:v>4843.725</x:v>
      </x:c>
      <x:c r="D189" s="18" t="n">
        <x:v>5083.725</x:v>
      </x:c>
      <x:c r="E189" s="10" t="str">
        <x:v>直连优先，中继后备</x:v>
      </x:c>
      <x:c r="F189" s="10" t="str">
        <x:v>R003</x:v>
      </x:c>
      <x:c r="G189" s="10" t="str">
        <x:v>S008→S008</x:v>
      </x:c>
      <x:c r="H189" s="10" t="str">
        <x:v>DEM_triangle_LOS</x:v>
      </x:c>
      <x:c r="I189" s="18" t="n">
        <x:v>1.9443905852773327</x:v>
      </x:c>
      <x:c r="J189" s="22" t="n">
        <x:v>1</x:v>
      </x:c>
    </x:row>
    <x:row r="190" ht="28" customHeight="1">
      <x:c r="A190" s="2" t="str">
        <x:v>T017</x:v>
      </x:c>
      <x:c r="B190" s="2" t="str">
        <x:v>爬升</x:v>
      </x:c>
      <x:c r="C190" s="17" t="n">
        <x:v>5083.725</x:v>
      </x:c>
      <x:c r="D190" s="17" t="n">
        <x:v>5117.728110758464</x:v>
      </x:c>
      <x:c r="E190" s="2" t="str">
        <x:v>直连优先，中继后备</x:v>
      </x:c>
      <x:c r="F190" s="2" t="str">
        <x:v>R003</x:v>
      </x:c>
      <x:c r="G190" s="2" t="str">
        <x:v>S008→O01</x:v>
      </x:c>
      <x:c r="H190" s="2" t="str">
        <x:v>DEM_triangle_LOS</x:v>
      </x:c>
      <x:c r="I190" s="17" t="n">
        <x:v>1.9443905852773327</x:v>
      </x:c>
      <x:c r="J190" s="21" t="n">
        <x:v>1</x:v>
      </x:c>
    </x:row>
    <x:row r="191" ht="28" customHeight="1">
      <x:c r="A191" s="10" t="str">
        <x:v>T017</x:v>
      </x:c>
      <x:c r="B191" s="10" t="str">
        <x:v>巡航</x:v>
      </x:c>
      <x:c r="C191" s="18" t="n">
        <x:v>5117.728110758464</x:v>
      </x:c>
      <x:c r="D191" s="18" t="n">
        <x:v>5656.335474011028</x:v>
      </x:c>
      <x:c r="E191" s="10" t="str">
        <x:v>直连优先，中继后备</x:v>
      </x:c>
      <x:c r="F191" s="10" t="str">
        <x:v>R003</x:v>
      </x:c>
      <x:c r="G191" s="10" t="str">
        <x:v>S008→O01</x:v>
      </x:c>
      <x:c r="H191" s="10" t="str">
        <x:v>DEM_triangle_LOS</x:v>
      </x:c>
      <x:c r="I191" s="18" t="n">
        <x:v>1.9571095653873556</x:v>
      </x:c>
      <x:c r="J191" s="22" t="n">
        <x:v>1</x:v>
      </x:c>
    </x:row>
    <x:row r="192" ht="28" customHeight="1">
      <x:c r="A192" s="2" t="str">
        <x:v>T017</x:v>
      </x:c>
      <x:c r="B192" s="2" t="str">
        <x:v>下降</x:v>
      </x:c>
      <x:c r="C192" s="17" t="n">
        <x:v>5656.335474011028</x:v>
      </x:c>
      <x:c r="D192" s="17" t="n">
        <x:v>5754.419206921185</x:v>
      </x:c>
      <x:c r="E192" s="2" t="str">
        <x:v>直连</x:v>
      </x:c>
      <x:c r="F192" s="2" t="str"/>
      <x:c r="G192" s="2" t="str">
        <x:v>S008→O01</x:v>
      </x:c>
      <x:c r="H192" s="2" t="str">
        <x:v>最坏遮挡距离界</x:v>
      </x:c>
      <x:c r="I192" s="17" t="n">
        <x:v>24.894047506859245</x:v>
      </x:c>
      <x:c r="J192" s="21" t="n">
        <x:v>1</x:v>
      </x:c>
    </x:row>
    <x:row r="193" ht="28" customHeight="1">
      <x:c r="A193" s="10" t="str">
        <x:v>T017</x:v>
      </x:c>
      <x:c r="B193" s="10" t="str">
        <x:v>量化等待</x:v>
      </x:c>
      <x:c r="C193" s="18" t="n">
        <x:v>5754.419206921185</x:v>
      </x:c>
      <x:c r="D193" s="18" t="n">
        <x:v>5754.42</x:v>
      </x:c>
      <x:c r="E193" s="10" t="str">
        <x:v>直连</x:v>
      </x:c>
      <x:c r="F193" s="10" t="str"/>
      <x:c r="G193" s="10" t="str">
        <x:v>S008→O01</x:v>
      </x:c>
      <x:c r="H193" s="10" t="str">
        <x:v>最坏遮挡距离界</x:v>
      </x:c>
      <x:c r="I193" s="18" t="n">
        <x:v>45.925175252488266</x:v>
      </x:c>
      <x:c r="J193" s="22" t="n">
        <x:v>1</x:v>
      </x:c>
    </x:row>
    <x:row r="194" ht="28" customHeight="1">
      <x:c r="A194" s="2" t="str">
        <x:v>T018</x:v>
      </x:c>
      <x:c r="B194" s="2" t="str">
        <x:v>爬升</x:v>
      </x:c>
      <x:c r="C194" s="17" t="n">
        <x:v>4334.032999999999</x:v>
      </x:c>
      <x:c r="D194" s="17" t="n">
        <x:v>4482.066085123698</x:v>
      </x:c>
      <x:c r="E194" s="2" t="str">
        <x:v>直连</x:v>
      </x:c>
      <x:c r="F194" s="2" t="str"/>
      <x:c r="G194" s="2" t="str">
        <x:v>O01→S015</x:v>
      </x:c>
      <x:c r="H194" s="2" t="str">
        <x:v>最坏遮挡距离界</x:v>
      </x:c>
      <x:c r="I194" s="17" t="n">
        <x:v>19.396424967151802</x:v>
      </x:c>
      <x:c r="J194" s="21" t="n">
        <x:v>1</x:v>
      </x:c>
    </x:row>
    <x:row r="195" ht="28" customHeight="1">
      <x:c r="A195" s="10" t="str">
        <x:v>T018</x:v>
      </x:c>
      <x:c r="B195" s="10" t="str">
        <x:v>巡航</x:v>
      </x:c>
      <x:c r="C195" s="18" t="n">
        <x:v>4482.066085123698</x:v>
      </x:c>
      <x:c r="D195" s="18" t="n">
        <x:v>4982.879826142065</x:v>
      </x:c>
      <x:c r="E195" s="10" t="str">
        <x:v>直连优先，中继后备</x:v>
      </x:c>
      <x:c r="F195" s="10" t="str">
        <x:v>R003</x:v>
      </x:c>
      <x:c r="G195" s="10" t="str">
        <x:v>O01→S015</x:v>
      </x:c>
      <x:c r="H195" s="10" t="str">
        <x:v>DEM_triangle_LOS</x:v>
      </x:c>
      <x:c r="I195" s="18" t="n">
        <x:v>3.3901173438287486</x:v>
      </x:c>
      <x:c r="J195" s="22" t="n">
        <x:v>1</x:v>
      </x:c>
    </x:row>
    <x:row r="196" ht="28" customHeight="1">
      <x:c r="A196" s="2" t="str">
        <x:v>T018</x:v>
      </x:c>
      <x:c r="B196" s="2" t="str">
        <x:v>下降</x:v>
      </x:c>
      <x:c r="C196" s="17" t="n">
        <x:v>4982.879826142065</x:v>
      </x:c>
      <x:c r="D196" s="17" t="n">
        <x:v>5021.799528290503</x:v>
      </x:c>
      <x:c r="E196" s="2" t="str">
        <x:v>直连优先，中继后备</x:v>
      </x:c>
      <x:c r="F196" s="2" t="str">
        <x:v>R003</x:v>
      </x:c>
      <x:c r="G196" s="2" t="str">
        <x:v>O01→S015</x:v>
      </x:c>
      <x:c r="H196" s="2" t="str">
        <x:v>最坏遮挡距离界</x:v>
      </x:c>
      <x:c r="I196" s="17" t="n">
        <x:v>0.7751696819081673</x:v>
      </x:c>
      <x:c r="J196" s="21" t="n">
        <x:v>1</x:v>
      </x:c>
    </x:row>
    <x:row r="197" ht="28" customHeight="1">
      <x:c r="A197" s="10" t="str">
        <x:v>T018</x:v>
      </x:c>
      <x:c r="B197" s="10" t="str">
        <x:v>量化等待</x:v>
      </x:c>
      <x:c r="C197" s="18" t="n">
        <x:v>5021.799528290503</x:v>
      </x:c>
      <x:c r="D197" s="18" t="n">
        <x:v>5021.8</x:v>
      </x:c>
      <x:c r="E197" s="10" t="str">
        <x:v>直连优先，中继后备</x:v>
      </x:c>
      <x:c r="F197" s="10" t="str">
        <x:v>R003</x:v>
      </x:c>
      <x:c r="G197" s="10" t="str">
        <x:v>O01→S015</x:v>
      </x:c>
      <x:c r="H197" s="10" t="str">
        <x:v>最坏遮挡距离界</x:v>
      </x:c>
      <x:c r="I197" s="18" t="n">
        <x:v>0.7751696819081673</x:v>
      </x:c>
      <x:c r="J197" s="22" t="n">
        <x:v>1</x:v>
      </x:c>
    </x:row>
    <x:row r="198" ht="28" customHeight="1">
      <x:c r="A198" s="2" t="str">
        <x:v>T018</x:v>
      </x:c>
      <x:c r="B198" s="2" t="str">
        <x:v>投送</x:v>
      </x:c>
      <x:c r="C198" s="17" t="n">
        <x:v>5021.8</x:v>
      </x:c>
      <x:c r="D198" s="17" t="n">
        <x:v>5231.8</x:v>
      </x:c>
      <x:c r="E198" s="2" t="str">
        <x:v>直连优先，中继后备</x:v>
      </x:c>
      <x:c r="F198" s="2" t="str">
        <x:v>R003</x:v>
      </x:c>
      <x:c r="G198" s="2" t="str">
        <x:v>S015→S015</x:v>
      </x:c>
      <x:c r="H198" s="2" t="str">
        <x:v>最坏遮挡距离界</x:v>
      </x:c>
      <x:c r="I198" s="17" t="n">
        <x:v>0.7751696819081673</x:v>
      </x:c>
      <x:c r="J198" s="21" t="n">
        <x:v>1</x:v>
      </x:c>
    </x:row>
    <x:row r="199" ht="28" customHeight="1">
      <x:c r="A199" s="10" t="str">
        <x:v>T018</x:v>
      </x:c>
      <x:c r="B199" s="10" t="str">
        <x:v>爬升</x:v>
      </x:c>
      <x:c r="C199" s="18" t="n">
        <x:v>5231.8</x:v>
      </x:c>
      <x:c r="D199" s="18" t="n">
        <x:v>5264.233085123698</x:v>
      </x:c>
      <x:c r="E199" s="10" t="str">
        <x:v>直连优先，中继后备</x:v>
      </x:c>
      <x:c r="F199" s="10" t="str">
        <x:v>R003</x:v>
      </x:c>
      <x:c r="G199" s="10" t="str">
        <x:v>S015→O01</x:v>
      </x:c>
      <x:c r="H199" s="10" t="str">
        <x:v>最坏遮挡距离界</x:v>
      </x:c>
      <x:c r="I199" s="18" t="n">
        <x:v>0.7751696819081673</x:v>
      </x:c>
      <x:c r="J199" s="22" t="n">
        <x:v>1</x:v>
      </x:c>
    </x:row>
    <x:row r="200" ht="28" customHeight="1">
      <x:c r="A200" s="2" t="str">
        <x:v>T018</x:v>
      </x:c>
      <x:c r="B200" s="2" t="str">
        <x:v>巡航</x:v>
      </x:c>
      <x:c r="C200" s="17" t="n">
        <x:v>5264.233085123698</x:v>
      </x:c>
      <x:c r="D200" s="17" t="n">
        <x:v>5765.046826142066</x:v>
      </x:c>
      <x:c r="E200" s="2" t="str">
        <x:v>直连优先，中继后备</x:v>
      </x:c>
      <x:c r="F200" s="2" t="str">
        <x:v>R003</x:v>
      </x:c>
      <x:c r="G200" s="2" t="str">
        <x:v>S015→O01</x:v>
      </x:c>
      <x:c r="H200" s="2" t="str">
        <x:v>DEM_triangle_LOS</x:v>
      </x:c>
      <x:c r="I200" s="17" t="n">
        <x:v>3.3901173438287486</x:v>
      </x:c>
      <x:c r="J200" s="21" t="n">
        <x:v>1</x:v>
      </x:c>
    </x:row>
    <x:row r="201" ht="28" customHeight="1">
      <x:c r="A201" s="10" t="str">
        <x:v>T018</x:v>
      </x:c>
      <x:c r="B201" s="10" t="str">
        <x:v>下降</x:v>
      </x:c>
      <x:c r="C201" s="18" t="n">
        <x:v>5765.046826142066</x:v>
      </x:c>
      <x:c r="D201" s="18" t="n">
        <x:v>5942.686528290504</x:v>
      </x:c>
      <x:c r="E201" s="10" t="str">
        <x:v>直连</x:v>
      </x:c>
      <x:c r="F201" s="10" t="str"/>
      <x:c r="G201" s="10" t="str">
        <x:v>S015→O01</x:v>
      </x:c>
      <x:c r="H201" s="10" t="str">
        <x:v>最坏遮挡距离界</x:v>
      </x:c>
      <x:c r="I201" s="18" t="n">
        <x:v>19.396424967151802</x:v>
      </x:c>
      <x:c r="J201" s="22" t="n">
        <x:v>1</x:v>
      </x:c>
    </x:row>
    <x:row r="202" ht="28" customHeight="1">
      <x:c r="A202" s="2" t="str">
        <x:v>T018</x:v>
      </x:c>
      <x:c r="B202" s="2" t="str">
        <x:v>量化等待</x:v>
      </x:c>
      <x:c r="C202" s="17" t="n">
        <x:v>5942.686528290504</x:v>
      </x:c>
      <x:c r="D202" s="17" t="n">
        <x:v>5942.687</x:v>
      </x:c>
      <x:c r="E202" s="2" t="str">
        <x:v>直连</x:v>
      </x:c>
      <x:c r="F202" s="2" t="str"/>
      <x:c r="G202" s="2" t="str">
        <x:v>S015→O01</x:v>
      </x:c>
      <x:c r="H202" s="2" t="str">
        <x:v>最坏遮挡距离界</x:v>
      </x:c>
      <x:c r="I202" s="17" t="n">
        <x:v>45.925175252488266</x:v>
      </x:c>
      <x:c r="J202" s="21" t="n">
        <x:v>1</x:v>
      </x:c>
    </x:row>
    <x:row r="203" ht="28" customHeight="1">
      <x:c r="A203" s="10" t="str">
        <x:v>T019</x:v>
      </x:c>
      <x:c r="B203" s="10" t="str">
        <x:v>爬升</x:v>
      </x:c>
      <x:c r="C203" s="18" t="n">
        <x:v>4533.232</x:v>
      </x:c>
      <x:c r="D203" s="18" t="n">
        <x:v>4612.71635546875</x:v>
      </x:c>
      <x:c r="E203" s="10" t="str">
        <x:v>直连</x:v>
      </x:c>
      <x:c r="F203" s="10" t="str"/>
      <x:c r="G203" s="10" t="str">
        <x:v>O01→S005</x:v>
      </x:c>
      <x:c r="H203" s="10" t="str">
        <x:v>最坏遮挡距离界</x:v>
      </x:c>
      <x:c r="I203" s="18" t="n">
        <x:v>26.902754877149746</x:v>
      </x:c>
      <x:c r="J203" s="22" t="n">
        <x:v>1</x:v>
      </x:c>
    </x:row>
    <x:row r="204" ht="28" customHeight="1">
      <x:c r="A204" s="2" t="str">
        <x:v>T019</x:v>
      </x:c>
      <x:c r="B204" s="2" t="str">
        <x:v>巡航</x:v>
      </x:c>
      <x:c r="C204" s="17" t="n">
        <x:v>4612.71635546875</x:v>
      </x:c>
      <x:c r="D204" s="17" t="n">
        <x:v>4964.755913409798</x:v>
      </x:c>
      <x:c r="E204" s="2" t="str">
        <x:v>直连优先，中继后备</x:v>
      </x:c>
      <x:c r="F204" s="2" t="str">
        <x:v>R003</x:v>
      </x:c>
      <x:c r="G204" s="2" t="str">
        <x:v>O01→S005</x:v>
      </x:c>
      <x:c r="H204" s="2" t="str">
        <x:v>DEM_triangle_LOS</x:v>
      </x:c>
      <x:c r="I204" s="17" t="n">
        <x:v>3.362637357737654</x:v>
      </x:c>
      <x:c r="J204" s="21" t="n">
        <x:v>1</x:v>
      </x:c>
    </x:row>
    <x:row r="205" ht="28" customHeight="1">
      <x:c r="A205" s="10" t="str">
        <x:v>T019</x:v>
      </x:c>
      <x:c r="B205" s="10" t="str">
        <x:v>下降</x:v>
      </x:c>
      <x:c r="C205" s="18" t="n">
        <x:v>4964.755913409798</x:v>
      </x:c>
      <x:c r="D205" s="18" t="n">
        <x:v>5030.461357745736</x:v>
      </x:c>
      <x:c r="E205" s="10" t="str">
        <x:v>直连优先，中继后备</x:v>
      </x:c>
      <x:c r="F205" s="10" t="str">
        <x:v>R003</x:v>
      </x:c>
      <x:c r="G205" s="10" t="str">
        <x:v>O01→S005</x:v>
      </x:c>
      <x:c r="H205" s="10" t="str">
        <x:v>DEM_triangle_LOS</x:v>
      </x:c>
      <x:c r="I205" s="18" t="n">
        <x:v>4.837227476911693</x:v>
      </x:c>
      <x:c r="J205" s="22" t="n">
        <x:v>1</x:v>
      </x:c>
    </x:row>
    <x:row r="206" ht="28" customHeight="1">
      <x:c r="A206" s="2" t="str">
        <x:v>T019</x:v>
      </x:c>
      <x:c r="B206" s="2" t="str">
        <x:v>量化等待</x:v>
      </x:c>
      <x:c r="C206" s="17" t="n">
        <x:v>5030.461357745736</x:v>
      </x:c>
      <x:c r="D206" s="17" t="n">
        <x:v>5030.4619999999995</x:v>
      </x:c>
      <x:c r="E206" s="2" t="str">
        <x:v>直连优先，中继后备</x:v>
      </x:c>
      <x:c r="F206" s="2" t="str">
        <x:v>R003</x:v>
      </x:c>
      <x:c r="G206" s="2" t="str">
        <x:v>O01→S005</x:v>
      </x:c>
      <x:c r="H206" s="2" t="str">
        <x:v>DEM_triangle_LOS</x:v>
      </x:c>
      <x:c r="I206" s="17" t="n">
        <x:v>4.837227476911693</x:v>
      </x:c>
      <x:c r="J206" s="21" t="n">
        <x:v>1</x:v>
      </x:c>
    </x:row>
    <x:row r="207" ht="28" customHeight="1">
      <x:c r="A207" s="10" t="str">
        <x:v>T019</x:v>
      </x:c>
      <x:c r="B207" s="10" t="str">
        <x:v>投送</x:v>
      </x:c>
      <x:c r="C207" s="18" t="n">
        <x:v>5030.4619999999995</x:v>
      </x:c>
      <x:c r="D207" s="18" t="n">
        <x:v>5426.4619999999995</x:v>
      </x:c>
      <x:c r="E207" s="10" t="str">
        <x:v>直连优先，中继后备</x:v>
      </x:c>
      <x:c r="F207" s="10" t="str">
        <x:v>R003</x:v>
      </x:c>
      <x:c r="G207" s="10" t="str">
        <x:v>S005→S005</x:v>
      </x:c>
      <x:c r="H207" s="10" t="str">
        <x:v>DEM_triangle_LOS</x:v>
      </x:c>
      <x:c r="I207" s="18" t="n">
        <x:v>4.837227476911693</x:v>
      </x:c>
      <x:c r="J207" s="22" t="n">
        <x:v>1</x:v>
      </x:c>
    </x:row>
    <x:row r="208" ht="28" customHeight="1">
      <x:c r="A208" s="2" t="str">
        <x:v>T019</x:v>
      </x:c>
      <x:c r="B208" s="2" t="str">
        <x:v>爬升</x:v>
      </x:c>
      <x:c r="C208" s="17" t="n">
        <x:v>5426.4619999999995</x:v>
      </x:c>
      <x:c r="D208" s="17" t="n">
        <x:v>5487.481567871094</x:v>
      </x:c>
      <x:c r="E208" s="2" t="str">
        <x:v>直连优先，中继后备</x:v>
      </x:c>
      <x:c r="F208" s="2" t="str">
        <x:v>R003</x:v>
      </x:c>
      <x:c r="G208" s="2" t="str">
        <x:v>S005→S011</x:v>
      </x:c>
      <x:c r="H208" s="2" t="str">
        <x:v>DEM_triangle_LOS</x:v>
      </x:c>
      <x:c r="I208" s="17" t="n">
        <x:v>4.837227476911693</x:v>
      </x:c>
      <x:c r="J208" s="21" t="n">
        <x:v>1</x:v>
      </x:c>
    </x:row>
    <x:row r="209" ht="28" customHeight="1">
      <x:c r="A209" s="10" t="str">
        <x:v>T019</x:v>
      </x:c>
      <x:c r="B209" s="10" t="str">
        <x:v>巡航</x:v>
      </x:c>
      <x:c r="C209" s="18" t="n">
        <x:v>5487.481567871094</x:v>
      </x:c>
      <x:c r="D209" s="18" t="n">
        <x:v>5674.332474652876</x:v>
      </x:c>
      <x:c r="E209" s="10" t="str">
        <x:v>直连优先，中继后备</x:v>
      </x:c>
      <x:c r="F209" s="10" t="str">
        <x:v>R003</x:v>
      </x:c>
      <x:c r="G209" s="10" t="str">
        <x:v>S005→S011</x:v>
      </x:c>
      <x:c r="H209" s="10" t="str">
        <x:v>DEM_triangle_LOS</x:v>
      </x:c>
      <x:c r="I209" s="18" t="n">
        <x:v>4.879602544156313</x:v>
      </x:c>
      <x:c r="J209" s="22" t="n">
        <x:v>1</x:v>
      </x:c>
    </x:row>
    <x:row r="210" ht="28" customHeight="1">
      <x:c r="A210" s="2" t="str">
        <x:v>T019</x:v>
      </x:c>
      <x:c r="B210" s="2" t="str">
        <x:v>下降</x:v>
      </x:c>
      <x:c r="C210" s="17" t="n">
        <x:v>5674.332474652876</x:v>
      </x:c>
      <x:c r="D210" s="17" t="n">
        <x:v>5742.056934491743</x:v>
      </x:c>
      <x:c r="E210" s="2" t="str">
        <x:v>直连</x:v>
      </x:c>
      <x:c r="F210" s="2" t="str"/>
      <x:c r="G210" s="2" t="str">
        <x:v>S005→S011</x:v>
      </x:c>
      <x:c r="H210" s="2" t="str">
        <x:v>最坏遮挡距离界</x:v>
      </x:c>
      <x:c r="I210" s="17" t="n">
        <x:v>2.9555625949489155</x:v>
      </x:c>
      <x:c r="J210" s="21" t="n">
        <x:v>1</x:v>
      </x:c>
    </x:row>
    <x:row r="211" ht="28" customHeight="1">
      <x:c r="A211" s="10" t="str">
        <x:v>T019</x:v>
      </x:c>
      <x:c r="B211" s="10" t="str">
        <x:v>量化等待</x:v>
      </x:c>
      <x:c r="C211" s="18" t="n">
        <x:v>5742.056934491743</x:v>
      </x:c>
      <x:c r="D211" s="18" t="n">
        <x:v>5742.057</x:v>
      </x:c>
      <x:c r="E211" s="10" t="str">
        <x:v>直连</x:v>
      </x:c>
      <x:c r="F211" s="10" t="str"/>
      <x:c r="G211" s="10" t="str">
        <x:v>S005→S011</x:v>
      </x:c>
      <x:c r="H211" s="10" t="str">
        <x:v>最坏遮挡距离界</x:v>
      </x:c>
      <x:c r="I211" s="18" t="n">
        <x:v>2.97522036896504</x:v>
      </x:c>
      <x:c r="J211" s="22" t="n">
        <x:v>1</x:v>
      </x:c>
    </x:row>
    <x:row r="212" ht="28" customHeight="1">
      <x:c r="A212" s="2" t="str">
        <x:v>T019</x:v>
      </x:c>
      <x:c r="B212" s="2" t="str">
        <x:v>投送</x:v>
      </x:c>
      <x:c r="C212" s="17" t="n">
        <x:v>5742.057</x:v>
      </x:c>
      <x:c r="D212" s="17" t="n">
        <x:v>5994.057</x:v>
      </x:c>
      <x:c r="E212" s="2" t="str">
        <x:v>直连</x:v>
      </x:c>
      <x:c r="F212" s="2" t="str"/>
      <x:c r="G212" s="2" t="str">
        <x:v>S011→S011</x:v>
      </x:c>
      <x:c r="H212" s="2" t="str">
        <x:v>最坏遮挡距离界</x:v>
      </x:c>
      <x:c r="I212" s="17" t="n">
        <x:v>2.97522036896504</x:v>
      </x:c>
      <x:c r="J212" s="21" t="n">
        <x:v>1</x:v>
      </x:c>
    </x:row>
    <x:row r="213" ht="28" customHeight="1">
      <x:c r="A213" s="10" t="str">
        <x:v>T019</x:v>
      </x:c>
      <x:c r="B213" s="10" t="str">
        <x:v>爬升</x:v>
      </x:c>
      <x:c r="C213" s="18" t="n">
        <x:v>5994.057</x:v>
      </x:c>
      <x:c r="D213" s="18" t="n">
        <x:v>6027.361702148437</x:v>
      </x:c>
      <x:c r="E213" s="10" t="str">
        <x:v>直连</x:v>
      </x:c>
      <x:c r="F213" s="10" t="str"/>
      <x:c r="G213" s="10" t="str">
        <x:v>S011→O01</x:v>
      </x:c>
      <x:c r="H213" s="10" t="str">
        <x:v>最坏遮挡距离界</x:v>
      </x:c>
      <x:c r="I213" s="18" t="n">
        <x:v>2.9655118891521965</x:v>
      </x:c>
      <x:c r="J213" s="22" t="n">
        <x:v>1</x:v>
      </x:c>
    </x:row>
    <x:row r="214" ht="28" customHeight="1">
      <x:c r="A214" s="2" t="str">
        <x:v>T019</x:v>
      </x:c>
      <x:c r="B214" s="2" t="str">
        <x:v>巡航</x:v>
      </x:c>
      <x:c r="C214" s="17" t="n">
        <x:v>6027.361702148437</x:v>
      </x:c>
      <x:c r="D214" s="17" t="n">
        <x:v>6214.568796306562</x:v>
      </x:c>
      <x:c r="E214" s="2" t="str">
        <x:v>直连</x:v>
      </x:c>
      <x:c r="F214" s="2" t="str"/>
      <x:c r="G214" s="2" t="str">
        <x:v>S011→O01</x:v>
      </x:c>
      <x:c r="H214" s="2" t="str">
        <x:v>最坏遮挡距离界</x:v>
      </x:c>
      <x:c r="I214" s="17" t="n">
        <x:v>2.9655118891521965</x:v>
      </x:c>
      <x:c r="J214" s="21" t="n">
        <x:v>1</x:v>
      </x:c>
    </x:row>
    <x:row r="215" ht="28" customHeight="1">
      <x:c r="A215" s="10" t="str">
        <x:v>T019</x:v>
      </x:c>
      <x:c r="B215" s="10" t="str">
        <x:v>下降</x:v>
      </x:c>
      <x:c r="C215" s="18" t="n">
        <x:v>6214.568796306562</x:v>
      </x:c>
      <x:c r="D215" s="18" t="n">
        <x:v>6298.3996739921095</x:v>
      </x:c>
      <x:c r="E215" s="10" t="str">
        <x:v>直连</x:v>
      </x:c>
      <x:c r="F215" s="10" t="str"/>
      <x:c r="G215" s="10" t="str">
        <x:v>S011→O01</x:v>
      </x:c>
      <x:c r="H215" s="10" t="str">
        <x:v>最坏遮挡距离界</x:v>
      </x:c>
      <x:c r="I215" s="18" t="n">
        <x:v>28.560414627442952</x:v>
      </x:c>
      <x:c r="J215" s="22" t="n">
        <x:v>1</x:v>
      </x:c>
    </x:row>
    <x:row r="216" ht="28" customHeight="1">
      <x:c r="A216" s="2" t="str">
        <x:v>T019</x:v>
      </x:c>
      <x:c r="B216" s="2" t="str">
        <x:v>量化等待</x:v>
      </x:c>
      <x:c r="C216" s="17" t="n">
        <x:v>6298.3996739921095</x:v>
      </x:c>
      <x:c r="D216" s="17" t="n">
        <x:v>6298.4</x:v>
      </x:c>
      <x:c r="E216" s="2" t="str">
        <x:v>直连</x:v>
      </x:c>
      <x:c r="F216" s="2" t="str"/>
      <x:c r="G216" s="2" t="str">
        <x:v>S011→O01</x:v>
      </x:c>
      <x:c r="H216" s="2" t="str">
        <x:v>最坏遮挡距离界</x:v>
      </x:c>
      <x:c r="I216" s="17" t="n">
        <x:v>45.925175252488266</x:v>
      </x:c>
      <x:c r="J216" s="21" t="n">
        <x:v>1</x:v>
      </x:c>
    </x:row>
    <x:row r="217" ht="28" customHeight="1">
      <x:c r="A217" s="10" t="str">
        <x:v>T020</x:v>
      </x:c>
      <x:c r="B217" s="10" t="str">
        <x:v>爬升</x:v>
      </x:c>
      <x:c r="C217" s="18" t="n">
        <x:v>4728.478</x:v>
      </x:c>
      <x:c r="D217" s="18" t="n">
        <x:v>4783.654304117838</x:v>
      </x:c>
      <x:c r="E217" s="10" t="str">
        <x:v>直连</x:v>
      </x:c>
      <x:c r="F217" s="10" t="str"/>
      <x:c r="G217" s="10" t="str">
        <x:v>O01→S009</x:v>
      </x:c>
      <x:c r="H217" s="10" t="str">
        <x:v>最坏遮挡距离界</x:v>
      </x:c>
      <x:c r="I217" s="18" t="n">
        <x:v>28.686789494765073</x:v>
      </x:c>
      <x:c r="J217" s="22" t="n">
        <x:v>1</x:v>
      </x:c>
    </x:row>
    <x:row r="218" ht="28" customHeight="1">
      <x:c r="A218" s="2" t="str">
        <x:v>T020</x:v>
      </x:c>
      <x:c r="B218" s="2" t="str">
        <x:v>巡航</x:v>
      </x:c>
      <x:c r="C218" s="17" t="n">
        <x:v>4783.654304117838</x:v>
      </x:c>
      <x:c r="D218" s="17" t="n">
        <x:v>5259.096258002756</x:v>
      </x:c>
      <x:c r="E218" s="2" t="str">
        <x:v>直连优先，中继后备</x:v>
      </x:c>
      <x:c r="F218" s="2" t="str">
        <x:v>R003</x:v>
      </x:c>
      <x:c r="G218" s="2" t="str">
        <x:v>O01→S009</x:v>
      </x:c>
      <x:c r="H218" s="2" t="str">
        <x:v>DEM_triangle_LOS</x:v>
      </x:c>
      <x:c r="I218" s="17" t="n">
        <x:v>0.6389373131570295</x:v>
      </x:c>
      <x:c r="J218" s="21" t="n">
        <x:v>1</x:v>
      </x:c>
    </x:row>
    <x:row r="219" ht="28" customHeight="1">
      <x:c r="A219" s="10" t="str">
        <x:v>T020</x:v>
      </x:c>
      <x:c r="B219" s="10" t="str">
        <x:v>下降</x:v>
      </x:c>
      <x:c r="C219" s="18" t="n">
        <x:v>5259.096258002756</x:v>
      </x:c>
      <x:c r="D219" s="18" t="n">
        <x:v>5284.3878229441625</x:v>
      </x:c>
      <x:c r="E219" s="10" t="str">
        <x:v>直连优先，中继后备</x:v>
      </x:c>
      <x:c r="F219" s="10" t="str">
        <x:v>R003</x:v>
      </x:c>
      <x:c r="G219" s="10" t="str">
        <x:v>O01→S009</x:v>
      </x:c>
      <x:c r="H219" s="10" t="str">
        <x:v>DEM_triangle_LOS</x:v>
      </x:c>
      <x:c r="I219" s="18" t="n">
        <x:v>0.6321386216392</x:v>
      </x:c>
      <x:c r="J219" s="22" t="n">
        <x:v>1</x:v>
      </x:c>
    </x:row>
    <x:row r="220" ht="28" customHeight="1">
      <x:c r="A220" s="2" t="str">
        <x:v>T020</x:v>
      </x:c>
      <x:c r="B220" s="2" t="str">
        <x:v>量化等待</x:v>
      </x:c>
      <x:c r="C220" s="17" t="n">
        <x:v>5284.3878229441625</x:v>
      </x:c>
      <x:c r="D220" s="17" t="n">
        <x:v>5284.388</x:v>
      </x:c>
      <x:c r="E220" s="2" t="str">
        <x:v>直连优先，中继后备</x:v>
      </x:c>
      <x:c r="F220" s="2" t="str">
        <x:v>R003</x:v>
      </x:c>
      <x:c r="G220" s="2" t="str">
        <x:v>O01→S009</x:v>
      </x:c>
      <x:c r="H220" s="2" t="str">
        <x:v>DEM_triangle_LOS</x:v>
      </x:c>
      <x:c r="I220" s="17" t="n">
        <x:v>0.6321386216392</x:v>
      </x:c>
      <x:c r="J220" s="21" t="n">
        <x:v>1</x:v>
      </x:c>
    </x:row>
    <x:row r="221" ht="28" customHeight="1">
      <x:c r="A221" s="10" t="str">
        <x:v>T020</x:v>
      </x:c>
      <x:c r="B221" s="10" t="str">
        <x:v>投送</x:v>
      </x:c>
      <x:c r="C221" s="18" t="n">
        <x:v>5284.388</x:v>
      </x:c>
      <x:c r="D221" s="18" t="n">
        <x:v>5494.388</x:v>
      </x:c>
      <x:c r="E221" s="10" t="str">
        <x:v>直连优先，中继后备</x:v>
      </x:c>
      <x:c r="F221" s="10" t="str">
        <x:v>R003</x:v>
      </x:c>
      <x:c r="G221" s="10" t="str">
        <x:v>S009→S009</x:v>
      </x:c>
      <x:c r="H221" s="10" t="str">
        <x:v>DEM_triangle_LOS</x:v>
      </x:c>
      <x:c r="I221" s="18" t="n">
        <x:v>0.6321386216392</x:v>
      </x:c>
      <x:c r="J221" s="22" t="n">
        <x:v>1</x:v>
      </x:c>
    </x:row>
    <x:row r="222" ht="28" customHeight="1">
      <x:c r="A222" s="2" t="str">
        <x:v>T020</x:v>
      </x:c>
      <x:c r="B222" s="2" t="str">
        <x:v>爬升</x:v>
      </x:c>
      <x:c r="C222" s="17" t="n">
        <x:v>5494.388</x:v>
      </x:c>
      <x:c r="D222" s="17" t="n">
        <x:v>5515.464304117839</x:v>
      </x:c>
      <x:c r="E222" s="2" t="str">
        <x:v>直连优先，中继后备</x:v>
      </x:c>
      <x:c r="F222" s="2" t="str">
        <x:v>R003</x:v>
      </x:c>
      <x:c r="G222" s="2" t="str">
        <x:v>S009→O01</x:v>
      </x:c>
      <x:c r="H222" s="2" t="str">
        <x:v>DEM_triangle_LOS</x:v>
      </x:c>
      <x:c r="I222" s="17" t="n">
        <x:v>0.6321386216392</x:v>
      </x:c>
      <x:c r="J222" s="21" t="n">
        <x:v>1</x:v>
      </x:c>
    </x:row>
    <x:row r="223" ht="28" customHeight="1">
      <x:c r="A223" s="10" t="str">
        <x:v>T020</x:v>
      </x:c>
      <x:c r="B223" s="10" t="str">
        <x:v>巡航</x:v>
      </x:c>
      <x:c r="C223" s="18" t="n">
        <x:v>5515.464304117839</x:v>
      </x:c>
      <x:c r="D223" s="18" t="n">
        <x:v>5990.906258002757</x:v>
      </x:c>
      <x:c r="E223" s="10" t="str">
        <x:v>直连优先，中继后备</x:v>
      </x:c>
      <x:c r="F223" s="10" t="str">
        <x:v>R003</x:v>
      </x:c>
      <x:c r="G223" s="10" t="str">
        <x:v>S009→O01</x:v>
      </x:c>
      <x:c r="H223" s="10" t="str">
        <x:v>DEM_triangle_LOS</x:v>
      </x:c>
      <x:c r="I223" s="18" t="n">
        <x:v>0.6389373131570295</x:v>
      </x:c>
      <x:c r="J223" s="22" t="n">
        <x:v>1</x:v>
      </x:c>
    </x:row>
    <x:row r="224" ht="28" customHeight="1">
      <x:c r="A224" s="2" t="str">
        <x:v>T020</x:v>
      </x:c>
      <x:c r="B224" s="2" t="str">
        <x:v>下降</x:v>
      </x:c>
      <x:c r="C224" s="17" t="n">
        <x:v>5990.906258002757</x:v>
      </x:c>
      <x:c r="D224" s="17" t="n">
        <x:v>6057.117822944163</x:v>
      </x:c>
      <x:c r="E224" s="2" t="str">
        <x:v>直连</x:v>
      </x:c>
      <x:c r="F224" s="2" t="str"/>
      <x:c r="G224" s="2" t="str">
        <x:v>S009→O01</x:v>
      </x:c>
      <x:c r="H224" s="2" t="str">
        <x:v>最坏遮挡距离界</x:v>
      </x:c>
      <x:c r="I224" s="17" t="n">
        <x:v>28.686789494765073</x:v>
      </x:c>
      <x:c r="J224" s="21" t="n">
        <x:v>1</x:v>
      </x:c>
    </x:row>
    <x:row r="225" ht="28" customHeight="1">
      <x:c r="A225" s="10" t="str">
        <x:v>T020</x:v>
      </x:c>
      <x:c r="B225" s="10" t="str">
        <x:v>量化等待</x:v>
      </x:c>
      <x:c r="C225" s="18" t="n">
        <x:v>6057.117822944163</x:v>
      </x:c>
      <x:c r="D225" s="18" t="n">
        <x:v>6057.118</x:v>
      </x:c>
      <x:c r="E225" s="10" t="str">
        <x:v>直连</x:v>
      </x:c>
      <x:c r="F225" s="10" t="str"/>
      <x:c r="G225" s="10" t="str">
        <x:v>S009→O01</x:v>
      </x:c>
      <x:c r="H225" s="10" t="str">
        <x:v>最坏遮挡距离界</x:v>
      </x:c>
      <x:c r="I225" s="18" t="n">
        <x:v>45.925175252488266</x:v>
      </x:c>
      <x:c r="J225" s="22" t="n">
        <x:v>1</x:v>
      </x:c>
    </x:row>
    <x:row r="226" ht="28" customHeight="1">
      <x:c r="A226" s="2" t="str">
        <x:v>T021</x:v>
      </x:c>
      <x:c r="B226" s="2" t="str">
        <x:v>爬升</x:v>
      </x:c>
      <x:c r="C226" s="17" t="n">
        <x:v>5273.976</x:v>
      </x:c>
      <x:c r="D226" s="17" t="n">
        <x:v>5329.863251790364</x:v>
      </x:c>
      <x:c r="E226" s="2" t="str">
        <x:v>直连</x:v>
      </x:c>
      <x:c r="F226" s="2" t="str"/>
      <x:c r="G226" s="2" t="str">
        <x:v>O01→S011</x:v>
      </x:c>
      <x:c r="H226" s="2" t="str">
        <x:v>最坏遮挡距离界</x:v>
      </x:c>
      <x:c r="I226" s="17" t="n">
        <x:v>28.560414627442952</x:v>
      </x:c>
      <x:c r="J226" s="21" t="n">
        <x:v>1</x:v>
      </x:c>
    </x:row>
    <x:row r="227" ht="28" customHeight="1">
      <x:c r="A227" s="10" t="str">
        <x:v>T021</x:v>
      </x:c>
      <x:c r="B227" s="10" t="str">
        <x:v>巡航</x:v>
      </x:c>
      <x:c r="C227" s="18" t="n">
        <x:v>5329.863251790364</x:v>
      </x:c>
      <x:c r="D227" s="18" t="n">
        <x:v>5517.070345948489</x:v>
      </x:c>
      <x:c r="E227" s="10" t="str">
        <x:v>直连</x:v>
      </x:c>
      <x:c r="F227" s="10" t="str"/>
      <x:c r="G227" s="10" t="str">
        <x:v>O01→S011</x:v>
      </x:c>
      <x:c r="H227" s="10" t="str">
        <x:v>最坏遮挡距离界</x:v>
      </x:c>
      <x:c r="I227" s="18" t="n">
        <x:v>2.9655118891521965</x:v>
      </x:c>
      <x:c r="J227" s="22" t="n">
        <x:v>1</x:v>
      </x:c>
    </x:row>
    <x:row r="228" ht="28" customHeight="1">
      <x:c r="A228" s="2" t="str">
        <x:v>T021</x:v>
      </x:c>
      <x:c r="B228" s="2" t="str">
        <x:v>下降</x:v>
      </x:c>
      <x:c r="C228" s="17" t="n">
        <x:v>5517.070345948489</x:v>
      </x:c>
      <x:c r="D228" s="17" t="n">
        <x:v>5550.375048096927</x:v>
      </x:c>
      <x:c r="E228" s="2" t="str">
        <x:v>直连</x:v>
      </x:c>
      <x:c r="F228" s="2" t="str"/>
      <x:c r="G228" s="2" t="str">
        <x:v>O01→S011</x:v>
      </x:c>
      <x:c r="H228" s="2" t="str">
        <x:v>最坏遮挡距离界</x:v>
      </x:c>
      <x:c r="I228" s="17" t="n">
        <x:v>2.9655118891521965</x:v>
      </x:c>
      <x:c r="J228" s="21" t="n">
        <x:v>1</x:v>
      </x:c>
    </x:row>
    <x:row r="229" ht="28" customHeight="1">
      <x:c r="A229" s="10" t="str">
        <x:v>T021</x:v>
      </x:c>
      <x:c r="B229" s="10" t="str">
        <x:v>量化等待</x:v>
      </x:c>
      <x:c r="C229" s="18" t="n">
        <x:v>5550.375048096927</x:v>
      </x:c>
      <x:c r="D229" s="18" t="n">
        <x:v>5550.375999999999</x:v>
      </x:c>
      <x:c r="E229" s="10" t="str">
        <x:v>直连</x:v>
      </x:c>
      <x:c r="F229" s="10" t="str"/>
      <x:c r="G229" s="10" t="str">
        <x:v>O01→S011</x:v>
      </x:c>
      <x:c r="H229" s="10" t="str">
        <x:v>最坏遮挡距离界</x:v>
      </x:c>
      <x:c r="I229" s="18" t="n">
        <x:v>2.97522036896504</x:v>
      </x:c>
      <x:c r="J229" s="22" t="n">
        <x:v>1</x:v>
      </x:c>
    </x:row>
    <x:row r="230" ht="28" customHeight="1">
      <x:c r="A230" s="2" t="str">
        <x:v>T021</x:v>
      </x:c>
      <x:c r="B230" s="2" t="str">
        <x:v>投送</x:v>
      </x:c>
      <x:c r="C230" s="17" t="n">
        <x:v>5550.375999999999</x:v>
      </x:c>
      <x:c r="D230" s="17" t="n">
        <x:v>5730.375999999999</x:v>
      </x:c>
      <x:c r="E230" s="2" t="str">
        <x:v>直连</x:v>
      </x:c>
      <x:c r="F230" s="2" t="str"/>
      <x:c r="G230" s="2" t="str">
        <x:v>S011→S011</x:v>
      </x:c>
      <x:c r="H230" s="2" t="str">
        <x:v>最坏遮挡距离界</x:v>
      </x:c>
      <x:c r="I230" s="17" t="n">
        <x:v>2.97522036896504</x:v>
      </x:c>
      <x:c r="J230" s="21" t="n">
        <x:v>1</x:v>
      </x:c>
    </x:row>
    <x:row r="231" ht="28" customHeight="1">
      <x:c r="A231" s="10" t="str">
        <x:v>T021</x:v>
      </x:c>
      <x:c r="B231" s="10" t="str">
        <x:v>爬升</x:v>
      </x:c>
      <x:c r="C231" s="18" t="n">
        <x:v>5730.375999999999</x:v>
      </x:c>
      <x:c r="D231" s="18" t="n">
        <x:v>5793.165196777343</x:v>
      </x:c>
      <x:c r="E231" s="10" t="str">
        <x:v>直连</x:v>
      </x:c>
      <x:c r="F231" s="10" t="str"/>
      <x:c r="G231" s="10" t="str">
        <x:v>S011→S006</x:v>
      </x:c>
      <x:c r="H231" s="10" t="str">
        <x:v>最坏遮挡距离界</x:v>
      </x:c>
      <x:c r="I231" s="18" t="n">
        <x:v>2.942457295704614</x:v>
      </x:c>
      <x:c r="J231" s="22" t="n">
        <x:v>1</x:v>
      </x:c>
    </x:row>
    <x:row r="232" ht="28" customHeight="1">
      <x:c r="A232" s="2" t="str">
        <x:v>T021</x:v>
      </x:c>
      <x:c r="B232" s="2" t="str">
        <x:v>巡航</x:v>
      </x:c>
      <x:c r="C232" s="17" t="n">
        <x:v>5793.165196777343</x:v>
      </x:c>
      <x:c r="D232" s="17" t="n">
        <x:v>6020.486987384993</x:v>
      </x:c>
      <x:c r="E232" s="2" t="str">
        <x:v>直连</x:v>
      </x:c>
      <x:c r="F232" s="2" t="str"/>
      <x:c r="G232" s="2" t="str">
        <x:v>S011→S006</x:v>
      </x:c>
      <x:c r="H232" s="2" t="str">
        <x:v>最坏遮挡距离界</x:v>
      </x:c>
      <x:c r="I232" s="17" t="n">
        <x:v>1.853070654855685</x:v>
      </x:c>
      <x:c r="J232" s="21" t="n">
        <x:v>1</x:v>
      </x:c>
    </x:row>
    <x:row r="233" ht="28" customHeight="1">
      <x:c r="A233" s="10" t="str">
        <x:v>T021</x:v>
      </x:c>
      <x:c r="B233" s="10" t="str">
        <x:v>下降</x:v>
      </x:c>
      <x:c r="C233" s="18" t="n">
        <x:v>6020.486987384993</x:v>
      </x:c>
      <x:c r="D233" s="18" t="n">
        <x:v>6054.754023517806</x:v>
      </x:c>
      <x:c r="E233" s="10" t="str">
        <x:v>直连</x:v>
      </x:c>
      <x:c r="F233" s="10" t="str"/>
      <x:c r="G233" s="10" t="str">
        <x:v>S011→S006</x:v>
      </x:c>
      <x:c r="H233" s="10" t="str">
        <x:v>最坏遮挡距离界</x:v>
      </x:c>
      <x:c r="I233" s="18" t="n">
        <x:v>1.853070654855685</x:v>
      </x:c>
      <x:c r="J233" s="22" t="n">
        <x:v>1</x:v>
      </x:c>
    </x:row>
    <x:row r="234" ht="28" customHeight="1">
      <x:c r="A234" s="2" t="str">
        <x:v>T021</x:v>
      </x:c>
      <x:c r="B234" s="2" t="str">
        <x:v>量化等待</x:v>
      </x:c>
      <x:c r="C234" s="17" t="n">
        <x:v>6054.754023517806</x:v>
      </x:c>
      <x:c r="D234" s="17" t="n">
        <x:v>6054.754999999999</x:v>
      </x:c>
      <x:c r="E234" s="2" t="str">
        <x:v>直连</x:v>
      </x:c>
      <x:c r="F234" s="2" t="str"/>
      <x:c r="G234" s="2" t="str">
        <x:v>S011→S006</x:v>
      </x:c>
      <x:c r="H234" s="2" t="str">
        <x:v>最坏遮挡距离界</x:v>
      </x:c>
      <x:c r="I234" s="17" t="n">
        <x:v>1.8683888800624544</x:v>
      </x:c>
      <x:c r="J234" s="21" t="n">
        <x:v>1</x:v>
      </x:c>
    </x:row>
    <x:row r="235" ht="28" customHeight="1">
      <x:c r="A235" s="10" t="str">
        <x:v>T021</x:v>
      </x:c>
      <x:c r="B235" s="10" t="str">
        <x:v>投送</x:v>
      </x:c>
      <x:c r="C235" s="18" t="n">
        <x:v>6054.754999999999</x:v>
      </x:c>
      <x:c r="D235" s="18" t="n">
        <x:v>6234.754999999999</x:v>
      </x:c>
      <x:c r="E235" s="10" t="str">
        <x:v>直连</x:v>
      </x:c>
      <x:c r="F235" s="10" t="str"/>
      <x:c r="G235" s="10" t="str">
        <x:v>S006→S006</x:v>
      </x:c>
      <x:c r="H235" s="10" t="str">
        <x:v>最坏遮挡距离界</x:v>
      </x:c>
      <x:c r="I235" s="18" t="n">
        <x:v>1.8683888800624544</x:v>
      </x:c>
      <x:c r="J235" s="22" t="n">
        <x:v>1</x:v>
      </x:c>
    </x:row>
    <x:row r="236" ht="28" customHeight="1">
      <x:c r="A236" s="2" t="str">
        <x:v>T021</x:v>
      </x:c>
      <x:c r="B236" s="2" t="str">
        <x:v>爬升</x:v>
      </x:c>
      <x:c r="C236" s="17" t="n">
        <x:v>6234.754999999999</x:v>
      </x:c>
      <x:c r="D236" s="17" t="n">
        <x:v>6251.854279785156</x:v>
      </x:c>
      <x:c r="E236" s="2" t="str">
        <x:v>直连</x:v>
      </x:c>
      <x:c r="F236" s="2" t="str"/>
      <x:c r="G236" s="2" t="str">
        <x:v>S006→O01</x:v>
      </x:c>
      <x:c r="H236" s="2" t="str">
        <x:v>最坏遮挡距离界</x:v>
      </x:c>
      <x:c r="I236" s="17" t="n">
        <x:v>1.8599604785582073</x:v>
      </x:c>
      <x:c r="J236" s="21" t="n">
        <x:v>1</x:v>
      </x:c>
    </x:row>
    <x:row r="237" ht="28" customHeight="1">
      <x:c r="A237" s="10" t="str">
        <x:v>T021</x:v>
      </x:c>
      <x:c r="B237" s="10" t="str">
        <x:v>巡航</x:v>
      </x:c>
      <x:c r="C237" s="18" t="n">
        <x:v>6251.854279785156</x:v>
      </x:c>
      <x:c r="D237" s="18" t="n">
        <x:v>6464.267536608545</x:v>
      </x:c>
      <x:c r="E237" s="10" t="str">
        <x:v>直连</x:v>
      </x:c>
      <x:c r="F237" s="10" t="str"/>
      <x:c r="G237" s="10" t="str">
        <x:v>S006→O01</x:v>
      </x:c>
      <x:c r="H237" s="10" t="str">
        <x:v>最坏遮挡距离界</x:v>
      </x:c>
      <x:c r="I237" s="18" t="n">
        <x:v>1.8599604785582073</x:v>
      </x:c>
      <x:c r="J237" s="22" t="n">
        <x:v>1</x:v>
      </x:c>
    </x:row>
    <x:row r="238" ht="28" customHeight="1">
      <x:c r="A238" s="2" t="str">
        <x:v>T021</x:v>
      </x:c>
      <x:c r="B238" s="2" t="str">
        <x:v>下降</x:v>
      </x:c>
      <x:c r="C238" s="17" t="n">
        <x:v>6464.267536608545</x:v>
      </x:c>
      <x:c r="D238" s="17" t="n">
        <x:v>6559.626672350732</x:v>
      </x:c>
      <x:c r="E238" s="2" t="str">
        <x:v>直连</x:v>
      </x:c>
      <x:c r="F238" s="2" t="str"/>
      <x:c r="G238" s="2" t="str">
        <x:v>S006→O01</x:v>
      </x:c>
      <x:c r="H238" s="2" t="str">
        <x:v>最坏遮挡距离界</x:v>
      </x:c>
      <x:c r="I238" s="17" t="n">
        <x:v>25.16080841557533</x:v>
      </x:c>
      <x:c r="J238" s="21" t="n">
        <x:v>1</x:v>
      </x:c>
    </x:row>
    <x:row r="239" ht="28" customHeight="1">
      <x:c r="A239" s="10" t="str">
        <x:v>T021</x:v>
      </x:c>
      <x:c r="B239" s="10" t="str">
        <x:v>量化等待</x:v>
      </x:c>
      <x:c r="C239" s="18" t="n">
        <x:v>6559.626672350732</x:v>
      </x:c>
      <x:c r="D239" s="18" t="n">
        <x:v>6559.6269999999995</x:v>
      </x:c>
      <x:c r="E239" s="10" t="str">
        <x:v>直连</x:v>
      </x:c>
      <x:c r="F239" s="10" t="str"/>
      <x:c r="G239" s="10" t="str">
        <x:v>S006→O01</x:v>
      </x:c>
      <x:c r="H239" s="10" t="str">
        <x:v>最坏遮挡距离界</x:v>
      </x:c>
      <x:c r="I239" s="18" t="n">
        <x:v>45.925175252488266</x:v>
      </x:c>
      <x:c r="J239" s="2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5" hidden="0" customWidth="1"/>
    <x:col min="2" max="2" width="12.75" hidden="0" customWidth="1"/>
    <x:col min="3" max="3" width="12" hidden="0" customWidth="1"/>
    <x:col min="4" max="4" width="9.75" hidden="0" customWidth="1"/>
    <x:col min="5" max="5" width="17.25" hidden="0" customWidth="1"/>
    <x:col min="6" max="6" width="17.25" hidden="0" customWidth="1"/>
    <x:col min="7" max="7" width="18.8799991607666" hidden="0" customWidth="1"/>
    <x:col min="8" max="8" width="18" hidden="0" customWidth="1"/>
    <x:col min="9" max="9" width="16.3799991607666" hidden="0" customWidth="1"/>
    <x:col min="10" max="10" width="40" hidden="0" customWidth="1"/>
  </x:cols>
  <x:sheetData>
    <x:row r="1" ht="48" customHeight="1">
      <x:c r="A1" s="7" t="str">
        <x:v>资源类别</x:v>
      </x:c>
      <x:c r="B1" s="8" t="str">
        <x:v>资源编号</x:v>
      </x:c>
      <x:c r="C1" s="8" t="str">
        <x:v>任务架次</x:v>
      </x:c>
      <x:c r="D1" s="8" t="str">
        <x:v>机型</x:v>
      </x:c>
      <x:c r="E1" s="8" t="str">
        <x:v>占用开始（s）</x:v>
      </x:c>
      <x:c r="F1" s="8" t="str">
        <x:v>物理返回（s）</x:v>
      </x:c>
      <x:c r="G1" s="8" t="str">
        <x:v>资源可再用（s）</x:v>
      </x:c>
      <x:c r="H1" s="8" t="str">
        <x:v>充满时刻（s）</x:v>
      </x:c>
      <x:c r="I1" s="8" t="str">
        <x:v>返航SOC（%）</x:v>
      </x:c>
      <x:c r="J1" s="9" t="str">
        <x:v>资源口径</x:v>
      </x:c>
    </x:row>
    <x:row r="2" ht="28" customHeight="1">
      <x:c r="A2" s="2" t="str">
        <x:v>共享电池</x:v>
      </x:c>
      <x:c r="B2" s="2" t="str">
        <x:v>BAT-A-01</x:v>
      </x:c>
      <x:c r="C2" s="2" t="str">
        <x:v>T001</x:v>
      </x:c>
      <x:c r="D2" s="2" t="str">
        <x:v>A</x:v>
      </x:c>
      <x:c r="E2" s="15" t="n">
        <x:v>0</x:v>
      </x:c>
      <x:c r="F2" s="15" t="n">
        <x:v>1313.477</x:v>
      </x:c>
      <x:c r="G2" s="15" t="n">
        <x:v>2205.503</x:v>
      </x:c>
      <x:c r="H2" s="15" t="n">
        <x:v>2205.503</x:v>
      </x:c>
      <x:c r="I2" s="15" t="n">
        <x:v>69.84418510241916</x:v>
      </x:c>
      <x:c r="J2" s="2" t="str">
        <x:v>充电至100%后复用；回充时间向上取整到1ms</x:v>
      </x:c>
    </x:row>
    <x:row r="3" ht="28" customHeight="1">
      <x:c r="A3" s="10" t="str">
        <x:v>共享电池</x:v>
      </x:c>
      <x:c r="B3" s="10" t="str">
        <x:v>BAT-A-01</x:v>
      </x:c>
      <x:c r="C3" s="10" t="str">
        <x:v>T013</x:v>
      </x:c>
      <x:c r="D3" s="10" t="str">
        <x:v>A</x:v>
      </x:c>
      <x:c r="E3" s="16" t="n">
        <x:v>2488.626</x:v>
      </x:c>
      <x:c r="F3" s="16" t="n">
        <x:v>4216.094</x:v>
      </x:c>
      <x:c r="G3" s="16" t="n">
        <x:v>5285.484</x:v>
      </x:c>
      <x:c r="H3" s="16" t="n">
        <x:v>5285.484</x:v>
      </x:c>
      <x:c r="I3" s="16" t="n">
        <x:v>56.2008109850636</x:v>
      </x:c>
      <x:c r="J3" s="10" t="str">
        <x:v>充电至100%后复用；回充时间向上取整到1ms</x:v>
      </x:c>
    </x:row>
    <x:row r="4" ht="28" customHeight="1">
      <x:c r="A4" s="2" t="str">
        <x:v>共享电池</x:v>
      </x:c>
      <x:c r="B4" s="2" t="str">
        <x:v>BAT-A-02</x:v>
      </x:c>
      <x:c r="C4" s="2" t="str">
        <x:v>T008</x:v>
      </x:c>
      <x:c r="D4" s="2" t="str">
        <x:v>A</x:v>
      </x:c>
      <x:c r="E4" s="15" t="n">
        <x:v>1641.16</x:v>
      </x:c>
      <x:c r="F4" s="15" t="n">
        <x:v>4316.739</x:v>
      </x:c>
      <x:c r="G4" s="15" t="n">
        <x:v>5806.699</x:v>
      </x:c>
      <x:c r="H4" s="15" t="n">
        <x:v>5806.699</x:v>
      </x:c>
      <x:c r="I4" s="15" t="n">
        <x:v>23.8492373071557</x:v>
      </x:c>
      <x:c r="J4" s="2" t="str">
        <x:v>充电至100%后复用；回充时间向上取整到1ms</x:v>
      </x:c>
    </x:row>
    <x:row r="5" ht="28" customHeight="1">
      <x:c r="A5" s="10" t="str">
        <x:v>共享电池</x:v>
      </x:c>
      <x:c r="B5" s="10" t="str">
        <x:v>BAT-A-03</x:v>
      </x:c>
      <x:c r="C5" s="10" t="str">
        <x:v>T009</x:v>
      </x:c>
      <x:c r="D5" s="10" t="str">
        <x:v>A</x:v>
      </x:c>
      <x:c r="E5" s="16" t="n">
        <x:v>1671.16</x:v>
      </x:c>
      <x:c r="F5" s="16" t="n">
        <x:v>3283.324</x:v>
      </x:c>
      <x:c r="G5" s="16" t="n">
        <x:v>4368.476</x:v>
      </x:c>
      <x:c r="H5" s="16" t="n">
        <x:v>4368.476</x:v>
      </x:c>
      <x:c r="I5" s="16" t="n">
        <x:v>54.98832084587287</x:v>
      </x:c>
      <x:c r="J5" s="10" t="str">
        <x:v>充电至100%后复用；回充时间向上取整到1ms</x:v>
      </x:c>
    </x:row>
    <x:row r="6" ht="28" customHeight="1">
      <x:c r="A6" s="2" t="str">
        <x:v>共享电池</x:v>
      </x:c>
      <x:c r="B6" s="2" t="str">
        <x:v>BAT-A-03</x:v>
      </x:c>
      <x:c r="C6" s="2" t="str">
        <x:v>T020</x:v>
      </x:c>
      <x:c r="D6" s="2" t="str">
        <x:v>A</x:v>
      </x:c>
      <x:c r="E6" s="15" t="n">
        <x:v>4368.478</x:v>
      </x:c>
      <x:c r="F6" s="15" t="n">
        <x:v>6057.118</x:v>
      </x:c>
      <x:c r="G6" s="15" t="n">
        <x:v>7230.621</x:v>
      </x:c>
      <x:c r="H6" s="15" t="n">
        <x:v>7230.621</x:v>
      </x:c>
      <x:c r="I6" s="15" t="n">
        <x:v>48.192139989814464</x:v>
      </x:c>
      <x:c r="J6" s="2" t="str">
        <x:v>充电至100%后复用；回充时间向上取整到1ms</x:v>
      </x:c>
    </x:row>
    <x:row r="7" ht="28" customHeight="1">
      <x:c r="A7" s="10" t="str">
        <x:v>共享电池</x:v>
      </x:c>
      <x:c r="B7" s="10" t="str">
        <x:v>BAT-A-04</x:v>
      </x:c>
      <x:c r="C7" s="10" t="str">
        <x:v>T011</x:v>
      </x:c>
      <x:c r="D7" s="10" t="str">
        <x:v>A</x:v>
      </x:c>
      <x:c r="E7" s="16" t="n">
        <x:v>1844.884</x:v>
      </x:c>
      <x:c r="F7" s="16" t="n">
        <x:v>3974.033</x:v>
      </x:c>
      <x:c r="G7" s="16" t="n">
        <x:v>5112.21</x:v>
      </x:c>
      <x:c r="H7" s="16" t="n">
        <x:v>5112.21</x:v>
      </x:c>
      <x:c r="I7" s="16" t="n">
        <x:v>50.90947053201911</x:v>
      </x:c>
      <x:c r="J7" s="10" t="str">
        <x:v>充电至100%后复用；回充时间向上取整到1ms</x:v>
      </x:c>
    </x:row>
    <x:row r="8" ht="28" customHeight="1">
      <x:c r="A8" s="2" t="str">
        <x:v>共享电池</x:v>
      </x:c>
      <x:c r="B8" s="2" t="str">
        <x:v>BAT-A-05</x:v>
      </x:c>
      <x:c r="C8" s="2" t="str">
        <x:v>T015</x:v>
      </x:c>
      <x:c r="D8" s="2" t="str">
        <x:v>A</x:v>
      </x:c>
      <x:c r="E8" s="15" t="n">
        <x:v>3283.324</x:v>
      </x:c>
      <x:c r="F8" s="15" t="n">
        <x:v>5886.793</x:v>
      </x:c>
      <x:c r="G8" s="15" t="n">
        <x:v>7339.392</x:v>
      </x:c>
      <x:c r="H8" s="15" t="n">
        <x:v>7339.392</x:v>
      </x:c>
      <x:c r="I8" s="15" t="n">
        <x:v>26.723154256734325</x:v>
      </x:c>
      <x:c r="J8" s="2" t="str">
        <x:v>充电至100%后复用；回充时间向上取整到1ms</x:v>
      </x:c>
    </x:row>
    <x:row r="9" ht="28" customHeight="1">
      <x:c r="A9" s="10" t="str">
        <x:v>共享电池</x:v>
      </x:c>
      <x:c r="B9" s="10" t="str">
        <x:v>BAT-A-06</x:v>
      </x:c>
      <x:c r="C9" s="10" t="str">
        <x:v>T018</x:v>
      </x:c>
      <x:c r="D9" s="10" t="str">
        <x:v>A</x:v>
      </x:c>
      <x:c r="E9" s="16" t="n">
        <x:v>3974.033</x:v>
      </x:c>
      <x:c r="F9" s="16" t="n">
        <x:v>5942.687</x:v>
      </x:c>
      <x:c r="G9" s="16" t="n">
        <x:v>7181.603</x:v>
      </x:c>
      <x:c r="H9" s="16" t="n">
        <x:v>7181.603</x:v>
      </x:c>
      <x:c r="I9" s="16" t="n">
        <x:v>43.16035663328588</x:v>
      </x:c>
      <x:c r="J9" s="10" t="str">
        <x:v>充电至100%后复用；回充时间向上取整到1ms</x:v>
      </x:c>
    </x:row>
    <x:row r="10" ht="28" customHeight="1">
      <x:c r="A10" s="2" t="str">
        <x:v>共享电池</x:v>
      </x:c>
      <x:c r="B10" s="2" t="str">
        <x:v>BAT-B-01</x:v>
      </x:c>
      <x:c r="C10" s="2" t="str">
        <x:v>T002</x:v>
      </x:c>
      <x:c r="D10" s="2" t="str">
        <x:v>B</x:v>
      </x:c>
      <x:c r="E10" s="15" t="n">
        <x:v>0</x:v>
      </x:c>
      <x:c r="F10" s="15" t="n">
        <x:v>1869.749</x:v>
      </x:c>
      <x:c r="G10" s="15" t="n">
        <x:v>3463.876</x:v>
      </x:c>
      <x:c r="H10" s="15" t="n">
        <x:v>3463.876</x:v>
      </x:c>
      <x:c r="I10" s="15" t="n">
        <x:v>46.49272554645529</x:v>
      </x:c>
      <x:c r="J10" s="2" t="str">
        <x:v>充电至100%后复用；回充时间向上取整到1ms</x:v>
      </x:c>
    </x:row>
    <x:row r="11" ht="28" customHeight="1">
      <x:c r="A11" s="10" t="str">
        <x:v>共享电池</x:v>
      </x:c>
      <x:c r="B11" s="10" t="str">
        <x:v>BAT-B-01</x:v>
      </x:c>
      <x:c r="C11" s="10" t="str">
        <x:v>T017</x:v>
      </x:c>
      <x:c r="D11" s="10" t="str">
        <x:v>B</x:v>
      </x:c>
      <x:c r="E11" s="16" t="n">
        <x:v>3792.577</x:v>
      </x:c>
      <x:c r="F11" s="16" t="n">
        <x:v>5754.42</x:v>
      </x:c>
      <x:c r="G11" s="16" t="n">
        <x:v>7710.343</x:v>
      </x:c>
      <x:c r="H11" s="16" t="n">
        <x:v>7710.343</x:v>
      </x:c>
      <x:c r="I11" s="16" t="n">
        <x:v>25.619828136444166</x:v>
      </x:c>
      <x:c r="J11" s="10" t="str">
        <x:v>充电至100%后复用；回充时间向上取整到1ms</x:v>
      </x:c>
    </x:row>
    <x:row r="12" ht="28" customHeight="1">
      <x:c r="A12" s="2" t="str">
        <x:v>共享电池</x:v>
      </x:c>
      <x:c r="B12" s="2" t="str">
        <x:v>BAT-B-02</x:v>
      </x:c>
      <x:c r="C12" s="2" t="str">
        <x:v>T003</x:v>
      </x:c>
      <x:c r="D12" s="2" t="str">
        <x:v>B</x:v>
      </x:c>
      <x:c r="E12" s="15" t="n">
        <x:v>0</x:v>
      </x:c>
      <x:c r="F12" s="15" t="n">
        <x:v>1555.405</x:v>
      </x:c>
      <x:c r="G12" s="15" t="n">
        <x:v>3012.133</x:v>
      </x:c>
      <x:c r="H12" s="15" t="n">
        <x:v>3012.133</x:v>
      </x:c>
      <x:c r="I12" s="15" t="n">
        <x:v>54.41958589421465</x:v>
      </x:c>
      <x:c r="J12" s="2" t="str">
        <x:v>充电至100%后复用；回充时间向上取整到1ms</x:v>
      </x:c>
    </x:row>
    <x:row r="13" ht="28" customHeight="1">
      <x:c r="A13" s="10" t="str">
        <x:v>共享电池</x:v>
      </x:c>
      <x:c r="B13" s="10" t="str">
        <x:v>BAT-B-02</x:v>
      </x:c>
      <x:c r="C13" s="10" t="str">
        <x:v>T014</x:v>
      </x:c>
      <x:c r="D13" s="10" t="str">
        <x:v>B</x:v>
      </x:c>
      <x:c r="E13" s="16" t="n">
        <x:v>3012.133</x:v>
      </x:c>
      <x:c r="F13" s="16" t="n">
        <x:v>4913.976</x:v>
      </x:c>
      <x:c r="G13" s="16" t="n">
        <x:v>6778.13</x:v>
      </x:c>
      <x:c r="H13" s="16" t="n">
        <x:v>6778.13</x:v>
      </x:c>
      <x:c r="I13" s="16" t="n">
        <x:v>30.914219869165716</x:v>
      </x:c>
      <x:c r="J13" s="10" t="str">
        <x:v>充电至100%后复用；回充时间向上取整到1ms</x:v>
      </x:c>
    </x:row>
    <x:row r="14" ht="28" customHeight="1">
      <x:c r="A14" s="2" t="str">
        <x:v>共享电池</x:v>
      </x:c>
      <x:c r="B14" s="2" t="str">
        <x:v>BAT-B-03</x:v>
      </x:c>
      <x:c r="C14" s="2" t="str">
        <x:v>T007</x:v>
      </x:c>
      <x:c r="D14" s="2" t="str">
        <x:v>B</x:v>
      </x:c>
      <x:c r="E14" s="15" t="n">
        <x:v>1555.405</x:v>
      </x:c>
      <x:c r="F14" s="15" t="n">
        <x:v>2762.676</x:v>
      </x:c>
      <x:c r="G14" s="15" t="n">
        <x:v>3989.868</x:v>
      </x:c>
      <x:c r="H14" s="15" t="n">
        <x:v>3989.868</x:v>
      </x:c>
      <x:c r="I14" s="15" t="n">
        <x:v>67.66205192684725</x:v>
      </x:c>
      <x:c r="J14" s="2" t="str">
        <x:v>充电至100%后复用；回充时间向上取整到1ms</x:v>
      </x:c>
    </x:row>
    <x:row r="15" ht="28" customHeight="1">
      <x:c r="A15" s="10" t="str">
        <x:v>共享电池</x:v>
      </x:c>
      <x:c r="B15" s="10" t="str">
        <x:v>BAT-B-03</x:v>
      </x:c>
      <x:c r="C15" s="10" t="str">
        <x:v>T021</x:v>
      </x:c>
      <x:c r="D15" s="10" t="str">
        <x:v>B</x:v>
      </x:c>
      <x:c r="E15" s="16" t="n">
        <x:v>4913.976</x:v>
      </x:c>
      <x:c r="F15" s="16" t="n">
        <x:v>6559.627</x:v>
      </x:c>
      <x:c r="G15" s="16" t="n">
        <x:v>7920.519</x:v>
      </x:c>
      <x:c r="H15" s="16" t="n">
        <x:v>7920.519</x:v>
      </x:c>
      <x:c r="I15" s="16" t="n">
        <x:v>59.94858644159562</x:v>
      </x:c>
      <x:c r="J15" s="10" t="str">
        <x:v>充电至100%后复用；回充时间向上取整到1ms</x:v>
      </x:c>
    </x:row>
    <x:row r="16" ht="28" customHeight="1">
      <x:c r="A16" s="2" t="str">
        <x:v>共享电池</x:v>
      </x:c>
      <x:c r="B16" s="2" t="str">
        <x:v>BAT-B-04</x:v>
      </x:c>
      <x:c r="C16" s="2" t="str">
        <x:v>T012</x:v>
      </x:c>
      <x:c r="D16" s="2" t="str">
        <x:v>B</x:v>
      </x:c>
      <x:c r="E16" s="15" t="n">
        <x:v>1869.749</x:v>
      </x:c>
      <x:c r="F16" s="15" t="n">
        <x:v>3792.577</x:v>
      </x:c>
      <x:c r="G16" s="15" t="n">
        <x:v>5652.037</x:v>
      </x:c>
      <x:c r="H16" s="15" t="n">
        <x:v>5652.037</x:v>
      </x:c>
      <x:c r="I16" s="15" t="n">
        <x:v>31.185001142751688</x:v>
      </x:c>
      <x:c r="J16" s="2" t="str">
        <x:v>充电至100%后复用；回充时间向上取整到1ms</x:v>
      </x:c>
    </x:row>
    <x:row r="17" ht="28" customHeight="1">
      <x:c r="A17" s="10" t="str">
        <x:v>共享电池</x:v>
      </x:c>
      <x:c r="B17" s="10" t="str">
        <x:v>BAT-C-01</x:v>
      </x:c>
      <x:c r="C17" s="10" t="str">
        <x:v>T004</x:v>
      </x:c>
      <x:c r="D17" s="10" t="str">
        <x:v>C</x:v>
      </x:c>
      <x:c r="E17" s="16" t="n">
        <x:v>0</x:v>
      </x:c>
      <x:c r="F17" s="16" t="n">
        <x:v>1692.176</x:v>
      </x:c>
      <x:c r="G17" s="16" t="n">
        <x:v>3315.69</x:v>
      </x:c>
      <x:c r="H17" s="16" t="n">
        <x:v>3315.69</x:v>
      </x:c>
      <x:c r="I17" s="16" t="n">
        <x:v>63.530148805164664</x:v>
      </x:c>
      <x:c r="J17" s="10" t="str">
        <x:v>充电至100%后复用；回充时间向上取整到1ms</x:v>
      </x:c>
    </x:row>
    <x:row r="18" ht="28" customHeight="1">
      <x:c r="A18" s="2" t="str">
        <x:v>共享电池</x:v>
      </x:c>
      <x:c r="B18" s="2" t="str">
        <x:v>BAT-C-01</x:v>
      </x:c>
      <x:c r="C18" s="2" t="str">
        <x:v>T016</x:v>
      </x:c>
      <x:c r="D18" s="2" t="str">
        <x:v>C</x:v>
      </x:c>
      <x:c r="E18" s="15" t="n">
        <x:v>3668.021</x:v>
      </x:c>
      <x:c r="F18" s="15" t="n">
        <x:v>6361.703</x:v>
      </x:c>
      <x:c r="G18" s="15" t="n">
        <x:v>8926.383</x:v>
      </x:c>
      <x:c r="H18" s="15" t="n">
        <x:v>8926.383</x:v>
      </x:c>
      <x:c r="I18" s="15" t="n">
        <x:v>20.09171095022737</x:v>
      </x:c>
      <x:c r="J18" s="2" t="str">
        <x:v>充电至100%后复用；回充时间向上取整到1ms</x:v>
      </x:c>
    </x:row>
    <x:row r="19" ht="28" customHeight="1">
      <x:c r="A19" s="10" t="str">
        <x:v>共享电池</x:v>
      </x:c>
      <x:c r="B19" s="10" t="str">
        <x:v>BAT-C-02</x:v>
      </x:c>
      <x:c r="C19" s="10" t="str">
        <x:v>T005</x:v>
      </x:c>
      <x:c r="D19" s="10" t="str">
        <x:v>C</x:v>
      </x:c>
      <x:c r="E19" s="16" t="n">
        <x:v>0</x:v>
      </x:c>
      <x:c r="F19" s="16" t="n">
        <x:v>1494.176</x:v>
      </x:c>
      <x:c r="G19" s="16" t="n">
        <x:v>3138.866</x:v>
      </x:c>
      <x:c r="H19" s="16" t="n">
        <x:v>3138.866</x:v>
      </x:c>
      <x:c r="I19" s="16" t="n">
        <x:v>62.552802438691636</x:v>
      </x:c>
      <x:c r="J19" s="10" t="str">
        <x:v>充电至100%后复用；回充时间向上取整到1ms</x:v>
      </x:c>
    </x:row>
    <x:row r="20" ht="28" customHeight="1">
      <x:c r="A20" s="2" t="str">
        <x:v>共享电池</x:v>
      </x:c>
      <x:c r="B20" s="2" t="str">
        <x:v>BAT-C-02</x:v>
      </x:c>
      <x:c r="C20" s="2" t="str">
        <x:v>T019</x:v>
      </x:c>
      <x:c r="D20" s="2" t="str">
        <x:v>C</x:v>
      </x:c>
      <x:c r="E20" s="15" t="n">
        <x:v>3993.232</x:v>
      </x:c>
      <x:c r="F20" s="15" t="n">
        <x:v>6298.4</x:v>
      </x:c>
      <x:c r="G20" s="15" t="n">
        <x:v>8439.815</x:v>
      </x:c>
      <x:c r="H20" s="15" t="n">
        <x:v>8439.815</x:v>
      </x:c>
      <x:c r="I20" s="15" t="n">
        <x:v>39.62703708765167</x:v>
      </x:c>
      <x:c r="J20" s="2" t="str">
        <x:v>充电至100%后复用；回充时间向上取整到1ms</x:v>
      </x:c>
    </x:row>
    <x:row r="21" ht="28" customHeight="1">
      <x:c r="A21" s="10" t="str">
        <x:v>共享电池</x:v>
      </x:c>
      <x:c r="B21" s="10" t="str">
        <x:v>BAT-C-03</x:v>
      </x:c>
      <x:c r="C21" s="10" t="str">
        <x:v>T006</x:v>
      </x:c>
      <x:c r="D21" s="10" t="str">
        <x:v>C</x:v>
      </x:c>
      <x:c r="E21" s="16" t="n">
        <x:v>1494.177</x:v>
      </x:c>
      <x:c r="F21" s="16" t="n">
        <x:v>3668.021</x:v>
      </x:c>
      <x:c r="G21" s="16" t="n">
        <x:v>6202.451</x:v>
      </x:c>
      <x:c r="H21" s="16" t="n">
        <x:v>6202.451</x:v>
      </x:c>
      <x:c r="I21" s="16" t="n">
        <x:v>21.487871794821668</x:v>
      </x:c>
      <x:c r="J21" s="10" t="str">
        <x:v>充电至100%后复用；回充时间向上取整到1ms</x:v>
      </x:c>
    </x:row>
    <x:row r="22" ht="28" customHeight="1">
      <x:c r="A22" s="2" t="str">
        <x:v>共享电池</x:v>
      </x:c>
      <x:c r="B22" s="2" t="str">
        <x:v>BAT-C-04</x:v>
      </x:c>
      <x:c r="C22" s="2" t="str">
        <x:v>T010</x:v>
      </x:c>
      <x:c r="D22" s="2" t="str">
        <x:v>C</x:v>
      </x:c>
      <x:c r="E22" s="15" t="n">
        <x:v>1692.176</x:v>
      </x:c>
      <x:c r="F22" s="15" t="n">
        <x:v>3993.232</x:v>
      </x:c>
      <x:c r="G22" s="15" t="n">
        <x:v>6492.965</x:v>
      </x:c>
      <x:c r="H22" s="15" t="n">
        <x:v>6492.965</x:v>
      </x:c>
      <x:c r="I22" s="15" t="n">
        <x:v>23.089248385317717</x:v>
      </x:c>
      <x:c r="J22" s="2" t="str">
        <x:v>充电至100%后复用；回充时间向上取整到1ms</x:v>
      </x:c>
    </x:row>
    <x:row r="23" ht="28" customHeight="1">
      <x:c r="A23" s="10" t="str">
        <x:v>运输无人机</x:v>
      </x:c>
      <x:c r="B23" s="10" t="str">
        <x:v>U01</x:v>
      </x:c>
      <x:c r="C23" s="10" t="str">
        <x:v>T001</x:v>
      </x:c>
      <x:c r="D23" s="10" t="str">
        <x:v>A</x:v>
      </x:c>
      <x:c r="E23" s="16" t="n">
        <x:v>0</x:v>
      </x:c>
      <x:c r="F23" s="16" t="n">
        <x:v>1313.477</x:v>
      </x:c>
      <x:c r="G23" s="16" t="n">
        <x:v>1313.477</x:v>
      </x:c>
      <x:c r="H23" s="16"/>
      <x:c r="I23" s="16" t="n">
        <x:v>69.84418510241916</x:v>
      </x:c>
      <x:c r="J23" s="10" t="str">
        <x:v>完整航段以1ms保守取整</x:v>
      </x:c>
    </x:row>
    <x:row r="24" ht="28" customHeight="1">
      <x:c r="A24" s="2" t="str">
        <x:v>运输无人机</x:v>
      </x:c>
      <x:c r="B24" s="2" t="str">
        <x:v>U01</x:v>
      </x:c>
      <x:c r="C24" s="2" t="str">
        <x:v>T008</x:v>
      </x:c>
      <x:c r="D24" s="2" t="str">
        <x:v>A</x:v>
      </x:c>
      <x:c r="E24" s="15" t="n">
        <x:v>1641.16</x:v>
      </x:c>
      <x:c r="F24" s="15" t="n">
        <x:v>4316.739</x:v>
      </x:c>
      <x:c r="G24" s="15" t="n">
        <x:v>4316.739</x:v>
      </x:c>
      <x:c r="H24" s="15"/>
      <x:c r="I24" s="15" t="n">
        <x:v>23.8492373071557</x:v>
      </x:c>
      <x:c r="J24" s="2" t="str">
        <x:v>完整航段以1ms保守取整</x:v>
      </x:c>
    </x:row>
    <x:row r="25" ht="28" customHeight="1">
      <x:c r="A25" s="10" t="str">
        <x:v>运输无人机</x:v>
      </x:c>
      <x:c r="B25" s="10" t="str">
        <x:v>U01</x:v>
      </x:c>
      <x:c r="C25" s="10" t="str">
        <x:v>T020</x:v>
      </x:c>
      <x:c r="D25" s="10" t="str">
        <x:v>A</x:v>
      </x:c>
      <x:c r="E25" s="16" t="n">
        <x:v>4368.478</x:v>
      </x:c>
      <x:c r="F25" s="16" t="n">
        <x:v>6057.118</x:v>
      </x:c>
      <x:c r="G25" s="16" t="n">
        <x:v>6057.118</x:v>
      </x:c>
      <x:c r="H25" s="16"/>
      <x:c r="I25" s="16" t="n">
        <x:v>48.192139989814464</x:v>
      </x:c>
      <x:c r="J25" s="10" t="str">
        <x:v>完整航段以1ms保守取整</x:v>
      </x:c>
    </x:row>
    <x:row r="26" ht="28" customHeight="1">
      <x:c r="A26" s="2" t="str">
        <x:v>运输无人机</x:v>
      </x:c>
      <x:c r="B26" s="2" t="str">
        <x:v>U02</x:v>
      </x:c>
      <x:c r="C26" s="2" t="str">
        <x:v>T009</x:v>
      </x:c>
      <x:c r="D26" s="2" t="str">
        <x:v>A</x:v>
      </x:c>
      <x:c r="E26" s="15" t="n">
        <x:v>1671.16</x:v>
      </x:c>
      <x:c r="F26" s="15" t="n">
        <x:v>3283.324</x:v>
      </x:c>
      <x:c r="G26" s="15" t="n">
        <x:v>3283.324</x:v>
      </x:c>
      <x:c r="H26" s="15"/>
      <x:c r="I26" s="15" t="n">
        <x:v>54.98832084587287</x:v>
      </x:c>
      <x:c r="J26" s="2" t="str">
        <x:v>完整航段以1ms保守取整</x:v>
      </x:c>
    </x:row>
    <x:row r="27" ht="28" customHeight="1">
      <x:c r="A27" s="10" t="str">
        <x:v>运输无人机</x:v>
      </x:c>
      <x:c r="B27" s="10" t="str">
        <x:v>U02</x:v>
      </x:c>
      <x:c r="C27" s="10" t="str">
        <x:v>T015</x:v>
      </x:c>
      <x:c r="D27" s="10" t="str">
        <x:v>A</x:v>
      </x:c>
      <x:c r="E27" s="16" t="n">
        <x:v>3283.324</x:v>
      </x:c>
      <x:c r="F27" s="16" t="n">
        <x:v>5886.793</x:v>
      </x:c>
      <x:c r="G27" s="16" t="n">
        <x:v>5886.793</x:v>
      </x:c>
      <x:c r="H27" s="16"/>
      <x:c r="I27" s="16" t="n">
        <x:v>26.723154256734325</x:v>
      </x:c>
      <x:c r="J27" s="10" t="str">
        <x:v>完整航段以1ms保守取整</x:v>
      </x:c>
    </x:row>
    <x:row r="28" ht="28" customHeight="1">
      <x:c r="A28" s="2" t="str">
        <x:v>运输无人机</x:v>
      </x:c>
      <x:c r="B28" s="2" t="str">
        <x:v>U03</x:v>
      </x:c>
      <x:c r="C28" s="2" t="str">
        <x:v>T011</x:v>
      </x:c>
      <x:c r="D28" s="2" t="str">
        <x:v>A</x:v>
      </x:c>
      <x:c r="E28" s="15" t="n">
        <x:v>1844.884</x:v>
      </x:c>
      <x:c r="F28" s="15" t="n">
        <x:v>3974.033</x:v>
      </x:c>
      <x:c r="G28" s="15" t="n">
        <x:v>3974.033</x:v>
      </x:c>
      <x:c r="H28" s="15"/>
      <x:c r="I28" s="15" t="n">
        <x:v>50.90947053201911</x:v>
      </x:c>
      <x:c r="J28" s="2" t="str">
        <x:v>完整航段以1ms保守取整</x:v>
      </x:c>
    </x:row>
    <x:row r="29" ht="28" customHeight="1">
      <x:c r="A29" s="10" t="str">
        <x:v>运输无人机</x:v>
      </x:c>
      <x:c r="B29" s="10" t="str">
        <x:v>U03</x:v>
      </x:c>
      <x:c r="C29" s="10" t="str">
        <x:v>T018</x:v>
      </x:c>
      <x:c r="D29" s="10" t="str">
        <x:v>A</x:v>
      </x:c>
      <x:c r="E29" s="16" t="n">
        <x:v>3974.033</x:v>
      </x:c>
      <x:c r="F29" s="16" t="n">
        <x:v>5942.687</x:v>
      </x:c>
      <x:c r="G29" s="16" t="n">
        <x:v>5942.687</x:v>
      </x:c>
      <x:c r="H29" s="16"/>
      <x:c r="I29" s="16" t="n">
        <x:v>43.16035663328588</x:v>
      </x:c>
      <x:c r="J29" s="10" t="str">
        <x:v>完整航段以1ms保守取整</x:v>
      </x:c>
    </x:row>
    <x:row r="30" ht="28" customHeight="1">
      <x:c r="A30" s="2" t="str">
        <x:v>运输无人机</x:v>
      </x:c>
      <x:c r="B30" s="2" t="str">
        <x:v>U04</x:v>
      </x:c>
      <x:c r="C30" s="2" t="str">
        <x:v>T013</x:v>
      </x:c>
      <x:c r="D30" s="2" t="str">
        <x:v>A</x:v>
      </x:c>
      <x:c r="E30" s="15" t="n">
        <x:v>2488.626</x:v>
      </x:c>
      <x:c r="F30" s="15" t="n">
        <x:v>4216.094</x:v>
      </x:c>
      <x:c r="G30" s="15" t="n">
        <x:v>4216.094</x:v>
      </x:c>
      <x:c r="H30" s="15"/>
      <x:c r="I30" s="15" t="n">
        <x:v>56.2008109850636</x:v>
      </x:c>
      <x:c r="J30" s="2" t="str">
        <x:v>完整航段以1ms保守取整</x:v>
      </x:c>
    </x:row>
    <x:row r="31" ht="28" customHeight="1">
      <x:c r="A31" s="10" t="str">
        <x:v>运输无人机</x:v>
      </x:c>
      <x:c r="B31" s="10" t="str">
        <x:v>U05</x:v>
      </x:c>
      <x:c r="C31" s="10" t="str">
        <x:v>T002</x:v>
      </x:c>
      <x:c r="D31" s="10" t="str">
        <x:v>B</x:v>
      </x:c>
      <x:c r="E31" s="16" t="n">
        <x:v>0</x:v>
      </x:c>
      <x:c r="F31" s="16" t="n">
        <x:v>1869.749</x:v>
      </x:c>
      <x:c r="G31" s="16" t="n">
        <x:v>1869.749</x:v>
      </x:c>
      <x:c r="H31" s="16"/>
      <x:c r="I31" s="16" t="n">
        <x:v>46.49272554645529</x:v>
      </x:c>
      <x:c r="J31" s="10" t="str">
        <x:v>完整航段以1ms保守取整</x:v>
      </x:c>
    </x:row>
    <x:row r="32" ht="28" customHeight="1">
      <x:c r="A32" s="2" t="str">
        <x:v>运输无人机</x:v>
      </x:c>
      <x:c r="B32" s="2" t="str">
        <x:v>U05</x:v>
      </x:c>
      <x:c r="C32" s="2" t="str">
        <x:v>T012</x:v>
      </x:c>
      <x:c r="D32" s="2" t="str">
        <x:v>B</x:v>
      </x:c>
      <x:c r="E32" s="15" t="n">
        <x:v>1869.749</x:v>
      </x:c>
      <x:c r="F32" s="15" t="n">
        <x:v>3792.577</x:v>
      </x:c>
      <x:c r="G32" s="15" t="n">
        <x:v>3792.577</x:v>
      </x:c>
      <x:c r="H32" s="15"/>
      <x:c r="I32" s="15" t="n">
        <x:v>31.185001142751688</x:v>
      </x:c>
      <x:c r="J32" s="2" t="str">
        <x:v>完整航段以1ms保守取整</x:v>
      </x:c>
    </x:row>
    <x:row r="33" ht="28" customHeight="1">
      <x:c r="A33" s="10" t="str">
        <x:v>运输无人机</x:v>
      </x:c>
      <x:c r="B33" s="10" t="str">
        <x:v>U05</x:v>
      </x:c>
      <x:c r="C33" s="10" t="str">
        <x:v>T017</x:v>
      </x:c>
      <x:c r="D33" s="10" t="str">
        <x:v>B</x:v>
      </x:c>
      <x:c r="E33" s="16" t="n">
        <x:v>3792.577</x:v>
      </x:c>
      <x:c r="F33" s="16" t="n">
        <x:v>5754.42</x:v>
      </x:c>
      <x:c r="G33" s="16" t="n">
        <x:v>5754.42</x:v>
      </x:c>
      <x:c r="H33" s="16"/>
      <x:c r="I33" s="16" t="n">
        <x:v>25.619828136444166</x:v>
      </x:c>
      <x:c r="J33" s="10" t="str">
        <x:v>完整航段以1ms保守取整</x:v>
      </x:c>
    </x:row>
    <x:row r="34" ht="28" customHeight="1">
      <x:c r="A34" s="2" t="str">
        <x:v>运输无人机</x:v>
      </x:c>
      <x:c r="B34" s="2" t="str">
        <x:v>U06</x:v>
      </x:c>
      <x:c r="C34" s="2" t="str">
        <x:v>T003</x:v>
      </x:c>
      <x:c r="D34" s="2" t="str">
        <x:v>B</x:v>
      </x:c>
      <x:c r="E34" s="15" t="n">
        <x:v>0</x:v>
      </x:c>
      <x:c r="F34" s="15" t="n">
        <x:v>1555.405</x:v>
      </x:c>
      <x:c r="G34" s="15" t="n">
        <x:v>1555.405</x:v>
      </x:c>
      <x:c r="H34" s="15"/>
      <x:c r="I34" s="15" t="n">
        <x:v>54.41958589421465</x:v>
      </x:c>
      <x:c r="J34" s="2" t="str">
        <x:v>完整航段以1ms保守取整</x:v>
      </x:c>
    </x:row>
    <x:row r="35" ht="28" customHeight="1">
      <x:c r="A35" s="10" t="str">
        <x:v>运输无人机</x:v>
      </x:c>
      <x:c r="B35" s="10" t="str">
        <x:v>U06</x:v>
      </x:c>
      <x:c r="C35" s="10" t="str">
        <x:v>T007</x:v>
      </x:c>
      <x:c r="D35" s="10" t="str">
        <x:v>B</x:v>
      </x:c>
      <x:c r="E35" s="16" t="n">
        <x:v>1555.405</x:v>
      </x:c>
      <x:c r="F35" s="16" t="n">
        <x:v>2762.676</x:v>
      </x:c>
      <x:c r="G35" s="16" t="n">
        <x:v>2762.676</x:v>
      </x:c>
      <x:c r="H35" s="16"/>
      <x:c r="I35" s="16" t="n">
        <x:v>67.66205192684725</x:v>
      </x:c>
      <x:c r="J35" s="10" t="str">
        <x:v>完整航段以1ms保守取整</x:v>
      </x:c>
    </x:row>
    <x:row r="36" ht="28" customHeight="1">
      <x:c r="A36" s="2" t="str">
        <x:v>运输无人机</x:v>
      </x:c>
      <x:c r="B36" s="2" t="str">
        <x:v>U06</x:v>
      </x:c>
      <x:c r="C36" s="2" t="str">
        <x:v>T014</x:v>
      </x:c>
      <x:c r="D36" s="2" t="str">
        <x:v>B</x:v>
      </x:c>
      <x:c r="E36" s="15" t="n">
        <x:v>3012.133</x:v>
      </x:c>
      <x:c r="F36" s="15" t="n">
        <x:v>4913.976</x:v>
      </x:c>
      <x:c r="G36" s="15" t="n">
        <x:v>4913.976</x:v>
      </x:c>
      <x:c r="H36" s="15"/>
      <x:c r="I36" s="15" t="n">
        <x:v>30.914219869165716</x:v>
      </x:c>
      <x:c r="J36" s="2" t="str">
        <x:v>完整航段以1ms保守取整</x:v>
      </x:c>
    </x:row>
    <x:row r="37" ht="28" customHeight="1">
      <x:c r="A37" s="10" t="str">
        <x:v>运输无人机</x:v>
      </x:c>
      <x:c r="B37" s="10" t="str">
        <x:v>U06</x:v>
      </x:c>
      <x:c r="C37" s="10" t="str">
        <x:v>T021</x:v>
      </x:c>
      <x:c r="D37" s="10" t="str">
        <x:v>B</x:v>
      </x:c>
      <x:c r="E37" s="16" t="n">
        <x:v>4913.976</x:v>
      </x:c>
      <x:c r="F37" s="16" t="n">
        <x:v>6559.627</x:v>
      </x:c>
      <x:c r="G37" s="16" t="n">
        <x:v>6559.627</x:v>
      </x:c>
      <x:c r="H37" s="16"/>
      <x:c r="I37" s="16" t="n">
        <x:v>59.94858644159562</x:v>
      </x:c>
      <x:c r="J37" s="10" t="str">
        <x:v>完整航段以1ms保守取整</x:v>
      </x:c>
    </x:row>
    <x:row r="38" ht="28" customHeight="1">
      <x:c r="A38" s="2" t="str">
        <x:v>运输无人机</x:v>
      </x:c>
      <x:c r="B38" s="2" t="str">
        <x:v>U07</x:v>
      </x:c>
      <x:c r="C38" s="2" t="str">
        <x:v>T004</x:v>
      </x:c>
      <x:c r="D38" s="2" t="str">
        <x:v>C</x:v>
      </x:c>
      <x:c r="E38" s="15" t="n">
        <x:v>0</x:v>
      </x:c>
      <x:c r="F38" s="15" t="n">
        <x:v>1692.176</x:v>
      </x:c>
      <x:c r="G38" s="15" t="n">
        <x:v>1692.176</x:v>
      </x:c>
      <x:c r="H38" s="15"/>
      <x:c r="I38" s="15" t="n">
        <x:v>63.530148805164664</x:v>
      </x:c>
      <x:c r="J38" s="2" t="str">
        <x:v>完整航段以1ms保守取整</x:v>
      </x:c>
    </x:row>
    <x:row r="39" ht="28" customHeight="1">
      <x:c r="A39" s="10" t="str">
        <x:v>运输无人机</x:v>
      </x:c>
      <x:c r="B39" s="10" t="str">
        <x:v>U07</x:v>
      </x:c>
      <x:c r="C39" s="10" t="str">
        <x:v>T010</x:v>
      </x:c>
      <x:c r="D39" s="10" t="str">
        <x:v>C</x:v>
      </x:c>
      <x:c r="E39" s="16" t="n">
        <x:v>1692.176</x:v>
      </x:c>
      <x:c r="F39" s="16" t="n">
        <x:v>3993.232</x:v>
      </x:c>
      <x:c r="G39" s="16" t="n">
        <x:v>3993.232</x:v>
      </x:c>
      <x:c r="H39" s="16"/>
      <x:c r="I39" s="16" t="n">
        <x:v>23.089248385317717</x:v>
      </x:c>
      <x:c r="J39" s="10" t="str">
        <x:v>完整航段以1ms保守取整</x:v>
      </x:c>
    </x:row>
    <x:row r="40" ht="28" customHeight="1">
      <x:c r="A40" s="2" t="str">
        <x:v>运输无人机</x:v>
      </x:c>
      <x:c r="B40" s="2" t="str">
        <x:v>U07</x:v>
      </x:c>
      <x:c r="C40" s="2" t="str">
        <x:v>T019</x:v>
      </x:c>
      <x:c r="D40" s="2" t="str">
        <x:v>C</x:v>
      </x:c>
      <x:c r="E40" s="15" t="n">
        <x:v>3993.232</x:v>
      </x:c>
      <x:c r="F40" s="15" t="n">
        <x:v>6298.4</x:v>
      </x:c>
      <x:c r="G40" s="15" t="n">
        <x:v>6298.4</x:v>
      </x:c>
      <x:c r="H40" s="15"/>
      <x:c r="I40" s="15" t="n">
        <x:v>39.62703708765167</x:v>
      </x:c>
      <x:c r="J40" s="2" t="str">
        <x:v>完整航段以1ms保守取整</x:v>
      </x:c>
    </x:row>
    <x:row r="41" ht="28" customHeight="1">
      <x:c r="A41" s="10" t="str">
        <x:v>运输无人机</x:v>
      </x:c>
      <x:c r="B41" s="10" t="str">
        <x:v>U08</x:v>
      </x:c>
      <x:c r="C41" s="10" t="str">
        <x:v>T005</x:v>
      </x:c>
      <x:c r="D41" s="10" t="str">
        <x:v>C</x:v>
      </x:c>
      <x:c r="E41" s="16" t="n">
        <x:v>0</x:v>
      </x:c>
      <x:c r="F41" s="16" t="n">
        <x:v>1494.176</x:v>
      </x:c>
      <x:c r="G41" s="16" t="n">
        <x:v>1494.176</x:v>
      </x:c>
      <x:c r="H41" s="16"/>
      <x:c r="I41" s="16" t="n">
        <x:v>62.552802438691636</x:v>
      </x:c>
      <x:c r="J41" s="10" t="str">
        <x:v>完整航段以1ms保守取整</x:v>
      </x:c>
    </x:row>
    <x:row r="42" ht="28" customHeight="1">
      <x:c r="A42" s="2" t="str">
        <x:v>运输无人机</x:v>
      </x:c>
      <x:c r="B42" s="2" t="str">
        <x:v>U08</x:v>
      </x:c>
      <x:c r="C42" s="2" t="str">
        <x:v>T006</x:v>
      </x:c>
      <x:c r="D42" s="2" t="str">
        <x:v>C</x:v>
      </x:c>
      <x:c r="E42" s="15" t="n">
        <x:v>1494.177</x:v>
      </x:c>
      <x:c r="F42" s="15" t="n">
        <x:v>3668.021</x:v>
      </x:c>
      <x:c r="G42" s="15" t="n">
        <x:v>3668.021</x:v>
      </x:c>
      <x:c r="H42" s="15"/>
      <x:c r="I42" s="15" t="n">
        <x:v>21.487871794821668</x:v>
      </x:c>
      <x:c r="J42" s="2" t="str">
        <x:v>完整航段以1ms保守取整</x:v>
      </x:c>
    </x:row>
    <x:row r="43" ht="28" customHeight="1">
      <x:c r="A43" s="10" t="str">
        <x:v>运输无人机</x:v>
      </x:c>
      <x:c r="B43" s="10" t="str">
        <x:v>U08</x:v>
      </x:c>
      <x:c r="C43" s="10" t="str">
        <x:v>T016</x:v>
      </x:c>
      <x:c r="D43" s="10" t="str">
        <x:v>C</x:v>
      </x:c>
      <x:c r="E43" s="16" t="n">
        <x:v>3668.021</x:v>
      </x:c>
      <x:c r="F43" s="16" t="n">
        <x:v>6361.703</x:v>
      </x:c>
      <x:c r="G43" s="16" t="n">
        <x:v>6361.703</x:v>
      </x:c>
      <x:c r="H43" s="16"/>
      <x:c r="I43" s="16" t="n">
        <x:v>20.09171095022737</x:v>
      </x:c>
      <x:c r="J43" s="10" t="str">
        <x:v>完整航段以1ms保守取整</x:v>
      </x:c>
    </x:row>
    <x:row r="44" ht="28" customHeight="1">
      <x:c r="A44" s="2" t="str">
        <x:v>中继能源组件</x:v>
      </x:c>
      <x:c r="B44" s="2" t="str">
        <x:v>RE01</x:v>
      </x:c>
      <x:c r="C44" s="2" t="str">
        <x:v>R001</x:v>
      </x:c>
      <x:c r="D44" s="2" t="str">
        <x:v>R</x:v>
      </x:c>
      <x:c r="E44" s="15" t="n">
        <x:v>194.652</x:v>
      </x:c>
      <x:c r="F44" s="15" t="n">
        <x:v>1846.524</x:v>
      </x:c>
      <x:c r="G44" s="15" t="n">
        <x:v>2519.91622641568</x:v>
      </x:c>
      <x:c r="H44" s="15" t="n">
        <x:v>2519.91622641568</x:v>
      </x:c>
      <x:c r="I44" s="15" t="n">
        <x:v>86.66213642956309</x:v>
      </x:c>
      <x:c r="J44" s="2" t="str">
        <x:v>每架次使用独立初始满电组件</x:v>
      </x:c>
    </x:row>
    <x:row r="45" ht="28" customHeight="1">
      <x:c r="A45" s="10" t="str">
        <x:v>中继能源组件</x:v>
      </x:c>
      <x:c r="B45" s="10" t="str">
        <x:v>RE02</x:v>
      </x:c>
      <x:c r="C45" s="10" t="str">
        <x:v>R002</x:v>
      </x:c>
      <x:c r="D45" s="10" t="str">
        <x:v>R</x:v>
      </x:c>
      <x:c r="E45" s="16" t="n">
        <x:v>1571.428</x:v>
      </x:c>
      <x:c r="F45" s="16" t="n">
        <x:v>4178.986</x:v>
      </x:c>
      <x:c r="G45" s="16" t="n">
        <x:v>4969.597635645899</x:v>
      </x:c>
      <x:c r="H45" s="16" t="n">
        <x:v>4969.597635645899</x:v>
      </x:c>
      <x:c r="I45" s="16" t="n">
        <x:v>77.64525879646932</x:v>
      </x:c>
      <x:c r="J45" s="10" t="str">
        <x:v>每架次使用独立初始满电组件</x:v>
      </x:c>
    </x:row>
    <x:row r="46" ht="28" customHeight="1">
      <x:c r="A46" s="2" t="str">
        <x:v>中继能源组件</x:v>
      </x:c>
      <x:c r="B46" s="2" t="str">
        <x:v>RE03</x:v>
      </x:c>
      <x:c r="C46" s="2" t="str">
        <x:v>R003</x:v>
      </x:c>
      <x:c r="D46" s="2" t="str">
        <x:v>R</x:v>
      </x:c>
      <x:c r="E46" s="15" t="n">
        <x:v>2345.282</x:v>
      </x:c>
      <x:c r="F46" s="15" t="n">
        <x:v>6612.284</x:v>
      </x:c>
      <x:c r="G46" s="15" t="n">
        <x:v>7602.684970071551</x:v>
      </x:c>
      <x:c r="H46" s="15" t="n">
        <x:v>7602.684970071551</x:v>
      </x:c>
      <x:c r="I46" s="15" t="n">
        <x:v>62.27684845603449</x:v>
      </x:c>
      <x:c r="J46" s="2" t="str">
        <x:v>每架次使用独立初始满电组件</x:v>
      </x:c>
    </x:row>
    <x:row r="47" ht="28" customHeight="1">
      <x:c r="A47" s="10" t="str">
        <x:v>中继无人机</x:v>
      </x:c>
      <x:c r="B47" s="10" t="str">
        <x:v>R01</x:v>
      </x:c>
      <x:c r="C47" s="10" t="str">
        <x:v>R001</x:v>
      </x:c>
      <x:c r="D47" s="10" t="str">
        <x:v>R</x:v>
      </x:c>
      <x:c r="E47" s="16" t="n">
        <x:v>194.652</x:v>
      </x:c>
      <x:c r="F47" s="16" t="n">
        <x:v>1846.524</x:v>
      </x:c>
      <x:c r="G47" s="16" t="n">
        <x:v>2146.524</x:v>
      </x:c>
      <x:c r="H47" s="16"/>
      <x:c r="I47" s="16" t="n">
        <x:v>86.66213642956309</x:v>
      </x:c>
      <x:c r="J47" s="10" t="str">
        <x:v>返航后含300秒周转及整数余量</x:v>
      </x:c>
    </x:row>
    <x:row r="48" ht="28" customHeight="1">
      <x:c r="A48" s="2" t="str">
        <x:v>中继无人机</x:v>
      </x:c>
      <x:c r="B48" s="2" t="str">
        <x:v>R01</x:v>
      </x:c>
      <x:c r="C48" s="2" t="str">
        <x:v>R003</x:v>
      </x:c>
      <x:c r="D48" s="2" t="str">
        <x:v>R</x:v>
      </x:c>
      <x:c r="E48" s="15" t="n">
        <x:v>2345.282</x:v>
      </x:c>
      <x:c r="F48" s="15" t="n">
        <x:v>6612.284</x:v>
      </x:c>
      <x:c r="G48" s="15" t="n">
        <x:v>6912.284</x:v>
      </x:c>
      <x:c r="H48" s="15"/>
      <x:c r="I48" s="15" t="n">
        <x:v>62.27684845603449</x:v>
      </x:c>
      <x:c r="J48" s="2" t="str">
        <x:v>返航后含300秒周转及整数余量</x:v>
      </x:c>
    </x:row>
    <x:row r="49" ht="28" customHeight="1">
      <x:c r="A49" s="10" t="str">
        <x:v>中继无人机</x:v>
      </x:c>
      <x:c r="B49" s="10" t="str">
        <x:v>R02</x:v>
      </x:c>
      <x:c r="C49" s="10" t="str">
        <x:v>R002</x:v>
      </x:c>
      <x:c r="D49" s="10" t="str">
        <x:v>R</x:v>
      </x:c>
      <x:c r="E49" s="16" t="n">
        <x:v>1571.428</x:v>
      </x:c>
      <x:c r="F49" s="16" t="n">
        <x:v>4178.986</x:v>
      </x:c>
      <x:c r="G49" s="16" t="n">
        <x:v>4478.986</x:v>
      </x:c>
      <x:c r="H49" s="16"/>
      <x:c r="I49" s="16" t="n">
        <x:v>77.64525879646932</x:v>
      </x:c>
      <x:c r="J49" s="10" t="str">
        <x:v>返航后含300秒周转及整数余量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796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85" hidden="0" customWidth="1"/>
    <x:col min="3" max="3" width="90" hidden="0" customWidth="1"/>
  </x:cols>
  <x:sheetData>
    <x:row r="1" ht="48" customHeight="1">
      <x:c r="A1" s="7" t="str">
        <x:v>项目</x:v>
      </x:c>
      <x:c r="B1" s="8" t="str">
        <x:v>方法或数据来源</x:v>
      </x:c>
      <x:c r="C1" s="9" t="str">
        <x:v>适用条件或SHA-256</x:v>
      </x:c>
    </x:row>
    <x:row r="2" ht="58" customHeight="1">
      <x:c r="A2" s="2" t="str">
        <x:v>继承基础</x:v>
      </x:c>
      <x:c r="B2" s="11" t="str">
        <x:v>沿用师兄最新版Q1/Q2运输物理模型、逐箱CP-SAT箱序与固定评分。</x:v>
      </x:c>
      <x:c r="C2" s="11" t="str">
        <x:v>从师兄Q2改进结果及候选池构造Q3，再联合安排运输起始时刻、中继位置与服务时段。</x:v>
      </x:c>
    </x:row>
    <x:row r="3" ht="58" customHeight="1">
      <x:c r="A3" s="10" t="str">
        <x:v>通信执行策略</x:v>
      </x:c>
      <x:c r="B3" s="12" t="str">
        <x:v>优先使用G01直连；直连不可用时，使用该连续区段指定的在役中继。</x:v>
      </x:c>
      <x:c r="C3" s="12" t="str">
        <x:v>每个运输架次最多使用2个后备中继站，每个连续认证区段仅绑定一个在役中继。接入与回传同时可用。</x:v>
      </x:c>
    </x:row>
    <x:row r="4" ht="58" customHeight="1">
      <x:c r="A4" s="2" t="str">
        <x:v>中继证书含义</x:v>
      </x:c>
      <x:c r="B4" s="11" t="str">
        <x:v>“直连优先，中继后备”表示整段具有可行后备中继证书。</x:v>
      </x:c>
      <x:c r="C4" s="11" t="str">
        <x:v>不表示整段每一时刻实际都处于中继状态，未用离散采样冒称精确切换时刻。</x:v>
      </x:c>
    </x:row>
    <x:row r="5" ht="58" customHeight="1">
      <x:c r="A5" s="10" t="str">
        <x:v>连续保障</x:v>
      </x:c>
      <x:c r="B5" s="12" t="str">
        <x:v>几何线段采用最坏遮挡距离界或DEM三角面净空认证。</x:v>
      </x:c>
      <x:c r="C5" s="12" t="str">
        <x:v>相邻同阶段/航段/指定中继的证书合并，最低裕量取原证书最小值。</x:v>
      </x:c>
    </x:row>
    <x:row r="6" ht="58" customHeight="1">
      <x:c r="A6" s="2" t="str">
        <x:v>时间与逐箱交付</x:v>
      </x:c>
      <x:c r="B6" s="11" t="str">
        <x:v>开始时刻含工位准备和装载，实际起飞另列；每个完整运输航段向上取整到1ms。</x:v>
      </x:c>
      <x:c r="C6" s="11" t="str">
        <x:v>每站基础交接后按优化箱序逐箱完成交付；1ms量化等待也检查通信。联合完工取两类无人机最终返航。</x:v>
      </x:c>
    </x:row>
    <x:row r="7" ht="58" customHeight="1">
      <x:c r="A7" s="10" t="str">
        <x:v>运输能源口径</x:v>
      </x:c>
      <x:c r="B7" s="12" t="str">
        <x:v>水平能耗 Euse*d/L(q)，爬升附加项 (m0+q)*g*h/(3.6×10^6×eta)。</x:v>
      </x:c>
      <x:c r="C7" s="12" t="str">
        <x:v>继承师兄审计解释，g=9.80665m/s²，载荷指数3/2。单位为kWh，不是实测标定的完整旋翼功率模型。</x:v>
      </x:c>
    </x:row>
    <x:row r="8" ht="58" customHeight="1">
      <x:c r="A8" s="2" t="str">
        <x:v>电池周转</x:v>
      </x:c>
      <x:c r="B8" s="11" t="str">
        <x:v>运输机实体在返航时释放；共享电池充至100%后复用，回充向上取整到1ms。</x:v>
      </x:c>
      <x:c r="C8" s="11" t="str">
        <x:v>中继组件每架次用独立初始满电组；资源表同时列出按SOC推算的充满时刻。</x:v>
      </x:c>
    </x:row>
    <x:row r="9" ht="58" customHeight="1">
      <x:c r="A9" s="10" t="str">
        <x:v>中继周转</x:v>
      </x:c>
      <x:c r="B9" s="12" t="str">
        <x:v>同一中继返航后需300秒周转，随后才能开始下架次准备。</x:v>
      </x:c>
      <x:c r="C9" s="12" t="str">
        <x:v>资源占用表包含周转；最后任务完工指标不包含末次周转或充电尾段。</x:v>
      </x:c>
    </x:row>
    <x:row r="10" ht="58" customHeight="1">
      <x:c r="A10" s="2" t="str">
        <x:v>联合目标</x:v>
      </x:c>
      <x:c r="B10" s="11" t="str">
        <x:v>加权迟到、两类无人机共同返航Cmax、运输与中继总能耗E、两类总架次N。</x:v>
      </x:c>
      <x:c r="C10" s="11" t="str">
        <x:v>固定权重3:1.5:1:0.5和师兄Q2归一化尺度。F可以为负，越小越优；汇总表保留参数与逐项复算。</x:v>
      </x:c>
    </x:row>
    <x:row r="11" ht="58" customHeight="1">
      <x:c r="A11" s="10" t="str">
        <x:v>整数能耗评分</x:v>
      </x:c>
      <x:c r="B11" s="12" t="str">
        <x:v>运输能耗按师兄模型四舍五入到10^-9 kWh；中继固定与服务能耗分别向上取整。</x:v>
      </x:c>
      <x:c r="C11" s="12" t="str">
        <x:v>中继每架次的双取整裕量小于2×10^-9 kWh；汇总评分沿用求解器原生整数值。</x:v>
      </x:c>
    </x:row>
    <x:row r="12" ht="58" customHeight="1">
      <x:c r="A12" s="2" t="str">
        <x:v>搜索范围</x:v>
      </x:c>
      <x:c r="B12" s="11" t="str">
        <x:v>当前排程子问题运输候选 21，候选站 65。</x:v>
      </x:c>
      <x:c r="C12" s="11" t="str">
        <x:v>扩池候选至多3个服务区。每个运输架次最多使用2个后备中继站，每个连续认证区段仅绑定一个在役中继。每站至多1中继架次。</x:v>
      </x:c>
    </x:row>
    <x:row r="13" ht="58" customHeight="1">
      <x:c r="A13" s="10" t="str">
        <x:v>搜索限制</x:v>
      </x:c>
      <x:c r="B13" s="12" t="str">
        <x:v>使用毫秒时间网格、有限候选池与悬停点，最多6个中继架次。</x:v>
      </x:c>
      <x:c r="C13" s="12" t="str">
        <x:v>有限运输候选与悬停站点组合搜索中的可行解（FEASIBLE）；未证明第三问全局最优。</x:v>
      </x:c>
    </x:row>
    <x:row r="14" ht="58" customHeight="1">
      <x:c r="A14" s="2" t="str">
        <x:v>策略</x:v>
      </x:c>
      <x:c r="B14" s="11" t="str">
        <x:v>exact_box_label_symmetry; seed=61; status=FEASIBLE</x:v>
      </x:c>
      <x:c r="C14" s="11" t="str">
        <x:v>求解耗时 65.08秒。有限运输候选与悬停站点组合搜索中的可行解（FEASIBLE）；未证明第三问全局最优。</x:v>
      </x:c>
    </x:row>
    <x:row r="15" ht="58" customHeight="1">
      <x:c r="A15" s="10" t="str">
        <x:v>表格更新</x:v>
      </x:c>
      <x:c r="B15" s="12" t="str">
        <x:v>修改表格数值会重算汇总和时限公式。</x:v>
      </x:c>
      <x:c r="C15" s="12" t="str">
        <x:v>不会重新优化路线或验证通信；更换方案须重新运行求解与验证。</x:v>
      </x:c>
    </x:row>
    <x:row r="16" ht="58" customHeight="1">
      <x:c r="A16" s="2" t="str">
        <x:v>方案来源</x:v>
      </x:c>
      <x:c r="B16" s="11" t="str">
        <x:v>solution_recommended.json</x:v>
      </x:c>
      <x:c r="C16" s="11" t="str">
        <x:v>45734e940dbec226d19fd21537c02952e7897e35c1ae0059c193cc3f24c69b9b</x:v>
      </x:c>
    </x:row>
    <x:row r="17" ht="58" customHeight="1">
      <x:c r="A17" s="10" t="str">
        <x:v>师兄Q2来源</x:v>
      </x:c>
      <x:c r="B17" s="12" t="str">
        <x:v>q2_improved/tables/final_result.json</x:v>
      </x:c>
      <x:c r="C17" s="12" t="str">
        <x:v>e456cdbecb4ede8389bc2bdef7c8a3bb8712c6f4c09bf53396264a5ffce85754</x:v>
      </x:c>
    </x:row>
    <x:row r="18" ht="58" customHeight="1">
      <x:c r="A18" s="2" t="str">
        <x:v>原始输入</x:v>
      </x:c>
      <x:c r="B18" s="11" t="str">
        <x:v>数据\无人机应急物资运输基础数据\调度中心与服务区.xlsx</x:v>
      </x:c>
      <x:c r="C18" s="11" t="str">
        <x:v>541a7af1ded08c9a3ff448480332cb5f6a54902f0afa6e9bcd50c1d2b2b34e38</x:v>
      </x:c>
    </x:row>
    <x:row r="19" ht="58" customHeight="1">
      <x:c r="A19" s="10" t="str">
        <x:v>原始输入</x:v>
      </x:c>
      <x:c r="B19" s="12" t="str">
        <x:v>数据\无人机应急物资运输基础数据\物资需求与配送时限.xlsx</x:v>
      </x:c>
      <x:c r="C19" s="12" t="str">
        <x:v>5a3346159ceddcf585859d270b8f62114b388a1f737fbe64ffde0ee1fdc8170a</x:v>
      </x:c>
    </x:row>
    <x:row r="20" ht="58" customHeight="1">
      <x:c r="A20" s="2" t="str">
        <x:v>原始输入</x:v>
      </x:c>
      <x:c r="B20" s="11" t="str">
        <x:v>数据\无人机应急物资运输基础数据\运输无人机数据.xlsx</x:v>
      </x:c>
      <x:c r="C20" s="11" t="str">
        <x:v>9296a657c07e042afba6aeea7999665d9cd24e00b592fd6c269de6e338480dcb</x:v>
      </x:c>
    </x:row>
    <x:row r="21" ht="58" customHeight="1">
      <x:c r="A21" s="10" t="str">
        <x:v>原始输入</x:v>
      </x:c>
      <x:c r="B21" s="12" t="str">
        <x:v>数据\镇龙乡地理空间数据\镇龙乡及周边地理数据\数字高程模型数据（DEM）\镇龙乡及周边30米DEM.tif</x:v>
      </x:c>
      <x:c r="C21" s="12" t="str">
        <x:v>741fe6de0b2bcaffd0f4007f574ee698d46197094f52cc954b532c4f90fc7c03</x:v>
      </x:c>
    </x:row>
    <x:row r="22" ht="58" customHeight="1">
      <x:c r="A22" s="2" t="str">
        <x:v>原始输入</x:v>
      </x:c>
      <x:c r="B22" s="11" t="str">
        <x:v>结果提交模板.xlsx</x:v>
      </x:c>
      <x:c r="C22" s="11" t="str">
        <x:v>16f521f29a7103c4ff7c3709ce1696bb9fffa18ce741895e45b7bc7afaf3320a</x:v>
      </x:c>
    </x:row>
    <x:row r="23" ht="58" customHeight="1">
      <x:c r="A23" s="10" t="str">
        <x:v>原始输入</x:v>
      </x:c>
      <x:c r="B23" s="12" t="str">
        <x:v>数据\无人机应急物资运输基础数据\中继无人机数据.xlsx</x:v>
      </x:c>
      <x:c r="C23" s="12" t="str">
        <x:v>be52643ff29419233e6a141dca03a04160a8af551cab36d8c49b51bb836bea04</x:v>
      </x:c>
    </x:row>
    <x:row r="24" ht="58" customHeight="1">
      <x:c r="A24" s="2" t="str">
        <x:v>原始输入</x:v>
      </x:c>
      <x:c r="B24" s="11" t="str">
        <x:v>数据\无人机应急物资运输基础数据\通信链路参数.xlsx</x:v>
      </x:c>
      <x:c r="C24" s="11" t="str">
        <x:v>1860d153199e7ae460ba36e83b673374e640e19de91ea167f2877271001f5f81</x:v>
      </x:c>
    </x:row>
    <x:row r="25" ht="58" customHeight="1">
      <x:c r="A25" s="10" t="str">
        <x:v>原始参数</x:v>
      </x:c>
      <x:c r="B25" s="12" t="str">
        <x:v>运输电池能量与中继组件充电参数从本项目原始工作簿读取。</x:v>
      </x:c>
      <x:c r="C25" s="12" t="str">
        <x:v>原始结果模板的运输/交付/中继/通信前置列名保持一致。</x:v>
      </x:c>
    </x:row>
  </x:sheetData>
  <x:pageMargins left="0.7" right="0.7" top="0.75" bottom="0.75" header="0.3" footer="0.3"/>
</x:worksheet>
</file>