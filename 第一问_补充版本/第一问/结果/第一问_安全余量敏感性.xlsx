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3ea4504d1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情景比较" sheetId="1" r:id="R692354659db84988"/>
    <x:sheet xmlns:r="http://schemas.openxmlformats.org/officeDocument/2006/relationships" name="最大安全载荷" sheetId="2" r:id="Rd8c1a6f9ff80421b"/>
    <x:sheet xmlns:r="http://schemas.openxmlformats.org/officeDocument/2006/relationships" name="组批变化临界点" sheetId="3" r:id="Rb3d70f25b3d84c6c"/>
    <x:sheet xmlns:r="http://schemas.openxmlformats.org/officeDocument/2006/relationships" name="情景批次" sheetId="4" r:id="Re008346bc46f42ac"/>
    <x:sheet xmlns:r="http://schemas.openxmlformats.org/officeDocument/2006/relationships" name="口径说明" sheetId="5" r:id="R7e0ef755eb9a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000"/>
    <x:numFmt numFmtId="202" formatCode="0.00"/>
    <x:numFmt numFmtId="203" formatCode="0.000000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4"/>
      <x:color rgb="FF183650"/>
      <x:name val="Microsoft YaHei"/>
    </x:font>
    <x:font>
      <x:b/>
      <x:sz val="10"/>
      <x:color rgb="FFFFFFFF"/>
      <x:name val="Microsoft YaHei"/>
    </x:font>
    <x:font>
      <x:sz val="10"/>
      <x:color rgb="FF526574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83650"/>
      </x:patternFill>
    </x:fill>
    <x:fill>
      <x:patternFill patternType="solid">
        <x:fgColor rgb="FFEEF3F7"/>
      </x:patternFill>
    </x:fill>
    <x:fill>
      <x:patternFill patternType="solid">
        <x:fgColor rgb="FFFCE7E7"/>
      </x:patternFill>
    </x:fill>
    <x:fill>
      <x:patternFill patternType="solid">
        <x:fgColor rgb="FFDCE7EF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f5937253e4b2a" /><Relationship Type="http://schemas.openxmlformats.org/officeDocument/2006/relationships/theme" Target="/xl/theme/theme1.xml" Id="R2815cf71d57846a9" /><Relationship Type="http://schemas.openxmlformats.org/officeDocument/2006/relationships/sharedStrings" Target="/xl/sharedStrings.xml" Id="R7a6c9cda8cd94e3d" /><Relationship Type="http://schemas.openxmlformats.org/officeDocument/2006/relationships/worksheet" Target="/xl/worksheets/sheet1.xml" Id="R692354659db84988" /><Relationship Type="http://schemas.openxmlformats.org/officeDocument/2006/relationships/worksheet" Target="/xl/worksheets/sheet2.xml" Id="Rd8c1a6f9ff80421b" /><Relationship Type="http://schemas.openxmlformats.org/officeDocument/2006/relationships/worksheet" Target="/xl/worksheets/sheet3.xml" Id="Rb3d70f25b3d84c6c" /><Relationship Type="http://schemas.openxmlformats.org/officeDocument/2006/relationships/worksheet" Target="/xl/worksheets/sheet4.xml" Id="Re008346bc46f42ac" /><Relationship Type="http://schemas.openxmlformats.org/officeDocument/2006/relationships/worksheet" Target="/xl/worksheets/sheet5.xml" Id="R7e0ef755eb9a41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04923e225347a4" /><Relationship Type="http://schemas.openxmlformats.org/officeDocument/2006/relationships/chart" Target="/xl/drawings/charts/chart2.xml" Id="Rfa8224f9b7d84bf3" /><Relationship Type="http://schemas.openxmlformats.org/officeDocument/2006/relationships/chart" Target="/xl/drawings/charts/chart3.xml" Id="R62fddd918b3944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3a3a3b4650f4a10" /><Relationship Type="http://schemas.openxmlformats.org/officeDocument/2006/relationships/chart" Target="/xl/drawings/charts/chart5.xml" Id="Ra2e43a752b834eb6" /><Relationship Type="http://schemas.openxmlformats.org/officeDocument/2006/relationships/chart" Target="/xl/drawings/charts/chart6.xml" Id="R897a70c085664e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典型可行情景：架次数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架次数</c:v>
          </c:tx>
          <c:spPr>
            <a:solidFill xmlns:a="http://schemas.openxmlformats.org/drawingml/2006/main">
              <a:srgbClr val="4378A8"/>
            </a:solidFill>
            <a:ln xmlns:a="http://schemas.openxmlformats.org/drawingml/2006/main" w="19050">
              <a:solidFill>
                <a:srgbClr val="4378A8"/>
              </a:solidFill>
              <a:prstDash val="solid"/>
            </a:ln>
          </c:spPr>
          <c:cat>
            <c:strRef>
              <c:f>'情景比较'!$P$6:$P$18</c:f>
              <c:strCache>
                <c:ptCount val="0"/>
              </c:strCache>
            </c:strRef>
          </c:cat>
          <c:val>
            <c:numRef>
              <c:f>'情景比较'!$Q$6:$Q$18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典型情景（rho见表）</a:t>
                </a:r>
              </a:p>
            </c:rich>
          </c:tx>
          <c:overlay val="0"/>
        </c:title>
        <c:numFmt formatCode="0.######&quot;%&quot;" sourceLinked="0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典型可行情景：能耗（kWh）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能耗（kWh）</c:v>
          </c:tx>
          <c:spPr>
            <a:solidFill xmlns:a="http://schemas.openxmlformats.org/drawingml/2006/main">
              <a:srgbClr val="DA8540"/>
            </a:solidFill>
            <a:ln xmlns:a="http://schemas.openxmlformats.org/drawingml/2006/main" w="19050">
              <a:solidFill>
                <a:srgbClr val="DA8540"/>
              </a:solidFill>
              <a:prstDash val="solid"/>
            </a:ln>
          </c:spPr>
          <c:cat>
            <c:strRef>
              <c:f>'情景比较'!$P$6:$P$18</c:f>
              <c:strCache>
                <c:ptCount val="0"/>
              </c:strCache>
            </c:strRef>
          </c:cat>
          <c:val>
            <c:numRef>
              <c:f>'情景比较'!$R$6:$R$18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典型情景（rho见表）</a:t>
                </a:r>
              </a:p>
            </c:rich>
          </c:tx>
          <c:overlay val="0"/>
        </c:title>
        <c:numFmt formatCode="0.######&quot;%&quot;" sourceLinked="0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典型可行情景：累计作业（h）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累计作业（h）</c:v>
          </c:tx>
          <c:spPr>
            <a:solidFill xmlns:a="http://schemas.openxmlformats.org/drawingml/2006/main">
              <a:srgbClr val="3E8C78"/>
            </a:solidFill>
            <a:ln xmlns:a="http://schemas.openxmlformats.org/drawingml/2006/main" w="19050">
              <a:solidFill>
                <a:srgbClr val="3E8C78"/>
              </a:solidFill>
              <a:prstDash val="solid"/>
            </a:ln>
          </c:spPr>
          <c:cat>
            <c:strRef>
              <c:f>'情景比较'!$P$6:$P$18</c:f>
              <c:strCache>
                <c:ptCount val="0"/>
              </c:strCache>
            </c:strRef>
          </c:cat>
          <c:val>
            <c:numRef>
              <c:f>'情景比较'!$S$6:$S$18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典型情景（rho见表）</a:t>
                </a:r>
              </a:p>
            </c:rich>
          </c:tx>
          <c:overlay val="0"/>
        </c:title>
        <c:numFmt formatCode="0.######&quot;%&quot;" sourceLinked="0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S001：安全载荷随余量变化（kg）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A型</c:v>
          </c:tx>
          <c:spPr>
            <a:solidFill xmlns:a="http://schemas.openxmlformats.org/drawingml/2006/main">
              <a:srgbClr val="4378A8"/>
            </a:solidFill>
            <a:ln xmlns:a="http://schemas.openxmlformats.org/drawingml/2006/main" w="19050">
              <a:solidFill>
                <a:srgbClr val="4378A8"/>
              </a:solidFill>
              <a:prstDash val="solid"/>
            </a:ln>
          </c:spPr>
          <c:marker>
            <c:symbol val="none"/>
          </c:marker>
          <c:cat>
            <c:strRef>
              <c:f>'最大安全载荷'!$H$76:$H$136</c:f>
              <c:strCache>
                <c:ptCount val="0"/>
              </c:strCache>
            </c:strRef>
          </c:cat>
          <c:val>
            <c:numRef>
              <c:f>'最大安全载荷'!$I$76:$I$136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B型</c:v>
          </c:tx>
          <c:spPr>
            <a:solidFill xmlns:a="http://schemas.openxmlformats.org/drawingml/2006/main">
              <a:srgbClr val="DA8540"/>
            </a:solidFill>
            <a:ln xmlns:a="http://schemas.openxmlformats.org/drawingml/2006/main" w="19050">
              <a:solidFill>
                <a:srgbClr val="DA8540"/>
              </a:solidFill>
              <a:prstDash val="solid"/>
            </a:ln>
          </c:spPr>
          <c:marker>
            <c:symbol val="none"/>
          </c:marker>
          <c:cat>
            <c:strRef>
              <c:f>'最大安全载荷'!$H$76:$H$136</c:f>
              <c:strCache>
                <c:ptCount val="0"/>
              </c:strCache>
            </c:strRef>
          </c:cat>
          <c:val>
            <c:numRef>
              <c:f>'最大安全载荷'!$J$76:$J$136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C型</c:v>
          </c:tx>
          <c:spPr>
            <a:solidFill xmlns:a="http://schemas.openxmlformats.org/drawingml/2006/main">
              <a:srgbClr val="3E8C78"/>
            </a:solidFill>
            <a:ln xmlns:a="http://schemas.openxmlformats.org/drawingml/2006/main" w="19050">
              <a:solidFill>
                <a:srgbClr val="3E8C78"/>
              </a:solidFill>
              <a:prstDash val="solid"/>
            </a:ln>
          </c:spPr>
          <c:marker>
            <c:symbol val="none"/>
          </c:marker>
          <c:cat>
            <c:strRef>
              <c:f>'最大安全载荷'!$H$76:$H$136</c:f>
              <c:strCache>
                <c:ptCount val="0"/>
              </c:strCache>
            </c:strRef>
          </c:cat>
          <c:val>
            <c:numRef>
              <c:f>'最大安全载荷'!$K$76:$K$136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返航安全余量 rho（%）</a:t>
                </a:r>
              </a:p>
            </c:rich>
          </c:tx>
          <c:overlay val="0"/>
        </c:title>
        <c:numFmt formatCode="0.######&quot;%&quot;" sourceLinked="0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S004：安全载荷随余量变化（kg）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A型</c:v>
          </c:tx>
          <c:spPr>
            <a:solidFill xmlns:a="http://schemas.openxmlformats.org/drawingml/2006/main">
              <a:srgbClr val="4378A8"/>
            </a:solidFill>
            <a:ln xmlns:a="http://schemas.openxmlformats.org/drawingml/2006/main" w="19050">
              <a:solidFill>
                <a:srgbClr val="4378A8"/>
              </a:solidFill>
              <a:prstDash val="solid"/>
            </a:ln>
          </c:spPr>
          <c:marker>
            <c:symbol val="none"/>
          </c:marker>
          <c:cat>
            <c:strRef>
              <c:f>'最大安全载荷'!$L$76:$L$136</c:f>
              <c:strCache>
                <c:ptCount val="0"/>
              </c:strCache>
            </c:strRef>
          </c:cat>
          <c:val>
            <c:numRef>
              <c:f>'最大安全载荷'!$M$76:$M$136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B型</c:v>
          </c:tx>
          <c:spPr>
            <a:solidFill xmlns:a="http://schemas.openxmlformats.org/drawingml/2006/main">
              <a:srgbClr val="DA8540"/>
            </a:solidFill>
            <a:ln xmlns:a="http://schemas.openxmlformats.org/drawingml/2006/main" w="19050">
              <a:solidFill>
                <a:srgbClr val="DA8540"/>
              </a:solidFill>
              <a:prstDash val="solid"/>
            </a:ln>
          </c:spPr>
          <c:marker>
            <c:symbol val="none"/>
          </c:marker>
          <c:cat>
            <c:strRef>
              <c:f>'最大安全载荷'!$L$76:$L$136</c:f>
              <c:strCache>
                <c:ptCount val="0"/>
              </c:strCache>
            </c:strRef>
          </c:cat>
          <c:val>
            <c:numRef>
              <c:f>'最大安全载荷'!$N$76:$N$136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C型</c:v>
          </c:tx>
          <c:spPr>
            <a:solidFill xmlns:a="http://schemas.openxmlformats.org/drawingml/2006/main">
              <a:srgbClr val="3E8C78"/>
            </a:solidFill>
            <a:ln xmlns:a="http://schemas.openxmlformats.org/drawingml/2006/main" w="19050">
              <a:solidFill>
                <a:srgbClr val="3E8C78"/>
              </a:solidFill>
              <a:prstDash val="solid"/>
            </a:ln>
          </c:spPr>
          <c:marker>
            <c:symbol val="none"/>
          </c:marker>
          <c:cat>
            <c:strRef>
              <c:f>'最大安全载荷'!$L$76:$L$136</c:f>
              <c:strCache>
                <c:ptCount val="0"/>
              </c:strCache>
            </c:strRef>
          </c:cat>
          <c:val>
            <c:numRef>
              <c:f>'最大安全载荷'!$O$76:$O$136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返航安全余量 rho（%）</a:t>
                </a:r>
              </a:p>
            </c:rich>
          </c:tx>
          <c:overlay val="0"/>
        </c:title>
        <c:numFmt formatCode="0.######&quot;%&quot;" sourceLinked="0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S008：安全载荷随余量变化（kg）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A型</c:v>
          </c:tx>
          <c:spPr>
            <a:solidFill xmlns:a="http://schemas.openxmlformats.org/drawingml/2006/main">
              <a:srgbClr val="4378A8"/>
            </a:solidFill>
            <a:ln xmlns:a="http://schemas.openxmlformats.org/drawingml/2006/main" w="19050">
              <a:solidFill>
                <a:srgbClr val="4378A8"/>
              </a:solidFill>
              <a:prstDash val="solid"/>
            </a:ln>
          </c:spPr>
          <c:marker>
            <c:symbol val="none"/>
          </c:marker>
          <c:cat>
            <c:strRef>
              <c:f>'最大安全载荷'!$P$76:$P$136</c:f>
              <c:strCache>
                <c:ptCount val="0"/>
              </c:strCache>
            </c:strRef>
          </c:cat>
          <c:val>
            <c:numRef>
              <c:f>'最大安全载荷'!$Q$76:$Q$136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B型</c:v>
          </c:tx>
          <c:spPr>
            <a:solidFill xmlns:a="http://schemas.openxmlformats.org/drawingml/2006/main">
              <a:srgbClr val="DA8540"/>
            </a:solidFill>
            <a:ln xmlns:a="http://schemas.openxmlformats.org/drawingml/2006/main" w="19050">
              <a:solidFill>
                <a:srgbClr val="DA8540"/>
              </a:solidFill>
              <a:prstDash val="solid"/>
            </a:ln>
          </c:spPr>
          <c:marker>
            <c:symbol val="none"/>
          </c:marker>
          <c:cat>
            <c:strRef>
              <c:f>'最大安全载荷'!$P$76:$P$136</c:f>
              <c:strCache>
                <c:ptCount val="0"/>
              </c:strCache>
            </c:strRef>
          </c:cat>
          <c:val>
            <c:numRef>
              <c:f>'最大安全载荷'!$R$76:$R$136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C型</c:v>
          </c:tx>
          <c:spPr>
            <a:solidFill xmlns:a="http://schemas.openxmlformats.org/drawingml/2006/main">
              <a:srgbClr val="3E8C78"/>
            </a:solidFill>
            <a:ln xmlns:a="http://schemas.openxmlformats.org/drawingml/2006/main" w="19050">
              <a:solidFill>
                <a:srgbClr val="3E8C78"/>
              </a:solidFill>
              <a:prstDash val="solid"/>
            </a:ln>
          </c:spPr>
          <c:marker>
            <c:symbol val="none"/>
          </c:marker>
          <c:cat>
            <c:strRef>
              <c:f>'最大安全载荷'!$P$76:$P$136</c:f>
              <c:strCache>
                <c:ptCount val="0"/>
              </c:strCache>
            </c:strRef>
          </c:cat>
          <c:val>
            <c:numRef>
              <c:f>'最大安全载荷'!$S$76:$S$136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返航安全余量 rho（%）</a:t>
                </a:r>
              </a:p>
            </c:rich>
          </c:tx>
          <c:overlay val="0"/>
        </c:title>
        <c:numFmt formatCode="0.######&quot;%&quot;" sourceLinked="0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04923e225347a4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8224f9b7d84bf3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ddd918b3944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52</xdr:row>
      <xdr:rowOff>0</xdr:rowOff>
    </xdr:from>
    <xdr:to>
      <xdr:col>5</xdr:col>
      <xdr:colOff>0</xdr:colOff>
      <xdr:row>71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a3a3b4650f4a10"/>
        </a:graphicData>
      </a:graphic>
    </xdr:graphicFrame>
    <xdr:clientData/>
  </xdr:twoCellAnchor>
  <xdr:twoCellAnchor>
    <xdr:from>
      <xdr:col>5</xdr:col>
      <xdr:colOff>0</xdr:colOff>
      <xdr:row>52</xdr:row>
      <xdr:rowOff>0</xdr:rowOff>
    </xdr:from>
    <xdr:to>
      <xdr:col>10</xdr:col>
      <xdr:colOff>0</xdr:colOff>
      <xdr:row>71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e43a752b834eb6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15</xdr:col>
      <xdr:colOff>0</xdr:colOff>
      <xdr:row>71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a70c085664e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f3ae9fa8ff49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626447c08714e97" /></Relationships>
</file>

<file path=xl/worksheets/sheet1.xml><?xml version="1.0" encoding="utf-8"?>
<x:worksheet xmlns:x="http://schemas.openxmlformats.org/spreadsheetml/2006/main">
  <x:sheetPr>
    <x:tabColor rgb="FF1836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380000114440918" hidden="0" customWidth="1"/>
    <x:col min="2" max="2" width="17.1299991607666" hidden="0" customWidth="1"/>
    <x:col min="3" max="3" width="10.25" hidden="0" customWidth="1"/>
    <x:col min="4" max="4" width="10.130000114440918" hidden="0" customWidth="1"/>
    <x:col min="5" max="5" width="17.25" hidden="0" customWidth="1"/>
    <x:col min="6" max="6" width="18.6299991607666" hidden="0" customWidth="1"/>
    <x:col min="7" max="7" width="17.25" hidden="0" customWidth="1"/>
    <x:col min="8" max="8" width="17" hidden="0" customWidth="1"/>
    <x:col min="9" max="9" width="16.6299991607666" hidden="0" customWidth="1"/>
    <x:col min="10" max="10" width="13.25" hidden="0" customWidth="1"/>
    <x:col min="11" max="11" width="17.25" hidden="0" customWidth="1"/>
    <x:col min="12" max="12" width="18.6299991607666" hidden="0" customWidth="1"/>
    <x:col min="13" max="13" width="16" hidden="0" customWidth="1"/>
    <x:col min="14" max="14" width="48.5" hidden="0" customWidth="1"/>
    <x:col min="15" max="15" width="3.75" hidden="0" customWidth="1"/>
    <x:col min="16" max="16" width="16.8799991607666" hidden="0" customWidth="1"/>
    <x:col min="17" max="17" width="13.75" hidden="0" customWidth="1"/>
    <x:col min="18" max="18" width="17.5" hidden="0" customWidth="1"/>
    <x:col min="19" max="19" width="18.1299991607666" hidden="0" customWidth="1"/>
  </x:cols>
  <x:sheetData>
    <x:row r="1" ht="32" customHeight="1">
      <x:c r="A1" s="3" t="str">
        <x:v>第一问：安全余量敏感性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12" t="str">
        <x:v>20%为原基准；统一安全余量可行上限为35.267647349%，等号可行。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8" customHeight="1">
      <x:c r="A3" s="12" t="str">
        <x:v>柱状图只比较所列可行情景；不可行方案的目标保持空白。横轴为分类情景，精确变化区间见临界点表。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4" customHeight="1">
      <x:c r="A5" s="8" t="str">
        <x:v>情景ID</x:v>
      </x:c>
      <x:c r="B5" s="9" t="str">
        <x:v>安全余量（%）</x:v>
      </x:c>
      <x:c r="C5" s="9" t="str">
        <x:v>可行性</x:v>
      </x:c>
      <x:c r="D5" s="9" t="str">
        <x:v>最少架次</x:v>
      </x:c>
      <x:c r="E5" s="9" t="str">
        <x:v>总能耗（kWh）</x:v>
      </x:c>
      <x:c r="F5" s="9" t="str">
        <x:v>累计作业（s）</x:v>
      </x:c>
      <x:c r="G5" s="9" t="str">
        <x:v>累计作业（h）</x:v>
      </x:c>
      <x:c r="H5" s="9" t="str">
        <x:v>A/B/C型架次数</x:v>
      </x:c>
      <x:c r="I5" s="9" t="str">
        <x:v>最低SOC（%）</x:v>
      </x:c>
      <x:c r="J5" s="9" t="str">
        <x:v>较20%增减架次</x:v>
      </x:c>
      <x:c r="K5" s="9" t="str">
        <x:v>较20%能耗差（kWh）</x:v>
      </x:c>
      <x:c r="L5" s="9" t="str">
        <x:v>较20%作业差（s）</x:v>
      </x:c>
      <x:c r="M5" s="9" t="str">
        <x:v>区间方案ID</x:v>
      </x:c>
      <x:c r="N5" s="10" t="str">
        <x:v>不可单独运输的服务区—货物类别</x:v>
      </x:c>
      <x:c r="O5" s="2"/>
      <x:c r="P5" s="8" t="str">
        <x:v>情景rho</x:v>
      </x:c>
      <x:c r="Q5" s="9" t="str">
        <x:v>架次数</x:v>
      </x:c>
      <x:c r="R5" s="9" t="str">
        <x:v>能耗（kWh）</x:v>
      </x:c>
      <x:c r="S5" s="10" t="str">
        <x:v>累计作业（h）</x:v>
      </x:c>
    </x:row>
    <x:row r="6" ht="31" customHeight="1">
      <x:c r="A6" s="2" t="str">
        <x:v>SC001</x:v>
      </x:c>
      <x:c r="B6" s="14" t="n">
        <x:v>0</x:v>
      </x:c>
      <x:c r="C6" s="26" t="str">
        <x:v>可行</x:v>
      </x:c>
      <x:c r="D6" s="18" t="n">
        <x:f>COUNTIFS('情景批次'!$A$5:$A$259,A6)</x:f>
        <x:v>18</x:v>
      </x:c>
      <x:c r="E6" s="24" t="n">
        <x:f>SUMIFS('情景批次'!$J$5:$J$259,'情景批次'!$A$5:$A$259,A6)</x:f>
        <x:v>59.13226032599276</x:v>
      </x:c>
      <x:c r="F6" s="20" t="n">
        <x:f>SUMIFS('情景批次'!$K$5:$K$259,'情景批次'!$A$5:$A$259,A6)</x:f>
        <x:v>32776.51678227689</x:v>
      </x:c>
      <x:c r="G6" s="24" t="n">
        <x:f>F6/3600</x:f>
        <x:v>9.104587995076914</x:v>
      </x:c>
      <x:c r="H6" s="18" t="str">
        <x:v>0 / 9 / 9</x:v>
      </x:c>
      <x:c r="I6" s="20" t="n">
        <x:f>MIN('情景批次'!L5,'情景批次'!L6,'情景批次'!L7,'情景批次'!L8,'情景批次'!L9,'情景批次'!L10,'情景批次'!L11,'情景批次'!L12,'情景批次'!L13,'情景批次'!L14,'情景批次'!L15,'情景批次'!L16,'情景批次'!L17,'情景批次'!L18,'情景批次'!L19,'情景批次'!L20,'情景批次'!L21,'情景批次'!L22)</x:f>
        <x:v>23.089248385317727</x:v>
      </x:c>
      <x:c r="J6" s="18" t="n">
        <x:f>D6-$D$10</x:f>
        <x:v>0</x:v>
      </x:c>
      <x:c r="K6" s="24" t="n">
        <x:f>E6-$E$10</x:f>
        <x:v>0</x:v>
      </x:c>
      <x:c r="L6" s="20" t="n">
        <x:f>F6-$F$10</x:f>
        <x:v>0</x:v>
      </x:c>
      <x:c r="M6" s="26" t="str">
        <x:v>R001</x:v>
      </x:c>
      <x:c r="N6" s="13"/>
      <x:c r="O6" s="2"/>
      <x:c r="P6" s="2" t="str">
        <x:f>IF(B6=INT(B6),TEXT(B6,"0"),TEXT(B6,"0.######"))&amp;"%"</x:f>
        <x:v>0%</x:v>
      </x:c>
      <x:c r="Q6" s="2" t="n">
        <x:f>D6</x:f>
        <x:v>18</x:v>
      </x:c>
      <x:c r="R6" s="2" t="n">
        <x:f>E6</x:f>
        <x:v>59.13226032599276</x:v>
      </x:c>
      <x:c r="S6" s="2" t="n">
        <x:f>G6</x:f>
        <x:v>9.104587995076914</x:v>
      </x:c>
    </x:row>
    <x:row r="7" ht="31" customHeight="1">
      <x:c r="A7" s="15" t="str">
        <x:v>SC002</x:v>
      </x:c>
      <x:c r="B7" s="17" t="n">
        <x:v>5</x:v>
      </x:c>
      <x:c r="C7" s="27" t="str">
        <x:v>可行</x:v>
      </x:c>
      <x:c r="D7" s="19" t="n">
        <x:f>COUNTIFS('情景批次'!$A$5:$A$259,A7)</x:f>
        <x:v>18</x:v>
      </x:c>
      <x:c r="E7" s="25" t="n">
        <x:f>SUMIFS('情景批次'!$J$5:$J$259,'情景批次'!$A$5:$A$259,A7)</x:f>
        <x:v>59.13226032599276</x:v>
      </x:c>
      <x:c r="F7" s="21" t="n">
        <x:f>SUMIFS('情景批次'!$K$5:$K$259,'情景批次'!$A$5:$A$259,A7)</x:f>
        <x:v>32776.51678227689</x:v>
      </x:c>
      <x:c r="G7" s="25" t="n">
        <x:f>F7/3600</x:f>
        <x:v>9.104587995076914</x:v>
      </x:c>
      <x:c r="H7" s="19" t="str">
        <x:v>0 / 9 / 9</x:v>
      </x:c>
      <x:c r="I7" s="21" t="n">
        <x:f>MIN('情景批次'!L23,'情景批次'!L24,'情景批次'!L25,'情景批次'!L26,'情景批次'!L27,'情景批次'!L28,'情景批次'!L29,'情景批次'!L30,'情景批次'!L31,'情景批次'!L32,'情景批次'!L33,'情景批次'!L34,'情景批次'!L35,'情景批次'!L36,'情景批次'!L37,'情景批次'!L38,'情景批次'!L39,'情景批次'!L40)</x:f>
        <x:v>23.089248385317727</x:v>
      </x:c>
      <x:c r="J7" s="19" t="n">
        <x:f>D7-$D$10</x:f>
        <x:v>0</x:v>
      </x:c>
      <x:c r="K7" s="25" t="n">
        <x:f>E7-$E$10</x:f>
        <x:v>0</x:v>
      </x:c>
      <x:c r="L7" s="21" t="n">
        <x:f>F7-$F$10</x:f>
        <x:v>0</x:v>
      </x:c>
      <x:c r="M7" s="27" t="str">
        <x:v>R001</x:v>
      </x:c>
      <x:c r="N7" s="16"/>
      <x:c r="O7" s="2"/>
      <x:c r="P7" s="2" t="str">
        <x:f>IF(B7=INT(B7),TEXT(B7,"0"),TEXT(B7,"0.######"))&amp;"%"</x:f>
        <x:v>5%</x:v>
      </x:c>
      <x:c r="Q7" s="2" t="n">
        <x:f>D7</x:f>
        <x:v>18</x:v>
      </x:c>
      <x:c r="R7" s="2" t="n">
        <x:f>E7</x:f>
        <x:v>59.13226032599276</x:v>
      </x:c>
      <x:c r="S7" s="2" t="n">
        <x:f>G7</x:f>
        <x:v>9.104587995076914</x:v>
      </x:c>
    </x:row>
    <x:row r="8" ht="31" customHeight="1">
      <x:c r="A8" s="2" t="str">
        <x:v>SC003</x:v>
      </x:c>
      <x:c r="B8" s="14" t="n">
        <x:v>10</x:v>
      </x:c>
      <x:c r="C8" s="26" t="str">
        <x:v>可行</x:v>
      </x:c>
      <x:c r="D8" s="18" t="n">
        <x:f>COUNTIFS('情景批次'!$A$5:$A$259,A8)</x:f>
        <x:v>18</x:v>
      </x:c>
      <x:c r="E8" s="24" t="n">
        <x:f>SUMIFS('情景批次'!$J$5:$J$259,'情景批次'!$A$5:$A$259,A8)</x:f>
        <x:v>59.13226032599276</x:v>
      </x:c>
      <x:c r="F8" s="20" t="n">
        <x:f>SUMIFS('情景批次'!$K$5:$K$259,'情景批次'!$A$5:$A$259,A8)</x:f>
        <x:v>32776.51678227689</x:v>
      </x:c>
      <x:c r="G8" s="24" t="n">
        <x:f>F8/3600</x:f>
        <x:v>9.104587995076914</x:v>
      </x:c>
      <x:c r="H8" s="18" t="str">
        <x:v>0 / 9 / 9</x:v>
      </x:c>
      <x:c r="I8" s="20" t="n">
        <x:f>MIN('情景批次'!L41,'情景批次'!L42,'情景批次'!L43,'情景批次'!L44,'情景批次'!L45,'情景批次'!L46,'情景批次'!L47,'情景批次'!L48,'情景批次'!L49,'情景批次'!L50,'情景批次'!L51,'情景批次'!L52,'情景批次'!L53,'情景批次'!L54,'情景批次'!L55,'情景批次'!L56,'情景批次'!L57,'情景批次'!L58)</x:f>
        <x:v>23.089248385317727</x:v>
      </x:c>
      <x:c r="J8" s="18" t="n">
        <x:f>D8-$D$10</x:f>
        <x:v>0</x:v>
      </x:c>
      <x:c r="K8" s="24" t="n">
        <x:f>E8-$E$10</x:f>
        <x:v>0</x:v>
      </x:c>
      <x:c r="L8" s="20" t="n">
        <x:f>F8-$F$10</x:f>
        <x:v>0</x:v>
      </x:c>
      <x:c r="M8" s="26" t="str">
        <x:v>R001</x:v>
      </x:c>
      <x:c r="N8" s="13"/>
      <x:c r="O8" s="2"/>
      <x:c r="P8" s="2" t="str">
        <x:f>IF(B8=INT(B8),TEXT(B8,"0"),TEXT(B8,"0.######"))&amp;"%"</x:f>
        <x:v>10%</x:v>
      </x:c>
      <x:c r="Q8" s="2" t="n">
        <x:f>D8</x:f>
        <x:v>18</x:v>
      </x:c>
      <x:c r="R8" s="2" t="n">
        <x:f>E8</x:f>
        <x:v>59.13226032599276</x:v>
      </x:c>
      <x:c r="S8" s="2" t="n">
        <x:f>G8</x:f>
        <x:v>9.104587995076914</x:v>
      </x:c>
    </x:row>
    <x:row r="9" ht="31" customHeight="1">
      <x:c r="A9" s="15" t="str">
        <x:v>SC004</x:v>
      </x:c>
      <x:c r="B9" s="17" t="n">
        <x:v>15</x:v>
      </x:c>
      <x:c r="C9" s="27" t="str">
        <x:v>可行</x:v>
      </x:c>
      <x:c r="D9" s="19" t="n">
        <x:f>COUNTIFS('情景批次'!$A$5:$A$259,A9)</x:f>
        <x:v>18</x:v>
      </x:c>
      <x:c r="E9" s="25" t="n">
        <x:f>SUMIFS('情景批次'!$J$5:$J$259,'情景批次'!$A$5:$A$259,A9)</x:f>
        <x:v>59.13226032599276</x:v>
      </x:c>
      <x:c r="F9" s="21" t="n">
        <x:f>SUMIFS('情景批次'!$K$5:$K$259,'情景批次'!$A$5:$A$259,A9)</x:f>
        <x:v>32776.51678227689</x:v>
      </x:c>
      <x:c r="G9" s="25" t="n">
        <x:f>F9/3600</x:f>
        <x:v>9.104587995076914</x:v>
      </x:c>
      <x:c r="H9" s="19" t="str">
        <x:v>0 / 9 / 9</x:v>
      </x:c>
      <x:c r="I9" s="21" t="n">
        <x:f>MIN('情景批次'!L59,'情景批次'!L60,'情景批次'!L61,'情景批次'!L62,'情景批次'!L63,'情景批次'!L64,'情景批次'!L65,'情景批次'!L66,'情景批次'!L67,'情景批次'!L68,'情景批次'!L69,'情景批次'!L70,'情景批次'!L71,'情景批次'!L72,'情景批次'!L73,'情景批次'!L74,'情景批次'!L75,'情景批次'!L76)</x:f>
        <x:v>23.089248385317727</x:v>
      </x:c>
      <x:c r="J9" s="19" t="n">
        <x:f>D9-$D$10</x:f>
        <x:v>0</x:v>
      </x:c>
      <x:c r="K9" s="25" t="n">
        <x:f>E9-$E$10</x:f>
        <x:v>0</x:v>
      </x:c>
      <x:c r="L9" s="21" t="n">
        <x:f>F9-$F$10</x:f>
        <x:v>0</x:v>
      </x:c>
      <x:c r="M9" s="27" t="str">
        <x:v>R001</x:v>
      </x:c>
      <x:c r="N9" s="16"/>
      <x:c r="O9" s="2"/>
      <x:c r="P9" s="2" t="str">
        <x:f>IF(B9=INT(B9),TEXT(B9,"0"),TEXT(B9,"0.######"))&amp;"%"</x:f>
        <x:v>15%</x:v>
      </x:c>
      <x:c r="Q9" s="2" t="n">
        <x:f>D9</x:f>
        <x:v>18</x:v>
      </x:c>
      <x:c r="R9" s="2" t="n">
        <x:f>E9</x:f>
        <x:v>59.13226032599276</x:v>
      </x:c>
      <x:c r="S9" s="2" t="n">
        <x:f>G9</x:f>
        <x:v>9.104587995076914</x:v>
      </x:c>
    </x:row>
    <x:row r="10" ht="31" customHeight="1">
      <x:c r="A10" s="30" t="str">
        <x:v>SC005</x:v>
      </x:c>
      <x:c r="B10" s="31" t="n">
        <x:v>20</x:v>
      </x:c>
      <x:c r="C10" s="32" t="str">
        <x:v>可行</x:v>
      </x:c>
      <x:c r="D10" s="33" t="n">
        <x:f>COUNTIFS('情景批次'!$A$5:$A$259,A10)</x:f>
        <x:v>18</x:v>
      </x:c>
      <x:c r="E10" s="34" t="n">
        <x:f>SUMIFS('情景批次'!$J$5:$J$259,'情景批次'!$A$5:$A$259,A10)</x:f>
        <x:v>59.13226032599276</x:v>
      </x:c>
      <x:c r="F10" s="35" t="n">
        <x:f>SUMIFS('情景批次'!$K$5:$K$259,'情景批次'!$A$5:$A$259,A10)</x:f>
        <x:v>32776.51678227689</x:v>
      </x:c>
      <x:c r="G10" s="34" t="n">
        <x:f>F10/3600</x:f>
        <x:v>9.104587995076914</x:v>
      </x:c>
      <x:c r="H10" s="33" t="str">
        <x:v>0 / 9 / 9</x:v>
      </x:c>
      <x:c r="I10" s="35" t="n">
        <x:f>MIN('情景批次'!L77,'情景批次'!L78,'情景批次'!L79,'情景批次'!L80,'情景批次'!L81,'情景批次'!L82,'情景批次'!L83,'情景批次'!L84,'情景批次'!L85,'情景批次'!L86,'情景批次'!L87,'情景批次'!L88,'情景批次'!L89,'情景批次'!L90,'情景批次'!L91,'情景批次'!L92,'情景批次'!L93,'情景批次'!L94)</x:f>
        <x:v>23.089248385317727</x:v>
      </x:c>
      <x:c r="J10" s="33" t="n">
        <x:f>D10-$D$10</x:f>
        <x:v>0</x:v>
      </x:c>
      <x:c r="K10" s="34" t="n">
        <x:f>E10-$E$10</x:f>
        <x:v>0</x:v>
      </x:c>
      <x:c r="L10" s="35" t="n">
        <x:f>F10-$F$10</x:f>
        <x:v>0</x:v>
      </x:c>
      <x:c r="M10" s="32" t="str">
        <x:v>R001</x:v>
      </x:c>
      <x:c r="N10" s="36"/>
      <x:c r="O10" s="2"/>
      <x:c r="P10" s="2" t="str">
        <x:f>IF(B10=INT(B10),TEXT(B10,"0"),TEXT(B10,"0.######"))&amp;"%"</x:f>
        <x:v>20%</x:v>
      </x:c>
      <x:c r="Q10" s="2" t="n">
        <x:f>D10</x:f>
        <x:v>18</x:v>
      </x:c>
      <x:c r="R10" s="2" t="n">
        <x:f>E10</x:f>
        <x:v>59.13226032599276</x:v>
      </x:c>
      <x:c r="S10" s="2" t="n">
        <x:f>G10</x:f>
        <x:v>9.104587995076914</x:v>
      </x:c>
    </x:row>
    <x:row r="11" ht="31" customHeight="1">
      <x:c r="A11" s="15" t="str">
        <x:v>SC006</x:v>
      </x:c>
      <x:c r="B11" s="17" t="n">
        <x:v>22.5</x:v>
      </x:c>
      <x:c r="C11" s="27" t="str">
        <x:v>可行</x:v>
      </x:c>
      <x:c r="D11" s="19" t="n">
        <x:f>COUNTIFS('情景批次'!$A$5:$A$259,A11)</x:f>
        <x:v>18</x:v>
      </x:c>
      <x:c r="E11" s="25" t="n">
        <x:f>SUMIFS('情景批次'!$J$5:$J$259,'情景批次'!$A$5:$A$259,A11)</x:f>
        <x:v>59.13226032599276</x:v>
      </x:c>
      <x:c r="F11" s="21" t="n">
        <x:f>SUMIFS('情景批次'!$K$5:$K$259,'情景批次'!$A$5:$A$259,A11)</x:f>
        <x:v>32776.51678227689</x:v>
      </x:c>
      <x:c r="G11" s="25" t="n">
        <x:f>F11/3600</x:f>
        <x:v>9.104587995076914</x:v>
      </x:c>
      <x:c r="H11" s="19" t="str">
        <x:v>0 / 9 / 9</x:v>
      </x:c>
      <x:c r="I11" s="21" t="n">
        <x:f>MIN('情景批次'!L95,'情景批次'!L96,'情景批次'!L97,'情景批次'!L98,'情景批次'!L99,'情景批次'!L100,'情景批次'!L101,'情景批次'!L102,'情景批次'!L103,'情景批次'!L104,'情景批次'!L105,'情景批次'!L106,'情景批次'!L107,'情景批次'!L108,'情景批次'!L109,'情景批次'!L110,'情景批次'!L111,'情景批次'!L112)</x:f>
        <x:v>23.089248385317727</x:v>
      </x:c>
      <x:c r="J11" s="19" t="n">
        <x:f>D11-$D$10</x:f>
        <x:v>0</x:v>
      </x:c>
      <x:c r="K11" s="25" t="n">
        <x:f>E11-$E$10</x:f>
        <x:v>0</x:v>
      </x:c>
      <x:c r="L11" s="21" t="n">
        <x:f>F11-$F$10</x:f>
        <x:v>0</x:v>
      </x:c>
      <x:c r="M11" s="27" t="str">
        <x:v>R001</x:v>
      </x:c>
      <x:c r="N11" s="16"/>
      <x:c r="O11" s="2"/>
      <x:c r="P11" s="2" t="str">
        <x:f>IF(B11=INT(B11),TEXT(B11,"0"),TEXT(B11,"0.######"))&amp;"%"</x:f>
        <x:v>22.5%</x:v>
      </x:c>
      <x:c r="Q11" s="2" t="n">
        <x:f>D11</x:f>
        <x:v>18</x:v>
      </x:c>
      <x:c r="R11" s="2" t="n">
        <x:f>E11</x:f>
        <x:v>59.13226032599276</x:v>
      </x:c>
      <x:c r="S11" s="2" t="n">
        <x:f>G11</x:f>
        <x:v>9.104587995076914</x:v>
      </x:c>
    </x:row>
    <x:row r="12" ht="31" customHeight="1">
      <x:c r="A12" s="2" t="str">
        <x:v>SC007</x:v>
      </x:c>
      <x:c r="B12" s="14" t="n">
        <x:v>23</x:v>
      </x:c>
      <x:c r="C12" s="26" t="str">
        <x:v>可行</x:v>
      </x:c>
      <x:c r="D12" s="18" t="n">
        <x:f>COUNTIFS('情景批次'!$A$5:$A$259,A12)</x:f>
        <x:v>18</x:v>
      </x:c>
      <x:c r="E12" s="24" t="n">
        <x:f>SUMIFS('情景批次'!$J$5:$J$259,'情景批次'!$A$5:$A$259,A12)</x:f>
        <x:v>59.13226032599276</x:v>
      </x:c>
      <x:c r="F12" s="20" t="n">
        <x:f>SUMIFS('情景批次'!$K$5:$K$259,'情景批次'!$A$5:$A$259,A12)</x:f>
        <x:v>32776.51678227689</x:v>
      </x:c>
      <x:c r="G12" s="24" t="n">
        <x:f>F12/3600</x:f>
        <x:v>9.104587995076914</x:v>
      </x:c>
      <x:c r="H12" s="18" t="str">
        <x:v>0 / 9 / 9</x:v>
      </x:c>
      <x:c r="I12" s="20" t="n">
        <x:f>MIN('情景批次'!L113,'情景批次'!L114,'情景批次'!L115,'情景批次'!L116,'情景批次'!L117,'情景批次'!L118,'情景批次'!L119,'情景批次'!L120,'情景批次'!L121,'情景批次'!L122,'情景批次'!L123,'情景批次'!L124,'情景批次'!L125,'情景批次'!L126,'情景批次'!L127,'情景批次'!L128,'情景批次'!L129,'情景批次'!L130)</x:f>
        <x:v>23.089248385317727</x:v>
      </x:c>
      <x:c r="J12" s="18" t="n">
        <x:f>D12-$D$10</x:f>
        <x:v>0</x:v>
      </x:c>
      <x:c r="K12" s="24" t="n">
        <x:f>E12-$E$10</x:f>
        <x:v>0</x:v>
      </x:c>
      <x:c r="L12" s="20" t="n">
        <x:f>F12-$F$10</x:f>
        <x:v>0</x:v>
      </x:c>
      <x:c r="M12" s="26" t="str">
        <x:v>R001</x:v>
      </x:c>
      <x:c r="N12" s="13"/>
      <x:c r="O12" s="2"/>
      <x:c r="P12" s="2" t="str">
        <x:f>IF(B12=INT(B12),TEXT(B12,"0"),TEXT(B12,"0.######"))&amp;"%"</x:f>
        <x:v>23%</x:v>
      </x:c>
      <x:c r="Q12" s="2" t="n">
        <x:f>D12</x:f>
        <x:v>18</x:v>
      </x:c>
      <x:c r="R12" s="2" t="n">
        <x:f>E12</x:f>
        <x:v>59.13226032599276</x:v>
      </x:c>
      <x:c r="S12" s="2" t="n">
        <x:f>G12</x:f>
        <x:v>9.104587995076914</x:v>
      </x:c>
    </x:row>
    <x:row r="13" ht="31" customHeight="1">
      <x:c r="A13" s="15" t="str">
        <x:v>SC008</x:v>
      </x:c>
      <x:c r="B13" s="17" t="n">
        <x:v>25</x:v>
      </x:c>
      <x:c r="C13" s="27" t="str">
        <x:v>可行</x:v>
      </x:c>
      <x:c r="D13" s="19" t="n">
        <x:f>COUNTIFS('情景批次'!$A$5:$A$259,A13)</x:f>
        <x:v>19</x:v>
      </x:c>
      <x:c r="E13" s="25" t="n">
        <x:f>SUMIFS('情景批次'!$J$5:$J$259,'情景批次'!$A$5:$A$259,A13)</x:f>
        <x:v>61.074311157578066</x:v>
      </x:c>
      <x:c r="F13" s="21" t="n">
        <x:f>SUMIFS('情景批次'!$K$5:$K$259,'情景批次'!$A$5:$A$259,A13)</x:f>
        <x:v>34566.15844562942</x:v>
      </x:c>
      <x:c r="G13" s="25" t="n">
        <x:f>F13/3600</x:f>
        <x:v>9.601710679341506</x:v>
      </x:c>
      <x:c r="H13" s="19" t="str">
        <x:v>0 / 10 / 9</x:v>
      </x:c>
      <x:c r="I13" s="21" t="n">
        <x:f>MIN('情景批次'!L131,'情景批次'!L132,'情景批次'!L133,'情景批次'!L134,'情景批次'!L135,'情景批次'!L136,'情景批次'!L137,'情景批次'!L138,'情景批次'!L139,'情景批次'!L140,'情景批次'!L141,'情景批次'!L142,'情景批次'!L143,'情景批次'!L144,'情景批次'!L145,'情景批次'!L146,'情景批次'!L147,'情景批次'!L148,'情景批次'!L149)</x:f>
        <x:v>27.04974165042051</x:v>
      </x:c>
      <x:c r="J13" s="19" t="n">
        <x:f>D13-$D$10</x:f>
        <x:v>1</x:v>
      </x:c>
      <x:c r="K13" s="25" t="n">
        <x:f>E13-$E$10</x:f>
        <x:v>1.9420508315853056</x:v>
      </x:c>
      <x:c r="L13" s="21" t="n">
        <x:f>F13-$F$10</x:f>
        <x:v>1789.6416633525296</x:v>
      </x:c>
      <x:c r="M13" s="27" t="str">
        <x:v>R002</x:v>
      </x:c>
      <x:c r="N13" s="16"/>
      <x:c r="O13" s="2"/>
      <x:c r="P13" s="2" t="str">
        <x:f>IF(B13=INT(B13),TEXT(B13,"0"),TEXT(B13,"0.######"))&amp;"%"</x:f>
        <x:v>25%</x:v>
      </x:c>
      <x:c r="Q13" s="2" t="n">
        <x:f>D13</x:f>
        <x:v>19</x:v>
      </x:c>
      <x:c r="R13" s="2" t="n">
        <x:f>E13</x:f>
        <x:v>61.074311157578066</x:v>
      </x:c>
      <x:c r="S13" s="2" t="n">
        <x:f>G13</x:f>
        <x:v>9.601710679341506</x:v>
      </x:c>
    </x:row>
    <x:row r="14" ht="31" customHeight="1">
      <x:c r="A14" s="2" t="str">
        <x:v>SC009</x:v>
      </x:c>
      <x:c r="B14" s="14" t="n">
        <x:v>27.5</x:v>
      </x:c>
      <x:c r="C14" s="26" t="str">
        <x:v>可行</x:v>
      </x:c>
      <x:c r="D14" s="18" t="n">
        <x:f>COUNTIFS('情景批次'!$A$5:$A$259,A14)</x:f>
        <x:v>20</x:v>
      </x:c>
      <x:c r="E14" s="24" t="n">
        <x:f>SUMIFS('情景批次'!$J$5:$J$259,'情景批次'!$A$5:$A$259,A14)</x:f>
        <x:v>63.29105167303577</x:v>
      </x:c>
      <x:c r="F14" s="20" t="n">
        <x:f>SUMIFS('情景批次'!$K$5:$K$259,'情景批次'!$A$5:$A$259,A14)</x:f>
        <x:v>36336.00019280513</x:v>
      </x:c>
      <x:c r="G14" s="24" t="n">
        <x:f>F14/3600</x:f>
        <x:v>10.093333386890313</x:v>
      </x:c>
      <x:c r="H14" s="18" t="str">
        <x:v>0 / 11 / 9</x:v>
      </x:c>
      <x:c r="I14" s="20" t="n">
        <x:f>MIN('情景批次'!L150,'情景批次'!L151,'情景批次'!L152,'情景批次'!L153,'情景批次'!L154,'情景批次'!L155,'情景批次'!L156,'情景批次'!L157,'情景批次'!L158,'情景批次'!L159,'情景批次'!L160,'情景批次'!L161,'情景批次'!L162,'情景批次'!L163,'情景批次'!L164,'情景批次'!L165,'情景批次'!L166,'情景批次'!L167,'情景批次'!L168,'情景批次'!L169)</x:f>
        <x:v>27.93294131270203</x:v>
      </x:c>
      <x:c r="J14" s="18" t="n">
        <x:f>D14-$D$10</x:f>
        <x:v>2</x:v>
      </x:c>
      <x:c r="K14" s="24" t="n">
        <x:f>E14-$E$10</x:f>
        <x:v>4.158791347043007</x:v>
      </x:c>
      <x:c r="L14" s="20" t="n">
        <x:f>F14-$F$10</x:f>
        <x:v>3559.4834105282353</x:v>
      </x:c>
      <x:c r="M14" s="26" t="str">
        <x:v>R003</x:v>
      </x:c>
      <x:c r="N14" s="13"/>
      <x:c r="O14" s="2"/>
      <x:c r="P14" s="2" t="str">
        <x:f>IF(B14=INT(B14),TEXT(B14,"0"),TEXT(B14,"0.######"))&amp;"%"</x:f>
        <x:v>27.5%</x:v>
      </x:c>
      <x:c r="Q14" s="2" t="n">
        <x:f>D14</x:f>
        <x:v>20</x:v>
      </x:c>
      <x:c r="R14" s="2" t="n">
        <x:f>E14</x:f>
        <x:v>63.29105167303577</x:v>
      </x:c>
      <x:c r="S14" s="2" t="n">
        <x:f>G14</x:f>
        <x:v>10.093333386890313</x:v>
      </x:c>
    </x:row>
    <x:row r="15" ht="31" customHeight="1">
      <x:c r="A15" s="15" t="str">
        <x:v>SC010</x:v>
      </x:c>
      <x:c r="B15" s="17" t="n">
        <x:v>30</x:v>
      </x:c>
      <x:c r="C15" s="27" t="str">
        <x:v>可行</x:v>
      </x:c>
      <x:c r="D15" s="19" t="n">
        <x:f>COUNTIFS('情景批次'!$A$5:$A$259,A15)</x:f>
        <x:v>20</x:v>
      </x:c>
      <x:c r="E15" s="25" t="n">
        <x:f>SUMIFS('情景批次'!$J$5:$J$259,'情景批次'!$A$5:$A$259,A15)</x:f>
        <x:v>67.2287315236232</x:v>
      </x:c>
      <x:c r="F15" s="21" t="n">
        <x:f>SUMIFS('情景批次'!$K$5:$K$259,'情景批次'!$A$5:$A$259,A15)</x:f>
        <x:v>36586.686323583126</x:v>
      </x:c>
      <x:c r="G15" s="25" t="n">
        <x:f>F15/3600</x:f>
        <x:v>10.162968423217535</x:v>
      </x:c>
      <x:c r="H15" s="19" t="str">
        <x:v>0 / 9 / 11</x:v>
      </x:c>
      <x:c r="I15" s="21" t="n">
        <x:f>MIN('情景批次'!L170,'情景批次'!L171,'情景批次'!L172,'情景批次'!L173,'情景批次'!L174,'情景批次'!L175,'情景批次'!L176,'情景批次'!L177,'情景批次'!L178,'情景批次'!L179,'情景批次'!L180,'情景批次'!L181,'情景批次'!L182,'情景批次'!L183,'情景批次'!L184,'情景批次'!L185,'情景批次'!L186,'情景批次'!L187,'情景批次'!L188,'情景批次'!L189)</x:f>
        <x:v>31.019547278321667</x:v>
      </x:c>
      <x:c r="J15" s="19" t="n">
        <x:f>D15-$D$10</x:f>
        <x:v>2</x:v>
      </x:c>
      <x:c r="K15" s="25" t="n">
        <x:f>E15-$E$10</x:f>
        <x:v>8.096471197630436</x:v>
      </x:c>
      <x:c r="L15" s="21" t="n">
        <x:f>F15-$F$10</x:f>
        <x:v>3810.1695413062334</x:v>
      </x:c>
      <x:c r="M15" s="27" t="str">
        <x:v>R005</x:v>
      </x:c>
      <x:c r="N15" s="16"/>
      <x:c r="O15" s="2"/>
      <x:c r="P15" s="2" t="str">
        <x:f>IF(B15=INT(B15),TEXT(B15,"0"),TEXT(B15,"0.######"))&amp;"%"</x:f>
        <x:v>30%</x:v>
      </x:c>
      <x:c r="Q15" s="2" t="n">
        <x:f>D15</x:f>
        <x:v>20</x:v>
      </x:c>
      <x:c r="R15" s="2" t="n">
        <x:f>E15</x:f>
        <x:v>67.2287315236232</x:v>
      </x:c>
      <x:c r="S15" s="2" t="n">
        <x:f>G15</x:f>
        <x:v>10.162968423217535</x:v>
      </x:c>
    </x:row>
    <x:row r="16" ht="31" customHeight="1">
      <x:c r="A16" s="2" t="str">
        <x:v>SC011</x:v>
      </x:c>
      <x:c r="B16" s="14" t="n">
        <x:v>32.5</x:v>
      </x:c>
      <x:c r="C16" s="26" t="str">
        <x:v>可行</x:v>
      </x:c>
      <x:c r="D16" s="18" t="n">
        <x:f>COUNTIFS('情景批次'!$A$5:$A$259,A16)</x:f>
        <x:v>20</x:v>
      </x:c>
      <x:c r="E16" s="24" t="n">
        <x:f>SUMIFS('情景批次'!$J$5:$J$259,'情景批次'!$A$5:$A$259,A16)</x:f>
        <x:v>74.29464357072257</x:v>
      </x:c>
      <x:c r="F16" s="20" t="n">
        <x:f>SUMIFS('情景批次'!$K$5:$K$259,'情景批次'!$A$5:$A$259,A16)</x:f>
        <x:v>36919.819488052526</x:v>
      </x:c>
      <x:c r="G16" s="24" t="n">
        <x:f>F16/3600</x:f>
        <x:v>10.255505413347924</x:v>
      </x:c>
      <x:c r="H16" s="18" t="str">
        <x:v>0 / 6 / 14</x:v>
      </x:c>
      <x:c r="I16" s="20" t="n">
        <x:f>MIN('情景批次'!L190,'情景批次'!L191,'情景批次'!L192,'情景批次'!L193,'情景批次'!L194,'情景批次'!L195,'情景批次'!L196,'情景批次'!L197,'情景批次'!L198,'情景批次'!L199,'情景批次'!L200,'情景批次'!L201,'情景批次'!L202,'情景批次'!L203,'情景批次'!L204,'情景批次'!L205,'情景批次'!L206,'情景批次'!L207,'情景批次'!L208,'情景批次'!L209)</x:f>
        <x:v>33.625670586616486</x:v>
      </x:c>
      <x:c r="J16" s="18" t="n">
        <x:f>D16-$D$10</x:f>
        <x:v>2</x:v>
      </x:c>
      <x:c r="K16" s="24" t="n">
        <x:f>E16-$E$10</x:f>
        <x:v>15.16238324472981</x:v>
      </x:c>
      <x:c r="L16" s="20" t="n">
        <x:f>F16-$F$10</x:f>
        <x:v>4143.3027057756335</x:v>
      </x:c>
      <x:c r="M16" s="26" t="str">
        <x:v>R010</x:v>
      </x:c>
      <x:c r="N16" s="13"/>
      <x:c r="O16" s="2"/>
      <x:c r="P16" s="2" t="str">
        <x:f>IF(B16=INT(B16),TEXT(B16,"0"),TEXT(B16,"0.######"))&amp;"%"</x:f>
        <x:v>32.5%</x:v>
      </x:c>
      <x:c r="Q16" s="2" t="n">
        <x:f>D16</x:f>
        <x:v>20</x:v>
      </x:c>
      <x:c r="R16" s="2" t="n">
        <x:f>E16</x:f>
        <x:v>74.29464357072257</x:v>
      </x:c>
      <x:c r="S16" s="2" t="n">
        <x:f>G16</x:f>
        <x:v>10.255505413347924</x:v>
      </x:c>
    </x:row>
    <x:row r="17" ht="31" customHeight="1">
      <x:c r="A17" s="15" t="str">
        <x:v>SC012</x:v>
      </x:c>
      <x:c r="B17" s="17" t="n">
        <x:v>35</x:v>
      </x:c>
      <x:c r="C17" s="27" t="str">
        <x:v>可行</x:v>
      </x:c>
      <x:c r="D17" s="19" t="n">
        <x:f>COUNTIFS('情景批次'!$A$5:$A$259,A17)</x:f>
        <x:v>25</x:v>
      </x:c>
      <x:c r="E17" s="25" t="n">
        <x:f>SUMIFS('情景批次'!$J$5:$J$259,'情景批次'!$A$5:$A$259,A17)</x:f>
        <x:v>75.60892914897875</x:v>
      </x:c>
      <x:c r="F17" s="21" t="n">
        <x:f>SUMIFS('情景批次'!$K$5:$K$259,'情景批次'!$A$5:$A$259,A17)</x:f>
        <x:v>45384.20769711529</x:v>
      </x:c>
      <x:c r="G17" s="25" t="n">
        <x:f>F17/3600</x:f>
        <x:v>12.606724360309803</x:v>
      </x:c>
      <x:c r="H17" s="19" t="str">
        <x:v>0 / 15 / 10</x:v>
      </x:c>
      <x:c r="I17" s="21" t="n">
        <x:f>MIN('情景批次'!L210,'情景批次'!L211,'情景批次'!L212,'情景批次'!L213,'情景批次'!L214,'情景批次'!L215,'情景批次'!L216,'情景批次'!L217,'情景批次'!L218,'情景批次'!L219,'情景批次'!L220,'情景批次'!L221,'情景批次'!L222,'情景批次'!L223,'情景批次'!L224,'情景批次'!L225,'情景批次'!L226,'情景批次'!L227,'情景批次'!L228,'情景批次'!L229,'情景批次'!L230,'情景批次'!L231,'情景批次'!L232,'情景批次'!L233,'情景批次'!L234)</x:f>
        <x:v>35.11850882805334</x:v>
      </x:c>
      <x:c r="J17" s="19" t="n">
        <x:f>D17-$D$10</x:f>
        <x:v>7</x:v>
      </x:c>
      <x:c r="K17" s="25" t="n">
        <x:f>E17-$E$10</x:f>
        <x:v>16.476668822985985</x:v>
      </x:c>
      <x:c r="L17" s="21" t="n">
        <x:f>F17-$F$10</x:f>
        <x:v>12607.6909148384</x:v>
      </x:c>
      <x:c r="M17" s="27" t="str">
        <x:v>R017</x:v>
      </x:c>
      <x:c r="N17" s="16"/>
      <x:c r="O17" s="2"/>
      <x:c r="P17" s="2" t="str">
        <x:f>IF(B17=INT(B17),TEXT(B17,"0"),TEXT(B17,"0.######"))&amp;"%"</x:f>
        <x:v>35%</x:v>
      </x:c>
      <x:c r="Q17" s="2" t="n">
        <x:f>D17</x:f>
        <x:v>25</x:v>
      </x:c>
      <x:c r="R17" s="2" t="n">
        <x:f>E17</x:f>
        <x:v>75.60892914897875</x:v>
      </x:c>
      <x:c r="S17" s="2" t="n">
        <x:f>G17</x:f>
        <x:v>12.606724360309803</x:v>
      </x:c>
    </x:row>
    <x:row r="18" ht="31" customHeight="1">
      <x:c r="A18" s="2" t="str">
        <x:v>SC013</x:v>
      </x:c>
      <x:c r="B18" s="14" t="n">
        <x:v>35.26764734919061</x:v>
      </x:c>
      <x:c r="C18" s="26" t="str">
        <x:v>可行</x:v>
      </x:c>
      <x:c r="D18" s="18" t="n">
        <x:f>COUNTIFS('情景批次'!$A$5:$A$259,A18)</x:f>
        <x:v>25</x:v>
      </x:c>
      <x:c r="E18" s="24" t="n">
        <x:f>SUMIFS('情景批次'!$J$5:$J$259,'情景批次'!$A$5:$A$259,A18)</x:f>
        <x:v>83.20918878330643</x:v>
      </x:c>
      <x:c r="F18" s="20" t="n">
        <x:f>SUMIFS('情景批次'!$K$5:$K$259,'情景批次'!$A$5:$A$259,A18)</x:f>
        <x:v>45693.36030738548</x:v>
      </x:c>
      <x:c r="G18" s="24" t="n">
        <x:f>F18/3600</x:f>
        <x:v>12.692600085384857</x:v>
      </x:c>
      <x:c r="H18" s="18" t="str">
        <x:v>0 / 12 / 13</x:v>
      </x:c>
      <x:c r="I18" s="20" t="n">
        <x:f>MIN('情景批次'!L235,'情景批次'!L236,'情景批次'!L237,'情景批次'!L238,'情景批次'!L239,'情景批次'!L240,'情景批次'!L241,'情景批次'!L242,'情景批次'!L243,'情景批次'!L244,'情景批次'!L245,'情景批次'!L246,'情景批次'!L247,'情景批次'!L248,'情景批次'!L249,'情景批次'!L250,'情景批次'!L251,'情景批次'!L252,'情景批次'!L253,'情景批次'!L254,'情景批次'!L255,'情景批次'!L256,'情景批次'!L257,'情景批次'!L258,'情景批次'!L259)</x:f>
        <x:v>35.26764734919061</x:v>
      </x:c>
      <x:c r="J18" s="18" t="n">
        <x:f>D18-$D$10</x:f>
        <x:v>7</x:v>
      </x:c>
      <x:c r="K18" s="24" t="n">
        <x:f>E18-$E$10</x:f>
        <x:v>24.07692845731367</x:v>
      </x:c>
      <x:c r="L18" s="20" t="n">
        <x:f>F18-$F$10</x:f>
        <x:v>12916.84352510859</x:v>
      </x:c>
      <x:c r="M18" s="26" t="str">
        <x:v>R019</x:v>
      </x:c>
      <x:c r="N18" s="13"/>
      <x:c r="O18" s="2"/>
      <x:c r="P18" s="2" t="str">
        <x:f>IF(B18=INT(B18),TEXT(B18,"0"),TEXT(B18,"0.######"))&amp;"%"</x:f>
        <x:v>35.267647%</x:v>
      </x:c>
      <x:c r="Q18" s="2" t="n">
        <x:f>D18</x:f>
        <x:v>25</x:v>
      </x:c>
      <x:c r="R18" s="2" t="n">
        <x:f>E18</x:f>
        <x:v>83.20918878330643</x:v>
      </x:c>
      <x:c r="S18" s="2" t="n">
        <x:f>G18</x:f>
        <x:v>12.692600085384857</x:v>
      </x:c>
    </x:row>
    <x:row r="19" ht="44" customHeight="1">
      <x:c r="A19" s="15" t="str">
        <x:v>SC014</x:v>
      </x:c>
      <x:c r="B19" s="17" t="n">
        <x:v>36</x:v>
      </x:c>
      <x:c r="C19" s="27" t="str">
        <x:v>不可行</x:v>
      </x:c>
      <x:c r="D19" s="19"/>
      <x:c r="E19" s="25"/>
      <x:c r="F19" s="21"/>
      <x:c r="G19" s="25"/>
      <x:c r="H19" s="19"/>
      <x:c r="I19" s="21"/>
      <x:c r="J19" s="19"/>
      <x:c r="K19" s="25"/>
      <x:c r="L19" s="21"/>
      <x:c r="M19" s="27"/>
      <x:c r="N19" s="16" t="str">
        <x:v>S008-WAT</x:v>
      </x:c>
      <x:c r="O19" s="2"/>
      <x:c r="P19" s="2"/>
      <x:c r="Q19" s="2"/>
      <x:c r="R19" s="2"/>
      <x:c r="S19" s="2"/>
    </x:row>
    <x:row r="20" ht="44" customHeight="1">
      <x:c r="A20" s="2" t="str">
        <x:v>SC015</x:v>
      </x:c>
      <x:c r="B20" s="14" t="n">
        <x:v>40</x:v>
      </x:c>
      <x:c r="C20" s="29" t="str">
        <x:v>不可行</x:v>
      </x:c>
      <x:c r="D20" s="18"/>
      <x:c r="E20" s="24"/>
      <x:c r="F20" s="20"/>
      <x:c r="G20" s="24"/>
      <x:c r="H20" s="18"/>
      <x:c r="I20" s="20"/>
      <x:c r="J20" s="18"/>
      <x:c r="K20" s="24"/>
      <x:c r="L20" s="20"/>
      <x:c r="M20" s="26"/>
      <x:c r="N20" s="13" t="str">
        <x:v>S004-WAT；S008-MED；S008-WAT；S008-FOD；S008-HYG</x:v>
      </x:c>
      <x:c r="O20" s="2"/>
      <x:c r="P20" s="2"/>
      <x:c r="Q20" s="2"/>
      <x:c r="R20" s="2"/>
      <x:c r="S20" s="2"/>
    </x:row>
    <x:row r="21" ht="88" customHeight="1">
      <x:c r="A21" s="15" t="str">
        <x:v>SC016</x:v>
      </x:c>
      <x:c r="B21" s="17" t="n">
        <x:v>45</x:v>
      </x:c>
      <x:c r="C21" s="27" t="str">
        <x:v>不可行</x:v>
      </x:c>
      <x:c r="D21" s="19"/>
      <x:c r="E21" s="25"/>
      <x:c r="F21" s="21"/>
      <x:c r="G21" s="25"/>
      <x:c r="H21" s="19"/>
      <x:c r="I21" s="21"/>
      <x:c r="J21" s="19"/>
      <x:c r="K21" s="25"/>
      <x:c r="L21" s="21"/>
      <x:c r="M21" s="27"/>
      <x:c r="N21" s="16" t="str">
        <x:v>S002-MED；S002-WAT；S002-FOD；S002-HYG；S003-MED；S003-WAT；S003-FOD；S003-HYG；S004-MED；S004-WAT；S004-FOD；S004-HYG；S008-MED；S008-WAT；S008-FOD；S008-HYG；S012-MED；S012-WAT；S012-FOD</x:v>
      </x:c>
      <x:c r="O21" s="2"/>
      <x:c r="P21" s="2"/>
      <x:c r="Q21" s="2"/>
      <x:c r="R21" s="2"/>
      <x:c r="S21" s="2"/>
    </x:row>
    <x:row r="22" ht="88" customHeight="1">
      <x:c r="A22" s="2" t="str">
        <x:v>SC017</x:v>
      </x:c>
      <x:c r="B22" s="14" t="n">
        <x:v>50</x:v>
      </x:c>
      <x:c r="C22" s="29" t="str">
        <x:v>不可行</x:v>
      </x:c>
      <x:c r="D22" s="18"/>
      <x:c r="E22" s="24"/>
      <x:c r="F22" s="20"/>
      <x:c r="G22" s="24"/>
      <x:c r="H22" s="18"/>
      <x:c r="I22" s="20"/>
      <x:c r="J22" s="18"/>
      <x:c r="K22" s="24"/>
      <x:c r="L22" s="20"/>
      <x:c r="M22" s="26"/>
      <x:c r="N22" s="13" t="str">
        <x:v>S002-MED；S002-WAT；S002-FOD；S002-HYG；S003-MED；S003-WAT；S003-FOD；S003-HYG；S004-MED；S004-WAT；S004-FOD；S004-HYG；S008-MED；S008-WAT；S008-FOD；S008-HYG；S012-MED；S012-WAT；S012-FOD</x:v>
      </x:c>
      <x:c r="O22" s="2"/>
      <x:c r="P22" s="2"/>
      <x:c r="Q22" s="2"/>
      <x:c r="R22" s="2"/>
      <x:c r="S22" s="2"/>
    </x:row>
    <x:row r="23" ht="136" customHeight="1">
      <x:c r="A23" s="15" t="str">
        <x:v>SC018</x:v>
      </x:c>
      <x:c r="B23" s="17" t="n">
        <x:v>60</x:v>
      </x:c>
      <x:c r="C23" s="27" t="str">
        <x:v>不可行</x:v>
      </x:c>
      <x:c r="D23" s="19"/>
      <x:c r="E23" s="25"/>
      <x:c r="F23" s="21"/>
      <x:c r="G23" s="25"/>
      <x:c r="H23" s="19"/>
      <x:c r="I23" s="21"/>
      <x:c r="J23" s="19"/>
      <x:c r="K23" s="25"/>
      <x:c r="L23" s="21"/>
      <x:c r="M23" s="27"/>
      <x:c r="N23" s="16" t="str">
        <x:v>S002-MED；S002-WAT；S002-FOD；S002-HYG；S003-MED；S003-WAT；S003-FOD；S003-HYG；S004-MED；S004-WAT；S004-FOD；S004-HYG；S005-MED；S005-WAT；S005-FOD；S005-HYG；S008-MED；S008-WAT；S008-FOD；S008-HYG；S009-MED；S009-WAT；S009-FOD；S012-MED；S012-WAT；S012-FOD；S014-MED；S014-WAT；S014-FOD；S015-MED；S015-WAT；S015-FOD</x:v>
      </x:c>
      <x:c r="O23" s="2"/>
      <x:c r="P23" s="2"/>
      <x:c r="Q23" s="2"/>
      <x:c r="R23" s="2"/>
      <x:c r="S23" s="2"/>
    </x:row>
    <x:row r="24" ht="27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7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7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7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7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7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7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8" customHeight="1">
      <x:c r="A42" s="12" t="str">
        <x:v>柱状图按情景分类比较；真实最优组批在临界值处离散改变，精确范围与端点规则见临界区间表。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7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7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7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7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</x:sheetData>
  <x:pageMargins left="0.7" right="0.7" top="0.75" bottom="0.75" header="0.3" footer="0.3"/>
  <x:drawing xmlns:r="http://schemas.openxmlformats.org/officeDocument/2006/relationships" r:id="R6cf3ae9fa8ff49a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5" hidden="0" customWidth="1"/>
    <x:col min="2" max="2" width="8.630000114440918" hidden="0" customWidth="1"/>
    <x:col min="3" max="3" width="13" hidden="0" customWidth="1"/>
    <x:col min="4" max="4" width="18.75" hidden="0" customWidth="1"/>
    <x:col min="5" max="5" width="18.75" hidden="0" customWidth="1"/>
    <x:col min="18" max="18" width="12.5" hidden="0" customWidth="1"/>
    <x:col min="19" max="19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2.5" hidden="0" customWidth="1"/>
    <x:col min="15" max="15" width="12.5" hidden="0" customWidth="1"/>
    <x:col min="16" max="16" width="12.5" hidden="0" customWidth="1"/>
    <x:col min="17" max="17" width="12.5" hidden="0" customWidth="1"/>
  </x:cols>
  <x:sheetData>
    <x:row r="1" ht="32" customHeight="1">
      <x:c r="A1" s="3" t="str">
        <x:v>45个服务区—机型组合的最大安全载荷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12" t="str">
        <x:v>qmax单位为kg；空白表示空载往返不可行。连续质量上限还需结合体积和不可拆箱约束使用。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44" customHeight="1">
      <x:c r="A4" s="8" t="str">
        <x:v>服务区</x:v>
      </x:c>
      <x:c r="B4" s="9" t="str">
        <x:v>机型</x:v>
      </x:c>
      <x:c r="C4" s="9" t="str">
        <x:v>额定载荷（kg）</x:v>
      </x:c>
      <x:c r="D4" s="9" t="str">
        <x:v>满载可行余量上限（%）</x:v>
      </x:c>
      <x:c r="E4" s="9" t="str">
        <x:v>空载可行余量上限（%）</x:v>
      </x:c>
      <x:c r="F4" s="9" t="str">
        <x:v>rho=0%</x:v>
      </x:c>
      <x:c r="G4" s="9" t="str">
        <x:v>rho=5%</x:v>
      </x:c>
      <x:c r="H4" s="9" t="str">
        <x:v>rho=10%</x:v>
      </x:c>
      <x:c r="I4" s="9" t="str">
        <x:v>rho=15%</x:v>
      </x:c>
      <x:c r="J4" s="9" t="str">
        <x:v>rho=20%</x:v>
      </x:c>
      <x:c r="K4" s="9" t="str">
        <x:v>rho=25%</x:v>
      </x:c>
      <x:c r="L4" s="9" t="str">
        <x:v>rho=30%</x:v>
      </x:c>
      <x:c r="M4" s="9" t="str">
        <x:v>rho=35%</x:v>
      </x:c>
      <x:c r="N4" s="9" t="str">
        <x:v>rho=40%</x:v>
      </x:c>
      <x:c r="O4" s="9" t="str">
        <x:v>rho=45%</x:v>
      </x:c>
      <x:c r="P4" s="9" t="str">
        <x:v>rho=50%</x:v>
      </x:c>
      <x:c r="Q4" s="10" t="str">
        <x:v>rho=60%</x:v>
      </x:c>
      <x:c r="R4" s="2"/>
      <x:c r="S4" s="2"/>
    </x:row>
    <x:row r="5" ht="27" customHeight="1">
      <x:c r="A5" s="2" t="str">
        <x:v>S001</x:v>
      </x:c>
      <x:c r="B5" s="2" t="str">
        <x:v>A</x:v>
      </x:c>
      <x:c r="C5" s="18" t="n">
        <x:v>25</x:v>
      </x:c>
      <x:c r="D5" s="38" t="n">
        <x:v>70.82866130264864</x:v>
      </x:c>
      <x:c r="E5" s="38" t="n">
        <x:v>74.18821075903834</x:v>
      </x:c>
      <x:c r="F5" s="22" t="n">
        <x:v>25</x:v>
      </x:c>
      <x:c r="G5" s="22" t="n">
        <x:v>25</x:v>
      </x:c>
      <x:c r="H5" s="22" t="n">
        <x:v>25</x:v>
      </x:c>
      <x:c r="I5" s="22" t="n">
        <x:v>25</x:v>
      </x:c>
      <x:c r="J5" s="22" t="n">
        <x:v>25</x:v>
      </x:c>
      <x:c r="K5" s="22" t="n">
        <x:v>25</x:v>
      </x:c>
      <x:c r="L5" s="22" t="n">
        <x:v>25</x:v>
      </x:c>
      <x:c r="M5" s="22" t="n">
        <x:v>25</x:v>
      </x:c>
      <x:c r="N5" s="22" t="n">
        <x:v>25</x:v>
      </x:c>
      <x:c r="O5" s="22" t="n">
        <x:v>25</x:v>
      </x:c>
      <x:c r="P5" s="22" t="n">
        <x:v>25</x:v>
      </x:c>
      <x:c r="Q5" s="22" t="n">
        <x:v>25</x:v>
      </x:c>
      <x:c r="R5" s="2"/>
      <x:c r="S5" s="2"/>
    </x:row>
    <x:row r="6" ht="27" customHeight="1">
      <x:c r="A6" s="15" t="str">
        <x:v>S001</x:v>
      </x:c>
      <x:c r="B6" s="15" t="str">
        <x:v>B</x:v>
      </x:c>
      <x:c r="C6" s="19" t="n">
        <x:v>30</x:v>
      </x:c>
      <x:c r="D6" s="39" t="n">
        <x:v>68.15147570379617</x:v>
      </x:c>
      <x:c r="E6" s="39" t="n">
        <x:v>76.74435597704931</x:v>
      </x:c>
      <x:c r="F6" s="23" t="n">
        <x:v>30</x:v>
      </x:c>
      <x:c r="G6" s="23" t="n">
        <x:v>30</x:v>
      </x:c>
      <x:c r="H6" s="23" t="n">
        <x:v>30</x:v>
      </x:c>
      <x:c r="I6" s="23" t="n">
        <x:v>30</x:v>
      </x:c>
      <x:c r="J6" s="23" t="n">
        <x:v>30</x:v>
      </x:c>
      <x:c r="K6" s="23" t="n">
        <x:v>30</x:v>
      </x:c>
      <x:c r="L6" s="23" t="n">
        <x:v>30</x:v>
      </x:c>
      <x:c r="M6" s="23" t="n">
        <x:v>30</x:v>
      </x:c>
      <x:c r="N6" s="23" t="n">
        <x:v>30</x:v>
      </x:c>
      <x:c r="O6" s="23" t="n">
        <x:v>30</x:v>
      </x:c>
      <x:c r="P6" s="23" t="n">
        <x:v>30</x:v>
      </x:c>
      <x:c r="Q6" s="23" t="n">
        <x:v>30</x:v>
      </x:c>
      <x:c r="R6" s="2"/>
      <x:c r="S6" s="2"/>
    </x:row>
    <x:row r="7" ht="27" customHeight="1">
      <x:c r="A7" s="2" t="str">
        <x:v>S001</x:v>
      </x:c>
      <x:c r="B7" s="2" t="str">
        <x:v>C</x:v>
      </x:c>
      <x:c r="C7" s="18" t="n">
        <x:v>80</x:v>
      </x:c>
      <x:c r="D7" s="38" t="n">
        <x:v>61.478695491671</x:v>
      </x:c>
      <x:c r="E7" s="38" t="n">
        <x:v>75.73259410464861</x:v>
      </x:c>
      <x:c r="F7" s="22" t="n">
        <x:v>80</x:v>
      </x:c>
      <x:c r="G7" s="22" t="n">
        <x:v>80</x:v>
      </x:c>
      <x:c r="H7" s="22" t="n">
        <x:v>80</x:v>
      </x:c>
      <x:c r="I7" s="22" t="n">
        <x:v>80</x:v>
      </x:c>
      <x:c r="J7" s="22" t="n">
        <x:v>80</x:v>
      </x:c>
      <x:c r="K7" s="22" t="n">
        <x:v>80</x:v>
      </x:c>
      <x:c r="L7" s="22" t="n">
        <x:v>80</x:v>
      </x:c>
      <x:c r="M7" s="22" t="n">
        <x:v>80</x:v>
      </x:c>
      <x:c r="N7" s="22" t="n">
        <x:v>80</x:v>
      </x:c>
      <x:c r="O7" s="22" t="n">
        <x:v>80</x:v>
      </x:c>
      <x:c r="P7" s="22" t="n">
        <x:v>80</x:v>
      </x:c>
      <x:c r="Q7" s="22" t="n">
        <x:v>80</x:v>
      </x:c>
      <x:c r="R7" s="2"/>
      <x:c r="S7" s="2"/>
    </x:row>
    <x:row r="8" ht="27" customHeight="1">
      <x:c r="A8" s="15" t="str">
        <x:v>S002</x:v>
      </x:c>
      <x:c r="B8" s="15" t="str">
        <x:v>A</x:v>
      </x:c>
      <x:c r="C8" s="19" t="n">
        <x:v>25</x:v>
      </x:c>
      <x:c r="D8" s="39" t="n">
        <x:v>31.322006052488593</x:v>
      </x:c>
      <x:c r="E8" s="39" t="n">
        <x:v>39.114519168653786</x:v>
      </x:c>
      <x:c r="F8" s="23" t="n">
        <x:v>25</x:v>
      </x:c>
      <x:c r="G8" s="23" t="n">
        <x:v>25</x:v>
      </x:c>
      <x:c r="H8" s="23" t="n">
        <x:v>25</x:v>
      </x:c>
      <x:c r="I8" s="23" t="n">
        <x:v>25</x:v>
      </x:c>
      <x:c r="J8" s="23" t="n">
        <x:v>25</x:v>
      </x:c>
      <x:c r="K8" s="23" t="n">
        <x:v>25</x:v>
      </x:c>
      <x:c r="L8" s="23" t="n">
        <x:v>25</x:v>
      </x:c>
      <x:c r="M8" s="23" t="n">
        <x:v>17.283795028924942</x:v>
      </x:c>
      <x:c r="N8" s="23"/>
      <x:c r="O8" s="23"/>
      <x:c r="P8" s="23"/>
      <x:c r="Q8" s="23"/>
      <x:c r="R8" s="2"/>
      <x:c r="S8" s="2"/>
    </x:row>
    <x:row r="9" ht="27" customHeight="1">
      <x:c r="A9" s="2" t="str">
        <x:v>S002</x:v>
      </x:c>
      <x:c r="B9" s="2" t="str">
        <x:v>B</x:v>
      </x:c>
      <x:c r="C9" s="18" t="n">
        <x:v>30</x:v>
      </x:c>
      <x:c r="D9" s="38" t="n">
        <x:v>25.029492203099537</x:v>
      </x:c>
      <x:c r="E9" s="38" t="n">
        <x:v>45.396136977298404</x:v>
      </x:c>
      <x:c r="F9" s="22" t="n">
        <x:v>30</x:v>
      </x:c>
      <x:c r="G9" s="22" t="n">
        <x:v>30</x:v>
      </x:c>
      <x:c r="H9" s="22" t="n">
        <x:v>30</x:v>
      </x:c>
      <x:c r="I9" s="22" t="n">
        <x:v>30</x:v>
      </x:c>
      <x:c r="J9" s="22" t="n">
        <x:v>30</x:v>
      </x:c>
      <x:c r="K9" s="22" t="n">
        <x:v>30</x:v>
      </x:c>
      <x:c r="L9" s="22" t="n">
        <x:v>26.74493283033371</x:v>
      </x:c>
      <x:c r="M9" s="22" t="n">
        <x:v>22.290045619010925</x:v>
      </x:c>
      <x:c r="N9" s="22" t="n">
        <x:v>15.70065826177597</x:v>
      </x:c>
      <x:c r="O9" s="22" t="n">
        <x:v>2.9051560163497925</x:v>
      </x:c>
      <x:c r="P9" s="22"/>
      <x:c r="Q9" s="22"/>
      <x:c r="R9" s="2"/>
      <x:c r="S9" s="2"/>
    </x:row>
    <x:row r="10" ht="27" customHeight="1">
      <x:c r="A10" s="15" t="str">
        <x:v>S002</x:v>
      </x:c>
      <x:c r="B10" s="15" t="str">
        <x:v>C</x:v>
      </x:c>
      <x:c r="C10" s="19" t="n">
        <x:v>80</x:v>
      </x:c>
      <x:c r="D10" s="39" t="n">
        <x:v>8.150655640908278</x:v>
      </x:c>
      <x:c r="E10" s="39" t="n">
        <x:v>42.093300883937076</x:v>
      </x:c>
      <x:c r="F10" s="23" t="n">
        <x:v>80</x:v>
      </x:c>
      <x:c r="G10" s="23" t="n">
        <x:v>80</x:v>
      </x:c>
      <x:c r="H10" s="23" t="n">
        <x:v>78.59221816062927</x:v>
      </x:c>
      <x:c r="I10" s="23" t="n">
        <x:v>74.23927307128906</x:v>
      </x:c>
      <x:c r="J10" s="23" t="n">
        <x:v>68.85810375213623</x:v>
      </x:c>
      <x:c r="K10" s="23" t="n">
        <x:v>62.012723088264465</x:v>
      </x:c>
      <x:c r="L10" s="23" t="n">
        <x:v>52.94820785522461</x:v>
      </x:c>
      <x:c r="M10" s="23" t="n">
        <x:v>40.14873266220093</x:v>
      </x:c>
      <x:c r="N10" s="23" t="n">
        <x:v>19.212015867233276</x:v>
      </x:c>
      <x:c r="O10" s="23"/>
      <x:c r="P10" s="23"/>
      <x:c r="Q10" s="23"/>
      <x:c r="R10" s="2"/>
      <x:c r="S10" s="2"/>
    </x:row>
    <x:row r="11" ht="27" customHeight="1">
      <x:c r="A11" s="2" t="str">
        <x:v>S003</x:v>
      </x:c>
      <x:c r="B11" s="2" t="str">
        <x:v>A</x:v>
      </x:c>
      <x:c r="C11" s="18" t="n">
        <x:v>25</x:v>
      </x:c>
      <x:c r="D11" s="38" t="n">
        <x:v>29.84404335999259</x:v>
      </x:c>
      <x:c r="E11" s="38" t="n">
        <x:v>38.020316175391876</x:v>
      </x:c>
      <x:c r="F11" s="22" t="n">
        <x:v>25</x:v>
      </x:c>
      <x:c r="G11" s="22" t="n">
        <x:v>25</x:v>
      </x:c>
      <x:c r="H11" s="22" t="n">
        <x:v>25</x:v>
      </x:c>
      <x:c r="I11" s="22" t="n">
        <x:v>25</x:v>
      </x:c>
      <x:c r="J11" s="22" t="n">
        <x:v>25</x:v>
      </x:c>
      <x:c r="K11" s="22" t="n">
        <x:v>25</x:v>
      </x:c>
      <x:c r="L11" s="22" t="n">
        <x:v>24.730003625154495</x:v>
      </x:c>
      <x:c r="M11" s="22" t="n">
        <x:v>13.567428290843964</x:v>
      </x:c>
      <x:c r="N11" s="22"/>
      <x:c r="O11" s="22"/>
      <x:c r="P11" s="22"/>
      <x:c r="Q11" s="22"/>
      <x:c r="R11" s="2"/>
      <x:c r="S11" s="2"/>
    </x:row>
    <x:row r="12" ht="27" customHeight="1">
      <x:c r="A12" s="15" t="str">
        <x:v>S003</x:v>
      </x:c>
      <x:c r="B12" s="15" t="str">
        <x:v>B</x:v>
      </x:c>
      <x:c r="C12" s="19" t="n">
        <x:v>30</x:v>
      </x:c>
      <x:c r="D12" s="39" t="n">
        <x:v>23.385246050402444</x:v>
      </x:c>
      <x:c r="E12" s="39" t="n">
        <x:v>44.07372732265193</x:v>
      </x:c>
      <x:c r="F12" s="23" t="n">
        <x:v>30</x:v>
      </x:c>
      <x:c r="G12" s="23" t="n">
        <x:v>30</x:v>
      </x:c>
      <x:c r="H12" s="23" t="n">
        <x:v>30</x:v>
      </x:c>
      <x:c r="I12" s="23" t="n">
        <x:v>30</x:v>
      </x:c>
      <x:c r="J12" s="23" t="n">
        <x:v>30</x:v>
      </x:c>
      <x:c r="K12" s="23" t="n">
        <x:v>29.03374582529068</x:v>
      </x:c>
      <x:c r="L12" s="23" t="n">
        <x:v>25.42316436767578</x:v>
      </x:c>
      <x:c r="M12" s="23" t="n">
        <x:v>20.435295403003693</x:v>
      </x:c>
      <x:c r="N12" s="23" t="n">
        <x:v>12.85735309123993</x:v>
      </x:c>
      <x:c r="O12" s="23"/>
      <x:c r="P12" s="23"/>
      <x:c r="Q12" s="23"/>
      <x:c r="R12" s="2"/>
      <x:c r="S12" s="2"/>
    </x:row>
    <x:row r="13" ht="27" customHeight="1">
      <x:c r="A13" s="2" t="str">
        <x:v>S003</x:v>
      </x:c>
      <x:c r="B13" s="2" t="str">
        <x:v>C</x:v>
      </x:c>
      <x:c r="C13" s="18" t="n">
        <x:v>80</x:v>
      </x:c>
      <x:c r="D13" s="38" t="n">
        <x:v>7.714668322512452</x:v>
      </x:c>
      <x:c r="E13" s="38" t="n">
        <x:v>41.95116621643295</x:v>
      </x:c>
      <x:c r="F13" s="22" t="n">
        <x:v>80</x:v>
      </x:c>
      <x:c r="G13" s="22" t="n">
        <x:v>80</x:v>
      </x:c>
      <x:c r="H13" s="22" t="n">
        <x:v>78.22619259357452</x:v>
      </x:c>
      <x:c r="I13" s="22" t="n">
        <x:v>73.74640643596649</x:v>
      </x:c>
      <x:c r="J13" s="22" t="n">
        <x:v>68.1995415687561</x:v>
      </x:c>
      <x:c r="K13" s="22" t="n">
        <x:v>61.136136054992676</x:v>
      </x:c>
      <x:c r="L13" s="22" t="n">
        <x:v>51.78519666194916</x:v>
      </x:c>
      <x:c r="M13" s="22" t="n">
        <x:v>38.62098932266235</x:v>
      </x:c>
      <x:c r="N13" s="22" t="n">
        <x:v>17.27960705757141</x:v>
      </x:c>
      <x:c r="O13" s="22"/>
      <x:c r="P13" s="22"/>
      <x:c r="Q13" s="22"/>
      <x:c r="R13" s="2"/>
      <x:c r="S13" s="2"/>
    </x:row>
    <x:row r="14" ht="27" customHeight="1">
      <x:c r="A14" s="15" t="str">
        <x:v>S004</x:v>
      </x:c>
      <x:c r="B14" s="15" t="str">
        <x:v>A</x:v>
      </x:c>
      <x:c r="C14" s="19" t="n">
        <x:v>25</x:v>
      </x:c>
      <x:c r="D14" s="39" t="n">
        <x:v>27.406854795542333</x:v>
      </x:c>
      <x:c r="E14" s="39" t="n">
        <x:v>35.69018418591347</x:v>
      </x:c>
      <x:c r="F14" s="23" t="n">
        <x:v>25</x:v>
      </x:c>
      <x:c r="G14" s="23" t="n">
        <x:v>25</x:v>
      </x:c>
      <x:c r="H14" s="23" t="n">
        <x:v>25</x:v>
      </x:c>
      <x:c r="I14" s="23" t="n">
        <x:v>25</x:v>
      </x:c>
      <x:c r="J14" s="23" t="n">
        <x:v>25</x:v>
      </x:c>
      <x:c r="K14" s="23" t="n">
        <x:v>25</x:v>
      </x:c>
      <x:c r="L14" s="23" t="n">
        <x:v>20.1714925467968</x:v>
      </x:c>
      <x:c r="M14" s="23" t="n">
        <x:v>5.073702335357666</x:v>
      </x:c>
      <x:c r="N14" s="23"/>
      <x:c r="O14" s="23"/>
      <x:c r="P14" s="23"/>
      <x:c r="Q14" s="23"/>
      <x:c r="R14" s="2"/>
      <x:c r="S14" s="2"/>
    </x:row>
    <x:row r="15" ht="27" customHeight="1">
      <x:c r="A15" s="2" t="str">
        <x:v>S004</x:v>
      </x:c>
      <x:c r="B15" s="2" t="str">
        <x:v>B</x:v>
      </x:c>
      <x:c r="C15" s="18" t="n">
        <x:v>30</x:v>
      </x:c>
      <x:c r="D15" s="38" t="n">
        <x:v>20.755037686207956</x:v>
      </x:c>
      <x:c r="E15" s="38" t="n">
        <x:v>42.18703797898967</x:v>
      </x:c>
      <x:c r="F15" s="22" t="n">
        <x:v>30</x:v>
      </x:c>
      <x:c r="G15" s="22" t="n">
        <x:v>30</x:v>
      </x:c>
      <x:c r="H15" s="22" t="n">
        <x:v>30</x:v>
      </x:c>
      <x:c r="I15" s="22" t="n">
        <x:v>30</x:v>
      </x:c>
      <x:c r="J15" s="22" t="n">
        <x:v>30</x:v>
      </x:c>
      <x:c r="K15" s="22" t="n">
        <x:v>27.413001358509064</x:v>
      </x:c>
      <x:c r="L15" s="22" t="n">
        <x:v>23.44297617673874</x:v>
      </x:c>
      <x:c r="M15" s="22" t="n">
        <x:v>17.82777339220047</x:v>
      </x:c>
      <x:c r="N15" s="22" t="n">
        <x:v>8.66939127445221</x:v>
      </x:c>
      <x:c r="O15" s="22"/>
      <x:c r="P15" s="22"/>
      <x:c r="Q15" s="22"/>
      <x:c r="R15" s="2"/>
      <x:c r="S15" s="2"/>
    </x:row>
    <x:row r="16" ht="27" customHeight="1">
      <x:c r="A16" s="15" t="str">
        <x:v>S004</x:v>
      </x:c>
      <x:c r="B16" s="15" t="str">
        <x:v>C</x:v>
      </x:c>
      <x:c r="C16" s="19" t="n">
        <x:v>80</x:v>
      </x:c>
      <x:c r="D16" s="39" t="n">
        <x:v>3.559447017294748</x:v>
      </x:c>
      <x:c r="E16" s="39" t="n">
        <x:v>39.200174189984</x:v>
      </x:c>
      <x:c r="F16" s="23" t="n">
        <x:v>80</x:v>
      </x:c>
      <x:c r="G16" s="23" t="n">
        <x:v>78.95869493484497</x:v>
      </x:c>
      <x:c r="H16" s="23" t="n">
        <x:v>74.88516449928284</x:v>
      </x:c>
      <x:c r="I16" s="23" t="n">
        <x:v>69.91440713405609</x:v>
      </x:c>
      <x:c r="J16" s="23" t="n">
        <x:v>63.69825065135956</x:v>
      </x:c>
      <x:c r="K16" s="23" t="n">
        <x:v>55.66281259059906</x:v>
      </x:c>
      <x:c r="L16" s="23" t="n">
        <x:v>44.749258160591125</x:v>
      </x:c>
      <x:c r="M16" s="23" t="n">
        <x:v>28.49576473236084</x:v>
      </x:c>
      <x:c r="N16" s="23"/>
      <x:c r="O16" s="23"/>
      <x:c r="P16" s="23"/>
      <x:c r="Q16" s="23"/>
      <x:c r="R16" s="2"/>
      <x:c r="S16" s="2"/>
    </x:row>
    <x:row r="17" ht="27" customHeight="1">
      <x:c r="A17" s="2" t="str">
        <x:v>S005</x:v>
      </x:c>
      <x:c r="B17" s="2" t="str">
        <x:v>A</x:v>
      </x:c>
      <x:c r="C17" s="18" t="n">
        <x:v>25</x:v>
      </x:c>
      <x:c r="D17" s="38" t="n">
        <x:v>50.11411085804238</x:v>
      </x:c>
      <x:c r="E17" s="38" t="n">
        <x:v>55.81237572415614</x:v>
      </x:c>
      <x:c r="F17" s="22" t="n">
        <x:v>25</x:v>
      </x:c>
      <x:c r="G17" s="22" t="n">
        <x:v>25</x:v>
      </x:c>
      <x:c r="H17" s="22" t="n">
        <x:v>25</x:v>
      </x:c>
      <x:c r="I17" s="22" t="n">
        <x:v>25</x:v>
      </x:c>
      <x:c r="J17" s="22" t="n">
        <x:v>25</x:v>
      </x:c>
      <x:c r="K17" s="22" t="n">
        <x:v>25</x:v>
      </x:c>
      <x:c r="L17" s="22" t="n">
        <x:v>25</x:v>
      </x:c>
      <x:c r="M17" s="22" t="n">
        <x:v>25</x:v>
      </x:c>
      <x:c r="N17" s="22" t="n">
        <x:v>25</x:v>
      </x:c>
      <x:c r="O17" s="22" t="n">
        <x:v>25</x:v>
      </x:c>
      <x:c r="P17" s="22" t="n">
        <x:v>25</x:v>
      </x:c>
      <x:c r="Q17" s="22"/>
      <x:c r="R17" s="2"/>
      <x:c r="S17" s="2"/>
    </x:row>
    <x:row r="18" ht="27" customHeight="1">
      <x:c r="A18" s="15" t="str">
        <x:v>S005</x:v>
      </x:c>
      <x:c r="B18" s="15" t="str">
        <x:v>B</x:v>
      </x:c>
      <x:c r="C18" s="19" t="n">
        <x:v>30</x:v>
      </x:c>
      <x:c r="D18" s="39" t="n">
        <x:v>45.54355997183202</x:v>
      </x:c>
      <x:c r="E18" s="39" t="n">
        <x:v>60.251863017196484</x:v>
      </x:c>
      <x:c r="F18" s="23" t="n">
        <x:v>30</x:v>
      </x:c>
      <x:c r="G18" s="23" t="n">
        <x:v>30</x:v>
      </x:c>
      <x:c r="H18" s="23" t="n">
        <x:v>30</x:v>
      </x:c>
      <x:c r="I18" s="23" t="n">
        <x:v>30</x:v>
      </x:c>
      <x:c r="J18" s="23" t="n">
        <x:v>30</x:v>
      </x:c>
      <x:c r="K18" s="23" t="n">
        <x:v>30</x:v>
      </x:c>
      <x:c r="L18" s="23" t="n">
        <x:v>30</x:v>
      </x:c>
      <x:c r="M18" s="23" t="n">
        <x:v>30</x:v>
      </x:c>
      <x:c r="N18" s="23" t="n">
        <x:v>30</x:v>
      </x:c>
      <x:c r="O18" s="23" t="n">
        <x:v>30</x:v>
      </x:c>
      <x:c r="P18" s="23" t="n">
        <x:v>25.769942700862885</x:v>
      </x:c>
      <x:c r="Q18" s="23" t="n">
        <x:v>2.560676336288452</x:v>
      </x:c>
      <x:c r="R18" s="2"/>
      <x:c r="S18" s="2"/>
    </x:row>
    <x:row r="19" ht="27" customHeight="1">
      <x:c r="A19" s="2" t="str">
        <x:v>S005</x:v>
      </x:c>
      <x:c r="B19" s="2" t="str">
        <x:v>C</x:v>
      </x:c>
      <x:c r="C19" s="18" t="n">
        <x:v>80</x:v>
      </x:c>
      <x:c r="D19" s="38" t="n">
        <x:v>33.84196481273808</x:v>
      </x:c>
      <x:c r="E19" s="38" t="n">
        <x:v>58.28874375336663</x:v>
      </x:c>
      <x:c r="F19" s="22" t="n">
        <x:v>80</x:v>
      </x:c>
      <x:c r="G19" s="22" t="n">
        <x:v>80</x:v>
      </x:c>
      <x:c r="H19" s="22" t="n">
        <x:v>80</x:v>
      </x:c>
      <x:c r="I19" s="22" t="n">
        <x:v>80</x:v>
      </x:c>
      <x:c r="J19" s="22" t="n">
        <x:v>80</x:v>
      </x:c>
      <x:c r="K19" s="22" t="n">
        <x:v>80</x:v>
      </x:c>
      <x:c r="L19" s="22" t="n">
        <x:v>80</x:v>
      </x:c>
      <x:c r="M19" s="22" t="n">
        <x:v>78.7723833322525</x:v>
      </x:c>
      <x:c r="N19" s="22" t="n">
        <x:v>72.48139321804047</x:v>
      </x:c>
      <x:c r="O19" s="22" t="n">
        <x:v>63.91346037387848</x:v>
      </x:c>
      <x:c r="P19" s="22" t="n">
        <x:v>51.43826365470886</x:v>
      </x:c>
      <x:c r="Q19" s="22"/>
      <x:c r="R19" s="2"/>
      <x:c r="S19" s="2"/>
    </x:row>
    <x:row r="20" ht="27" customHeight="1">
      <x:c r="A20" s="15" t="str">
        <x:v>S006</x:v>
      </x:c>
      <x:c r="B20" s="15" t="str">
        <x:v>A</x:v>
      </x:c>
      <x:c r="C20" s="19" t="n">
        <x:v>25</x:v>
      </x:c>
      <x:c r="D20" s="39" t="n">
        <x:v>69.11816443363475</x:v>
      </x:c>
      <x:c r="E20" s="39" t="n">
        <x:v>72.805453000345</x:v>
      </x:c>
      <x:c r="F20" s="23" t="n">
        <x:v>25</x:v>
      </x:c>
      <x:c r="G20" s="23" t="n">
        <x:v>25</x:v>
      </x:c>
      <x:c r="H20" s="23" t="n">
        <x:v>25</x:v>
      </x:c>
      <x:c r="I20" s="23" t="n">
        <x:v>25</x:v>
      </x:c>
      <x:c r="J20" s="23" t="n">
        <x:v>25</x:v>
      </x:c>
      <x:c r="K20" s="23" t="n">
        <x:v>25</x:v>
      </x:c>
      <x:c r="L20" s="23" t="n">
        <x:v>25</x:v>
      </x:c>
      <x:c r="M20" s="23" t="n">
        <x:v>25</x:v>
      </x:c>
      <x:c r="N20" s="23" t="n">
        <x:v>25</x:v>
      </x:c>
      <x:c r="O20" s="23" t="n">
        <x:v>25</x:v>
      </x:c>
      <x:c r="P20" s="23" t="n">
        <x:v>25</x:v>
      </x:c>
      <x:c r="Q20" s="23" t="n">
        <x:v>25</x:v>
      </x:c>
      <x:c r="R20" s="2"/>
      <x:c r="S20" s="2"/>
    </x:row>
    <x:row r="21" ht="27" customHeight="1">
      <x:c r="A21" s="2" t="str">
        <x:v>S006</x:v>
      </x:c>
      <x:c r="B21" s="2" t="str">
        <x:v>B</x:v>
      </x:c>
      <x:c r="C21" s="18" t="n">
        <x:v>30</x:v>
      </x:c>
      <x:c r="D21" s="38" t="n">
        <x:v>66.24943414681861</x:v>
      </x:c>
      <x:c r="E21" s="38" t="n">
        <x:v>75.46036647285786</x:v>
      </x:c>
      <x:c r="F21" s="22" t="n">
        <x:v>30</x:v>
      </x:c>
      <x:c r="G21" s="22" t="n">
        <x:v>30</x:v>
      </x:c>
      <x:c r="H21" s="22" t="n">
        <x:v>30</x:v>
      </x:c>
      <x:c r="I21" s="22" t="n">
        <x:v>30</x:v>
      </x:c>
      <x:c r="J21" s="22" t="n">
        <x:v>30</x:v>
      </x:c>
      <x:c r="K21" s="22" t="n">
        <x:v>30</x:v>
      </x:c>
      <x:c r="L21" s="22" t="n">
        <x:v>30</x:v>
      </x:c>
      <x:c r="M21" s="22" t="n">
        <x:v>30</x:v>
      </x:c>
      <x:c r="N21" s="22" t="n">
        <x:v>30</x:v>
      </x:c>
      <x:c r="O21" s="22" t="n">
        <x:v>30</x:v>
      </x:c>
      <x:c r="P21" s="22" t="n">
        <x:v>30</x:v>
      </x:c>
      <x:c r="Q21" s="22" t="n">
        <x:v>30</x:v>
      </x:c>
      <x:c r="R21" s="2"/>
      <x:c r="S21" s="2"/>
    </x:row>
    <x:row r="22" ht="27" customHeight="1">
      <x:c r="A22" s="15" t="str">
        <x:v>S006</x:v>
      </x:c>
      <x:c r="B22" s="15" t="str">
        <x:v>C</x:v>
      </x:c>
      <x:c r="C22" s="19" t="n">
        <x:v>80</x:v>
      </x:c>
      <x:c r="D22" s="39" t="n">
        <x:v>59.334102642995965</x:v>
      </x:c>
      <x:c r="E22" s="39" t="n">
        <x:v>74.53311026118644</x:v>
      </x:c>
      <x:c r="F22" s="23" t="n">
        <x:v>80</x:v>
      </x:c>
      <x:c r="G22" s="23" t="n">
        <x:v>80</x:v>
      </x:c>
      <x:c r="H22" s="23" t="n">
        <x:v>80</x:v>
      </x:c>
      <x:c r="I22" s="23" t="n">
        <x:v>80</x:v>
      </x:c>
      <x:c r="J22" s="23" t="n">
        <x:v>80</x:v>
      </x:c>
      <x:c r="K22" s="23" t="n">
        <x:v>80</x:v>
      </x:c>
      <x:c r="L22" s="23" t="n">
        <x:v>80</x:v>
      </x:c>
      <x:c r="M22" s="23" t="n">
        <x:v>80</x:v>
      </x:c>
      <x:c r="N22" s="23" t="n">
        <x:v>80</x:v>
      </x:c>
      <x:c r="O22" s="23" t="n">
        <x:v>80</x:v>
      </x:c>
      <x:c r="P22" s="23" t="n">
        <x:v>80</x:v>
      </x:c>
      <x:c r="Q22" s="23" t="n">
        <x:v>78.84344220161438</x:v>
      </x:c>
      <x:c r="R22" s="2"/>
      <x:c r="S22" s="2"/>
    </x:row>
    <x:row r="23" ht="27" customHeight="1">
      <x:c r="A23" s="2" t="str">
        <x:v>S007</x:v>
      </x:c>
      <x:c r="B23" s="2" t="str">
        <x:v>A</x:v>
      </x:c>
      <x:c r="C23" s="18" t="n">
        <x:v>25</x:v>
      </x:c>
      <x:c r="D23" s="38" t="n">
        <x:v>55.15616686477751</x:v>
      </x:c>
      <x:c r="E23" s="38" t="n">
        <x:v>60.49859011506131</x:v>
      </x:c>
      <x:c r="F23" s="22" t="n">
        <x:v>25</x:v>
      </x:c>
      <x:c r="G23" s="22" t="n">
        <x:v>25</x:v>
      </x:c>
      <x:c r="H23" s="22" t="n">
        <x:v>25</x:v>
      </x:c>
      <x:c r="I23" s="22" t="n">
        <x:v>25</x:v>
      </x:c>
      <x:c r="J23" s="22" t="n">
        <x:v>25</x:v>
      </x:c>
      <x:c r="K23" s="22" t="n">
        <x:v>25</x:v>
      </x:c>
      <x:c r="L23" s="22" t="n">
        <x:v>25</x:v>
      </x:c>
      <x:c r="M23" s="22" t="n">
        <x:v>25</x:v>
      </x:c>
      <x:c r="N23" s="22" t="n">
        <x:v>25</x:v>
      </x:c>
      <x:c r="O23" s="22" t="n">
        <x:v>25</x:v>
      </x:c>
      <x:c r="P23" s="22" t="n">
        <x:v>25</x:v>
      </x:c>
      <x:c r="Q23" s="22" t="n">
        <x:v>5.0498902797698975</x:v>
      </x:c>
      <x:c r="R23" s="2"/>
      <x:c r="S23" s="2"/>
    </x:row>
    <x:row r="24" ht="27" customHeight="1">
      <x:c r="A24" s="15" t="str">
        <x:v>S007</x:v>
      </x:c>
      <x:c r="B24" s="15" t="str">
        <x:v>B</x:v>
      </x:c>
      <x:c r="C24" s="19" t="n">
        <x:v>30</x:v>
      </x:c>
      <x:c r="D24" s="39" t="n">
        <x:v>51.00460951446675</x:v>
      </x:c>
      <x:c r="E24" s="39" t="n">
        <x:v>64.24157684331632</x:v>
      </x:c>
      <x:c r="F24" s="23" t="n">
        <x:v>30</x:v>
      </x:c>
      <x:c r="G24" s="23" t="n">
        <x:v>30</x:v>
      </x:c>
      <x:c r="H24" s="23" t="n">
        <x:v>30</x:v>
      </x:c>
      <x:c r="I24" s="23" t="n">
        <x:v>30</x:v>
      </x:c>
      <x:c r="J24" s="23" t="n">
        <x:v>30</x:v>
      </x:c>
      <x:c r="K24" s="23" t="n">
        <x:v>30</x:v>
      </x:c>
      <x:c r="L24" s="23" t="n">
        <x:v>30</x:v>
      </x:c>
      <x:c r="M24" s="23" t="n">
        <x:v>30</x:v>
      </x:c>
      <x:c r="N24" s="23" t="n">
        <x:v>30</x:v>
      </x:c>
      <x:c r="O24" s="23" t="n">
        <x:v>30</x:v>
      </x:c>
      <x:c r="P24" s="23" t="n">
        <x:v>30</x:v>
      </x:c>
      <x:c r="Q24" s="23" t="n">
        <x:v>17.001226544380188</x:v>
      </x:c>
      <x:c r="R24" s="2"/>
      <x:c r="S24" s="2"/>
    </x:row>
    <x:row r="25" ht="27" customHeight="1">
      <x:c r="A25" s="2" t="str">
        <x:v>S007</x:v>
      </x:c>
      <x:c r="B25" s="2" t="str">
        <x:v>C</x:v>
      </x:c>
      <x:c r="C25" s="18" t="n">
        <x:v>80</x:v>
      </x:c>
      <x:c r="D25" s="38" t="n">
        <x:v>41.50487287058413</x:v>
      </x:c>
      <x:c r="E25" s="38" t="n">
        <x:v>63.306834231139085</x:v>
      </x:c>
      <x:c r="F25" s="22" t="n">
        <x:v>80</x:v>
      </x:c>
      <x:c r="G25" s="22" t="n">
        <x:v>80</x:v>
      </x:c>
      <x:c r="H25" s="22" t="n">
        <x:v>80</x:v>
      </x:c>
      <x:c r="I25" s="22" t="n">
        <x:v>80</x:v>
      </x:c>
      <x:c r="J25" s="22" t="n">
        <x:v>80</x:v>
      </x:c>
      <x:c r="K25" s="22" t="n">
        <x:v>80</x:v>
      </x:c>
      <x:c r="L25" s="22" t="n">
        <x:v>80</x:v>
      </x:c>
      <x:c r="M25" s="22" t="n">
        <x:v>80</x:v>
      </x:c>
      <x:c r="N25" s="22" t="n">
        <x:v>80</x:v>
      </x:c>
      <x:c r="O25" s="22" t="n">
        <x:v>75.39669394493103</x:v>
      </x:c>
      <x:c r="P25" s="22" t="n">
        <x:v>66.65425896644592</x:v>
      </x:c>
      <x:c r="Q25" s="22" t="n">
        <x:v>31.848825216293335</x:v>
      </x:c>
      <x:c r="R25" s="2"/>
      <x:c r="S25" s="2"/>
    </x:row>
    <x:row r="26" ht="27" customHeight="1">
      <x:c r="A26" s="15" t="str">
        <x:v>S008</x:v>
      </x:c>
      <x:c r="B26" s="15" t="str">
        <x:v>A</x:v>
      </x:c>
      <x:c r="C26" s="19" t="n">
        <x:v>25</x:v>
      </x:c>
      <x:c r="D26" s="39" t="n">
        <x:v>24.729100897210763</x:v>
      </x:c>
      <x:c r="E26" s="39" t="n">
        <x:v>33.3236181743511</x:v>
      </x:c>
      <x:c r="F26" s="23" t="n">
        <x:v>25</x:v>
      </x:c>
      <x:c r="G26" s="23" t="n">
        <x:v>25</x:v>
      </x:c>
      <x:c r="H26" s="23" t="n">
        <x:v>25</x:v>
      </x:c>
      <x:c r="I26" s="23" t="n">
        <x:v>25</x:v>
      </x:c>
      <x:c r="J26" s="23" t="n">
        <x:v>25</x:v>
      </x:c>
      <x:c r="K26" s="23" t="n">
        <x:v>24.563053995370865</x:v>
      </x:c>
      <x:c r="L26" s="23" t="n">
        <x:v>14.213552325963974</x:v>
      </x:c>
      <x:c r="M26" s="23"/>
      <x:c r="N26" s="23"/>
      <x:c r="O26" s="23"/>
      <x:c r="P26" s="23"/>
      <x:c r="Q26" s="23"/>
      <x:c r="R26" s="2"/>
      <x:c r="S26" s="2"/>
    </x:row>
    <x:row r="27" ht="27" customHeight="1">
      <x:c r="A27" s="2" t="str">
        <x:v>S008</x:v>
      </x:c>
      <x:c r="B27" s="2" t="str">
        <x:v>B</x:v>
      </x:c>
      <x:c r="C27" s="18" t="n">
        <x:v>30</x:v>
      </x:c>
      <x:c r="D27" s="38" t="n">
        <x:v>17.821068753133652</x:v>
      </x:c>
      <x:c r="E27" s="38" t="n">
        <x:v>40.15734238780637</x:v>
      </x:c>
      <x:c r="F27" s="22" t="n">
        <x:v>30</x:v>
      </x:c>
      <x:c r="G27" s="22" t="n">
        <x:v>30</x:v>
      </x:c>
      <x:c r="H27" s="22" t="n">
        <x:v>30</x:v>
      </x:c>
      <x:c r="I27" s="22" t="n">
        <x:v>30</x:v>
      </x:c>
      <x:c r="J27" s="22" t="n">
        <x:v>28.80136013031006</x:v>
      </x:c>
      <x:c r="K27" s="22" t="n">
        <x:v>25.480684340000153</x:v>
      </x:c>
      <x:c r="L27" s="22" t="n">
        <x:v>21.001091301441193</x:v>
      </x:c>
      <x:c r="M27" s="22" t="n">
        <x:v>14.44529414176941</x:v>
      </x:c>
      <x:c r="N27" s="22" t="n">
        <x:v>1.3978931307792664</x:v>
      </x:c>
      <x:c r="O27" s="22"/>
      <x:c r="P27" s="22"/>
      <x:c r="Q27" s="22"/>
      <x:c r="R27" s="2"/>
      <x:c r="S27" s="2"/>
    </x:row>
    <x:row r="28" ht="27" customHeight="1">
      <x:c r="A28" s="15" t="str">
        <x:v>S008</x:v>
      </x:c>
      <x:c r="B28" s="15" t="str">
        <x:v>C</x:v>
      </x:c>
      <x:c r="C28" s="19" t="n">
        <x:v>80</x:v>
      </x:c>
      <x:c r="D28" s="39" t="n">
        <x:v>-0.47498008429660565</x:v>
      </x:c>
      <x:c r="E28" s="39" t="n">
        <x:v>36.705170887197845</x:v>
      </x:c>
      <x:c r="F28" s="23" t="n">
        <x:v>79.67744767665863</x:v>
      </x:c>
      <x:c r="G28" s="23" t="n">
        <x:v>75.93930304050446</x:v>
      </x:c>
      <x:c r="H28" s="23" t="n">
        <x:v>71.4380270242691</x:v>
      </x:c>
      <x:c r="I28" s="23" t="n">
        <x:v>65.90244710445404</x:v>
      </x:c>
      <x:c r="J28" s="23" t="n">
        <x:v>58.904165625572205</x:v>
      </x:c>
      <x:c r="K28" s="23" t="n">
        <x:v>49.70434486865997</x:v>
      </x:c>
      <x:c r="L28" s="23" t="n">
        <x:v>36.813374161720276</x:v>
      </x:c>
      <x:c r="M28" s="23" t="n">
        <x:v>15.681818127632141</x:v>
      </x:c>
      <x:c r="N28" s="23"/>
      <x:c r="O28" s="23"/>
      <x:c r="P28" s="23"/>
      <x:c r="Q28" s="23"/>
      <x:c r="R28" s="2"/>
      <x:c r="S28" s="2"/>
    </x:row>
    <x:row r="29" ht="27" customHeight="1">
      <x:c r="A29" s="2" t="str">
        <x:v>S009</x:v>
      </x:c>
      <x:c r="B29" s="2" t="str">
        <x:v>A</x:v>
      </x:c>
      <x:c r="C29" s="18" t="n">
        <x:v>25</x:v>
      </x:c>
      <x:c r="D29" s="38" t="n">
        <x:v>46.95802637733637</x:v>
      </x:c>
      <x:c r="E29" s="38" t="n">
        <x:v>53.01125594456828</x:v>
      </x:c>
      <x:c r="F29" s="22" t="n">
        <x:v>25</x:v>
      </x:c>
      <x:c r="G29" s="22" t="n">
        <x:v>25</x:v>
      </x:c>
      <x:c r="H29" s="22" t="n">
        <x:v>25</x:v>
      </x:c>
      <x:c r="I29" s="22" t="n">
        <x:v>25</x:v>
      </x:c>
      <x:c r="J29" s="22" t="n">
        <x:v>25</x:v>
      </x:c>
      <x:c r="K29" s="22" t="n">
        <x:v>25</x:v>
      </x:c>
      <x:c r="L29" s="22" t="n">
        <x:v>25</x:v>
      </x:c>
      <x:c r="M29" s="22" t="n">
        <x:v>25</x:v>
      </x:c>
      <x:c r="N29" s="22" t="n">
        <x:v>25</x:v>
      </x:c>
      <x:c r="O29" s="22" t="n">
        <x:v>25</x:v>
      </x:c>
      <x:c r="P29" s="22" t="n">
        <x:v>16.637302935123444</x:v>
      </x:c>
      <x:c r="Q29" s="22"/>
      <x:c r="R29" s="2"/>
      <x:c r="S29" s="2"/>
    </x:row>
    <x:row r="30" ht="27" customHeight="1">
      <x:c r="A30" s="15" t="str">
        <x:v>S009</x:v>
      </x:c>
      <x:c r="B30" s="15" t="str">
        <x:v>B</x:v>
      </x:c>
      <x:c r="C30" s="19" t="n">
        <x:v>30</x:v>
      </x:c>
      <x:c r="D30" s="39" t="n">
        <x:v>42.08964956100269</x:v>
      </x:c>
      <x:c r="E30" s="39" t="n">
        <x:v>57.84141262727389</x:v>
      </x:c>
      <x:c r="F30" s="23" t="n">
        <x:v>30</x:v>
      </x:c>
      <x:c r="G30" s="23" t="n">
        <x:v>30</x:v>
      </x:c>
      <x:c r="H30" s="23" t="n">
        <x:v>30</x:v>
      </x:c>
      <x:c r="I30" s="23" t="n">
        <x:v>30</x:v>
      </x:c>
      <x:c r="J30" s="23" t="n">
        <x:v>30</x:v>
      </x:c>
      <x:c r="K30" s="23" t="n">
        <x:v>30</x:v>
      </x:c>
      <x:c r="L30" s="23" t="n">
        <x:v>30</x:v>
      </x:c>
      <x:c r="M30" s="23" t="n">
        <x:v>30</x:v>
      </x:c>
      <x:c r="N30" s="23" t="n">
        <x:v>30</x:v>
      </x:c>
      <x:c r="O30" s="23" t="n">
        <x:v>27.615114748477936</x:v>
      </x:c>
      <x:c r="P30" s="23" t="n">
        <x:v>21.99093997478485</x:v>
      </x:c>
      <x:c r="Q30" s="23"/>
      <x:c r="R30" s="2"/>
      <x:c r="S30" s="2"/>
    </x:row>
    <x:row r="31" ht="27" customHeight="1">
      <x:c r="A31" s="2" t="str">
        <x:v>S009</x:v>
      </x:c>
      <x:c r="B31" s="2" t="str">
        <x:v>C</x:v>
      </x:c>
      <x:c r="C31" s="18" t="n">
        <x:v>80</x:v>
      </x:c>
      <x:c r="D31" s="38" t="n">
        <x:v>29.129841639780864</x:v>
      </x:c>
      <x:c r="E31" s="38" t="n">
        <x:v>55.35682925068735</x:v>
      </x:c>
      <x:c r="F31" s="22" t="n">
        <x:v>80</x:v>
      </x:c>
      <x:c r="G31" s="22" t="n">
        <x:v>80</x:v>
      </x:c>
      <x:c r="H31" s="22" t="n">
        <x:v>80</x:v>
      </x:c>
      <x:c r="I31" s="22" t="n">
        <x:v>80</x:v>
      </x:c>
      <x:c r="J31" s="22" t="n">
        <x:v>80</x:v>
      </x:c>
      <x:c r="K31" s="22" t="n">
        <x:v>80</x:v>
      </x:c>
      <x:c r="L31" s="22" t="n">
        <x:v>79.15210485458374</x:v>
      </x:c>
      <x:c r="M31" s="22" t="n">
        <x:v>73.490149974823</x:v>
      </x:c>
      <x:c r="N31" s="22" t="n">
        <x:v>65.99483489990234</x:v>
      </x:c>
      <x:c r="O31" s="22" t="n">
        <x:v>55.527599453926086</x:v>
      </x:c>
      <x:c r="P31" s="22" t="n">
        <x:v>39.52642261981964</x:v>
      </x:c>
      <x:c r="Q31" s="22"/>
      <x:c r="R31" s="2"/>
      <x:c r="S31" s="2"/>
    </x:row>
    <x:row r="32" ht="27" customHeight="1">
      <x:c r="A32" s="15" t="str">
        <x:v>S010</x:v>
      </x:c>
      <x:c r="B32" s="15" t="str">
        <x:v>A</x:v>
      </x:c>
      <x:c r="C32" s="19" t="n">
        <x:v>25</x:v>
      </x:c>
      <x:c r="D32" s="39" t="n">
        <x:v>53.98378304403022</x:v>
      </x:c>
      <x:c r="E32" s="39" t="n">
        <x:v>59.41571102836094</x:v>
      </x:c>
      <x:c r="F32" s="23" t="n">
        <x:v>25</x:v>
      </x:c>
      <x:c r="G32" s="23" t="n">
        <x:v>25</x:v>
      </x:c>
      <x:c r="H32" s="23" t="n">
        <x:v>25</x:v>
      </x:c>
      <x:c r="I32" s="23" t="n">
        <x:v>25</x:v>
      </x:c>
      <x:c r="J32" s="23" t="n">
        <x:v>25</x:v>
      </x:c>
      <x:c r="K32" s="23" t="n">
        <x:v>25</x:v>
      </x:c>
      <x:c r="L32" s="23" t="n">
        <x:v>25</x:v>
      </x:c>
      <x:c r="M32" s="23" t="n">
        <x:v>25</x:v>
      </x:c>
      <x:c r="N32" s="23" t="n">
        <x:v>25</x:v>
      </x:c>
      <x:c r="O32" s="23" t="n">
        <x:v>25</x:v>
      </x:c>
      <x:c r="P32" s="23" t="n">
        <x:v>25</x:v>
      </x:c>
      <x:c r="Q32" s="23"/>
      <x:c r="R32" s="2"/>
      <x:c r="S32" s="2"/>
    </x:row>
    <x:row r="33" ht="27" customHeight="1">
      <x:c r="A33" s="2" t="str">
        <x:v>S010</x:v>
      </x:c>
      <x:c r="B33" s="2" t="str">
        <x:v>B</x:v>
      </x:c>
      <x:c r="C33" s="18" t="n">
        <x:v>30</x:v>
      </x:c>
      <x:c r="D33" s="38" t="n">
        <x:v>49.723989691136374</x:v>
      </x:c>
      <x:c r="E33" s="38" t="n">
        <x:v>63.41387431401636</x:v>
      </x:c>
      <x:c r="F33" s="22" t="n">
        <x:v>30</x:v>
      </x:c>
      <x:c r="G33" s="22" t="n">
        <x:v>30</x:v>
      </x:c>
      <x:c r="H33" s="22" t="n">
        <x:v>30</x:v>
      </x:c>
      <x:c r="I33" s="22" t="n">
        <x:v>30</x:v>
      </x:c>
      <x:c r="J33" s="22" t="n">
        <x:v>30</x:v>
      </x:c>
      <x:c r="K33" s="22" t="n">
        <x:v>30</x:v>
      </x:c>
      <x:c r="L33" s="22" t="n">
        <x:v>30</x:v>
      </x:c>
      <x:c r="M33" s="22" t="n">
        <x:v>30</x:v>
      </x:c>
      <x:c r="N33" s="22" t="n">
        <x:v>30</x:v>
      </x:c>
      <x:c r="O33" s="22" t="n">
        <x:v>30</x:v>
      </x:c>
      <x:c r="P33" s="22" t="n">
        <x:v>29.757502377033234</x:v>
      </x:c>
      <x:c r="Q33" s="22" t="n">
        <x:v>14.806789755821228</x:v>
      </x:c>
      <x:c r="R33" s="2"/>
      <x:c r="S33" s="2"/>
    </x:row>
    <x:row r="34" ht="27" customHeight="1">
      <x:c r="A34" s="15" t="str">
        <x:v>S010</x:v>
      </x:c>
      <x:c r="B34" s="15" t="str">
        <x:v>C</x:v>
      </x:c>
      <x:c r="C34" s="19" t="n">
        <x:v>80</x:v>
      </x:c>
      <x:c r="D34" s="39" t="n">
        <x:v>39.26428841731292</x:v>
      </x:c>
      <x:c r="E34" s="39" t="n">
        <x:v>61.89903797516555</x:v>
      </x:c>
      <x:c r="F34" s="23" t="n">
        <x:v>80</x:v>
      </x:c>
      <x:c r="G34" s="23" t="n">
        <x:v>80</x:v>
      </x:c>
      <x:c r="H34" s="23" t="n">
        <x:v>80</x:v>
      </x:c>
      <x:c r="I34" s="23" t="n">
        <x:v>80</x:v>
      </x:c>
      <x:c r="J34" s="23" t="n">
        <x:v>80</x:v>
      </x:c>
      <x:c r="K34" s="23" t="n">
        <x:v>80</x:v>
      </x:c>
      <x:c r="L34" s="23" t="n">
        <x:v>80</x:v>
      </x:c>
      <x:c r="M34" s="23" t="n">
        <x:v>80</x:v>
      </x:c>
      <x:c r="N34" s="23" t="n">
        <x:v>79.15306448936462</x:v>
      </x:c>
      <x:c r="O34" s="23" t="n">
        <x:v>72.30558156967163</x:v>
      </x:c>
      <x:c r="P34" s="23" t="n">
        <x:v>62.72213399410248</x:v>
      </x:c>
      <x:c r="Q34" s="23" t="n">
        <x:v>22.226489782333374</x:v>
      </x:c>
      <x:c r="R34" s="2"/>
      <x:c r="S34" s="2"/>
    </x:row>
    <x:row r="35" ht="27" customHeight="1">
      <x:c r="A35" s="2" t="str">
        <x:v>S011</x:v>
      </x:c>
      <x:c r="B35" s="2" t="str">
        <x:v>A</x:v>
      </x:c>
      <x:c r="C35" s="18" t="n">
        <x:v>25</x:v>
      </x:c>
      <x:c r="D35" s="38" t="n">
        <x:v>72.89786415854222</x:v>
      </x:c>
      <x:c r="E35" s="38" t="n">
        <x:v>76.05837972585877</x:v>
      </x:c>
      <x:c r="F35" s="22" t="n">
        <x:v>25</x:v>
      </x:c>
      <x:c r="G35" s="22" t="n">
        <x:v>25</x:v>
      </x:c>
      <x:c r="H35" s="22" t="n">
        <x:v>25</x:v>
      </x:c>
      <x:c r="I35" s="22" t="n">
        <x:v>25</x:v>
      </x:c>
      <x:c r="J35" s="22" t="n">
        <x:v>25</x:v>
      </x:c>
      <x:c r="K35" s="22" t="n">
        <x:v>25</x:v>
      </x:c>
      <x:c r="L35" s="22" t="n">
        <x:v>25</x:v>
      </x:c>
      <x:c r="M35" s="22" t="n">
        <x:v>25</x:v>
      </x:c>
      <x:c r="N35" s="22" t="n">
        <x:v>25</x:v>
      </x:c>
      <x:c r="O35" s="22" t="n">
        <x:v>25</x:v>
      </x:c>
      <x:c r="P35" s="22" t="n">
        <x:v>25</x:v>
      </x:c>
      <x:c r="Q35" s="22" t="n">
        <x:v>25</x:v>
      </x:c>
      <x:c r="R35" s="2"/>
      <x:c r="S35" s="2"/>
    </x:row>
    <x:row r="36" ht="27" customHeight="1">
      <x:c r="A36" s="15" t="str">
        <x:v>S011</x:v>
      </x:c>
      <x:c r="B36" s="15" t="str">
        <x:v>B</x:v>
      </x:c>
      <x:c r="C36" s="19" t="n">
        <x:v>30</x:v>
      </x:c>
      <x:c r="D36" s="39" t="n">
        <x:v>70.40193492918618</x:v>
      </x:c>
      <x:c r="E36" s="39" t="n">
        <x:v>78.39940089292902</x:v>
      </x:c>
      <x:c r="F36" s="23" t="n">
        <x:v>30</x:v>
      </x:c>
      <x:c r="G36" s="23" t="n">
        <x:v>30</x:v>
      </x:c>
      <x:c r="H36" s="23" t="n">
        <x:v>30</x:v>
      </x:c>
      <x:c r="I36" s="23" t="n">
        <x:v>30</x:v>
      </x:c>
      <x:c r="J36" s="23" t="n">
        <x:v>30</x:v>
      </x:c>
      <x:c r="K36" s="23" t="n">
        <x:v>30</x:v>
      </x:c>
      <x:c r="L36" s="23" t="n">
        <x:v>30</x:v>
      </x:c>
      <x:c r="M36" s="23" t="n">
        <x:v>30</x:v>
      </x:c>
      <x:c r="N36" s="23" t="n">
        <x:v>30</x:v>
      </x:c>
      <x:c r="O36" s="23" t="n">
        <x:v>30</x:v>
      </x:c>
      <x:c r="P36" s="23" t="n">
        <x:v>30</x:v>
      </x:c>
      <x:c r="Q36" s="23" t="n">
        <x:v>30</x:v>
      </x:c>
      <x:c r="R36" s="2"/>
      <x:c r="S36" s="2"/>
    </x:row>
    <x:row r="37" ht="27" customHeight="1">
      <x:c r="A37" s="2" t="str">
        <x:v>S011</x:v>
      </x:c>
      <x:c r="B37" s="2" t="str">
        <x:v>C</x:v>
      </x:c>
      <x:c r="C37" s="18" t="n">
        <x:v>80</x:v>
      </x:c>
      <x:c r="D37" s="38" t="n">
        <x:v>64.33487161380465</x:v>
      </x:c>
      <x:c r="E37" s="38" t="n">
        <x:v>77.56968558411732</x:v>
      </x:c>
      <x:c r="F37" s="22" t="n">
        <x:v>80</x:v>
      </x:c>
      <x:c r="G37" s="22" t="n">
        <x:v>80</x:v>
      </x:c>
      <x:c r="H37" s="22" t="n">
        <x:v>80</x:v>
      </x:c>
      <x:c r="I37" s="22" t="n">
        <x:v>80</x:v>
      </x:c>
      <x:c r="J37" s="22" t="n">
        <x:v>80</x:v>
      </x:c>
      <x:c r="K37" s="22" t="n">
        <x:v>80</x:v>
      </x:c>
      <x:c r="L37" s="22" t="n">
        <x:v>80</x:v>
      </x:c>
      <x:c r="M37" s="22" t="n">
        <x:v>80</x:v>
      </x:c>
      <x:c r="N37" s="22" t="n">
        <x:v>80</x:v>
      </x:c>
      <x:c r="O37" s="22" t="n">
        <x:v>80</x:v>
      </x:c>
      <x:c r="P37" s="22" t="n">
        <x:v>80</x:v>
      </x:c>
      <x:c r="Q37" s="22" t="n">
        <x:v>80</x:v>
      </x:c>
      <x:c r="R37" s="2"/>
      <x:c r="S37" s="2"/>
    </x:row>
    <x:row r="38" ht="27" customHeight="1">
      <x:c r="A38" s="15" t="str">
        <x:v>S012</x:v>
      </x:c>
      <x:c r="B38" s="15" t="str">
        <x:v>A</x:v>
      </x:c>
      <x:c r="C38" s="19" t="n">
        <x:v>25</x:v>
      </x:c>
      <x:c r="D38" s="39" t="n">
        <x:v>30.412876553039325</x:v>
      </x:c>
      <x:c r="E38" s="39" t="n">
        <x:v>38.404322999070615</x:v>
      </x:c>
      <x:c r="F38" s="23" t="n">
        <x:v>25</x:v>
      </x:c>
      <x:c r="G38" s="23" t="n">
        <x:v>25</x:v>
      </x:c>
      <x:c r="H38" s="23" t="n">
        <x:v>25</x:v>
      </x:c>
      <x:c r="I38" s="23" t="n">
        <x:v>25</x:v>
      </x:c>
      <x:c r="J38" s="23" t="n">
        <x:v>25</x:v>
      </x:c>
      <x:c r="K38" s="23" t="n">
        <x:v>25</x:v>
      </x:c>
      <x:c r="L38" s="23" t="n">
        <x:v>25</x:v>
      </x:c>
      <x:c r="M38" s="23" t="n">
        <x:v>15.040323138237</x:v>
      </x:c>
      <x:c r="N38" s="23"/>
      <x:c r="O38" s="23"/>
      <x:c r="P38" s="23"/>
      <x:c r="Q38" s="23"/>
      <x:c r="R38" s="2"/>
      <x:c r="S38" s="2"/>
    </x:row>
    <x:row r="39" ht="27" customHeight="1">
      <x:c r="A39" s="2" t="str">
        <x:v>S012</x:v>
      </x:c>
      <x:c r="B39" s="2" t="str">
        <x:v>B</x:v>
      </x:c>
      <x:c r="C39" s="18" t="n">
        <x:v>30</x:v>
      </x:c>
      <x:c r="D39" s="38" t="n">
        <x:v>24.021361555099396</x:v>
      </x:c>
      <x:c r="E39" s="38" t="n">
        <x:v>44.62947190172637</x:v>
      </x:c>
      <x:c r="F39" s="22" t="n">
        <x:v>30</x:v>
      </x:c>
      <x:c r="G39" s="22" t="n">
        <x:v>30</x:v>
      </x:c>
      <x:c r="H39" s="22" t="n">
        <x:v>30</x:v>
      </x:c>
      <x:c r="I39" s="22" t="n">
        <x:v>30</x:v>
      </x:c>
      <x:c r="J39" s="22" t="n">
        <x:v>30</x:v>
      </x:c>
      <x:c r="K39" s="22" t="n">
        <x:v>29.429398477077484</x:v>
      </x:c>
      <x:c r="L39" s="22" t="n">
        <x:v>25.980312824249268</x:v>
      </x:c>
      <x:c r="M39" s="22" t="n">
        <x:v>21.24633640050888</x:v>
      </x:c>
      <x:c r="N39" s="22" t="n">
        <x:v>14.135173559188843</x:v>
      </x:c>
      <x:c r="O39" s="22"/>
      <x:c r="P39" s="22"/>
      <x:c r="Q39" s="22"/>
      <x:c r="R39" s="2"/>
      <x:c r="S39" s="2"/>
    </x:row>
    <x:row r="40" ht="27" customHeight="1">
      <x:c r="A40" s="15" t="str">
        <x:v>S012</x:v>
      </x:c>
      <x:c r="B40" s="15" t="str">
        <x:v>C</x:v>
      </x:c>
      <x:c r="C40" s="19" t="n">
        <x:v>80</x:v>
      </x:c>
      <x:c r="D40" s="39" t="n">
        <x:v>7.513696310507056</x:v>
      </x:c>
      <x:c r="E40" s="39" t="n">
        <x:v>41.75962014494316</x:v>
      </x:c>
      <x:c r="F40" s="23" t="n">
        <x:v>80</x:v>
      </x:c>
      <x:c r="G40" s="23" t="n">
        <x:v>80</x:v>
      </x:c>
      <x:c r="H40" s="23" t="n">
        <x:v>78.08637082576752</x:v>
      </x:c>
      <x:c r="I40" s="23" t="n">
        <x:v>73.62891912460327</x:v>
      </x:c>
      <x:c r="J40" s="23" t="n">
        <x:v>68.1097400188446</x:v>
      </x:c>
      <x:c r="K40" s="23" t="n">
        <x:v>61.076470613479614</x:v>
      </x:c>
      <x:c r="L40" s="23" t="n">
        <x:v>51.74450397491455</x:v>
      </x:c>
      <x:c r="M40" s="23" t="n">
        <x:v>38.52992236614227</x:v>
      </x:c>
      <x:c r="N40" s="23" t="n">
        <x:v>16.669130325317383</x:v>
      </x:c>
      <x:c r="O40" s="23"/>
      <x:c r="P40" s="23"/>
      <x:c r="Q40" s="23"/>
      <x:c r="R40" s="2"/>
      <x:c r="S40" s="2"/>
    </x:row>
    <x:row r="41" ht="27" customHeight="1">
      <x:c r="A41" s="2" t="str">
        <x:v>S013</x:v>
      </x:c>
      <x:c r="B41" s="2" t="str">
        <x:v>A</x:v>
      </x:c>
      <x:c r="C41" s="18" t="n">
        <x:v>25</x:v>
      </x:c>
      <x:c r="D41" s="38" t="n">
        <x:v>53.90633119997956</x:v>
      </x:c>
      <x:c r="E41" s="38" t="n">
        <x:v>59.32649717547449</x:v>
      </x:c>
      <x:c r="F41" s="22" t="n">
        <x:v>25</x:v>
      </x:c>
      <x:c r="G41" s="22" t="n">
        <x:v>25</x:v>
      </x:c>
      <x:c r="H41" s="22" t="n">
        <x:v>25</x:v>
      </x:c>
      <x:c r="I41" s="22" t="n">
        <x:v>25</x:v>
      </x:c>
      <x:c r="J41" s="22" t="n">
        <x:v>25</x:v>
      </x:c>
      <x:c r="K41" s="22" t="n">
        <x:v>25</x:v>
      </x:c>
      <x:c r="L41" s="22" t="n">
        <x:v>25</x:v>
      </x:c>
      <x:c r="M41" s="22" t="n">
        <x:v>25</x:v>
      </x:c>
      <x:c r="N41" s="22" t="n">
        <x:v>25</x:v>
      </x:c>
      <x:c r="O41" s="22" t="n">
        <x:v>25</x:v>
      </x:c>
      <x:c r="P41" s="22" t="n">
        <x:v>25</x:v>
      </x:c>
      <x:c r="Q41" s="22"/>
      <x:c r="R41" s="2"/>
      <x:c r="S41" s="2"/>
    </x:row>
    <x:row r="42" ht="27" customHeight="1">
      <x:c r="A42" s="15" t="str">
        <x:v>S013</x:v>
      </x:c>
      <x:c r="B42" s="15" t="str">
        <x:v>B</x:v>
      </x:c>
      <x:c r="C42" s="19" t="n">
        <x:v>30</x:v>
      </x:c>
      <x:c r="D42" s="39" t="n">
        <x:v>49.63925894908444</x:v>
      </x:c>
      <x:c r="E42" s="39" t="n">
        <x:v>63.39943912276027</x:v>
      </x:c>
      <x:c r="F42" s="23" t="n">
        <x:v>30</x:v>
      </x:c>
      <x:c r="G42" s="23" t="n">
        <x:v>30</x:v>
      </x:c>
      <x:c r="H42" s="23" t="n">
        <x:v>30</x:v>
      </x:c>
      <x:c r="I42" s="23" t="n">
        <x:v>30</x:v>
      </x:c>
      <x:c r="J42" s="23" t="n">
        <x:v>30</x:v>
      </x:c>
      <x:c r="K42" s="23" t="n">
        <x:v>30</x:v>
      </x:c>
      <x:c r="L42" s="23" t="n">
        <x:v>30</x:v>
      </x:c>
      <x:c r="M42" s="23" t="n">
        <x:v>30</x:v>
      </x:c>
      <x:c r="N42" s="23" t="n">
        <x:v>30</x:v>
      </x:c>
      <x:c r="O42" s="23" t="n">
        <x:v>30</x:v>
      </x:c>
      <x:c r="P42" s="23" t="n">
        <x:v>29.685247242450714</x:v>
      </x:c>
      <x:c r="Q42" s="23" t="n">
        <x:v>14.796892404556274</x:v>
      </x:c>
      <x:c r="R42" s="2"/>
      <x:c r="S42" s="2"/>
    </x:row>
    <x:row r="43" ht="27" customHeight="1">
      <x:c r="A43" s="2" t="str">
        <x:v>S013</x:v>
      </x:c>
      <x:c r="B43" s="2" t="str">
        <x:v>C</x:v>
      </x:c>
      <x:c r="C43" s="18" t="n">
        <x:v>80</x:v>
      </x:c>
      <x:c r="D43" s="38" t="n">
        <x:v>38.85357461324812</x:v>
      </x:c>
      <x:c r="E43" s="38" t="n">
        <x:v>61.64144932700343</x:v>
      </x:c>
      <x:c r="F43" s="22" t="n">
        <x:v>80</x:v>
      </x:c>
      <x:c r="G43" s="22" t="n">
        <x:v>80</x:v>
      </x:c>
      <x:c r="H43" s="22" t="n">
        <x:v>80</x:v>
      </x:c>
      <x:c r="I43" s="22" t="n">
        <x:v>80</x:v>
      </x:c>
      <x:c r="J43" s="22" t="n">
        <x:v>80</x:v>
      </x:c>
      <x:c r="K43" s="22" t="n">
        <x:v>80</x:v>
      </x:c>
      <x:c r="L43" s="22" t="n">
        <x:v>80</x:v>
      </x:c>
      <x:c r="M43" s="22" t="n">
        <x:v>80</x:v>
      </x:c>
      <x:c r="N43" s="22" t="n">
        <x:v>78.68015766143799</x:v>
      </x:c>
      <x:c r="O43" s="22" t="n">
        <x:v>71.74977898597717</x:v>
      </x:c>
      <x:c r="P43" s="22" t="n">
        <x:v>62.03270614147186</x:v>
      </x:c>
      <x:c r="Q43" s="22" t="n">
        <x:v>20.3175288438797</x:v>
      </x:c>
      <x:c r="R43" s="2"/>
      <x:c r="S43" s="2"/>
    </x:row>
    <x:row r="44" ht="27" customHeight="1">
      <x:c r="A44" s="15" t="str">
        <x:v>S014</x:v>
      </x:c>
      <x:c r="B44" s="15" t="str">
        <x:v>A</x:v>
      </x:c>
      <x:c r="C44" s="19" t="n">
        <x:v>25</x:v>
      </x:c>
      <x:c r="D44" s="39" t="n">
        <x:v>46.09806154469891</x:v>
      </x:c>
      <x:c r="E44" s="39" t="n">
        <x:v>52.49340195226717</x:v>
      </x:c>
      <x:c r="F44" s="23" t="n">
        <x:v>25</x:v>
      </x:c>
      <x:c r="G44" s="23" t="n">
        <x:v>25</x:v>
      </x:c>
      <x:c r="H44" s="23" t="n">
        <x:v>25</x:v>
      </x:c>
      <x:c r="I44" s="23" t="n">
        <x:v>25</x:v>
      </x:c>
      <x:c r="J44" s="23" t="n">
        <x:v>25</x:v>
      </x:c>
      <x:c r="K44" s="23" t="n">
        <x:v>25</x:v>
      </x:c>
      <x:c r="L44" s="23" t="n">
        <x:v>25</x:v>
      </x:c>
      <x:c r="M44" s="23" t="n">
        <x:v>25</x:v>
      </x:c>
      <x:c r="N44" s="23" t="n">
        <x:v>25</x:v>
      </x:c>
      <x:c r="O44" s="23" t="n">
        <x:v>25</x:v>
      </x:c>
      <x:c r="P44" s="23" t="n">
        <x:v>13.866068422794342</x:v>
      </x:c>
      <x:c r="Q44" s="23"/>
      <x:c r="R44" s="2"/>
      <x:c r="S44" s="2"/>
    </x:row>
    <x:row r="45" ht="27" customHeight="1">
      <x:c r="A45" s="2" t="str">
        <x:v>S014</x:v>
      </x:c>
      <x:c r="B45" s="2" t="str">
        <x:v>B</x:v>
      </x:c>
      <x:c r="C45" s="18" t="n">
        <x:v>30</x:v>
      </x:c>
      <x:c r="D45" s="38" t="n">
        <x:v>41.11948655492576</x:v>
      </x:c>
      <x:c r="E45" s="38" t="n">
        <x:v>56.95343718935123</x:v>
      </x:c>
      <x:c r="F45" s="22" t="n">
        <x:v>30</x:v>
      </x:c>
      <x:c r="G45" s="22" t="n">
        <x:v>30</x:v>
      </x:c>
      <x:c r="H45" s="22" t="n">
        <x:v>30</x:v>
      </x:c>
      <x:c r="I45" s="22" t="n">
        <x:v>30</x:v>
      </x:c>
      <x:c r="J45" s="22" t="n">
        <x:v>30</x:v>
      </x:c>
      <x:c r="K45" s="22" t="n">
        <x:v>30</x:v>
      </x:c>
      <x:c r="L45" s="22" t="n">
        <x:v>30</x:v>
      </x:c>
      <x:c r="M45" s="22" t="n">
        <x:v>30</x:v>
      </x:c>
      <x:c r="N45" s="22" t="n">
        <x:v>30</x:v>
      </x:c>
      <x:c r="O45" s="22" t="n">
        <x:v>26.60064071416855</x:v>
      </x:c>
      <x:c r="P45" s="22" t="n">
        <x:v>20.29710352420807</x:v>
      </x:c>
      <x:c r="Q45" s="22"/>
      <x:c r="R45" s="2"/>
      <x:c r="S45" s="2"/>
    </x:row>
    <x:row r="46" ht="27" customHeight="1">
      <x:c r="A46" s="15" t="str">
        <x:v>S014</x:v>
      </x:c>
      <x:c r="B46" s="15" t="str">
        <x:v>C</x:v>
      </x:c>
      <x:c r="C46" s="19" t="n">
        <x:v>80</x:v>
      </x:c>
      <x:c r="D46" s="39" t="n">
        <x:v>29.905166738900412</x:v>
      </x:c>
      <x:c r="E46" s="39" t="n">
        <x:v>55.980046247751346</x:v>
      </x:c>
      <x:c r="F46" s="23" t="n">
        <x:v>80</x:v>
      </x:c>
      <x:c r="G46" s="23" t="n">
        <x:v>80</x:v>
      </x:c>
      <x:c r="H46" s="23" t="n">
        <x:v>80</x:v>
      </x:c>
      <x:c r="I46" s="23" t="n">
        <x:v>80</x:v>
      </x:c>
      <x:c r="J46" s="23" t="n">
        <x:v>80</x:v>
      </x:c>
      <x:c r="K46" s="23" t="n">
        <x:v>80</x:v>
      </x:c>
      <x:c r="L46" s="23" t="n">
        <x:v>79.90587890148163</x:v>
      </x:c>
      <x:c r="M46" s="23" t="n">
        <x:v>74.2444097995758</x:v>
      </x:c>
      <x:c r="N46" s="23" t="n">
        <x:v>66.7605721950531</x:v>
      </x:c>
      <x:c r="O46" s="23" t="n">
        <x:v>56.373342871665955</x:v>
      </x:c>
      <x:c r="P46" s="23" t="n">
        <x:v>40.796456933021545</x:v>
      </x:c>
      <x:c r="Q46" s="23"/>
      <x:c r="R46" s="2"/>
      <x:c r="S46" s="2"/>
    </x:row>
    <x:row r="47" ht="27" customHeight="1">
      <x:c r="A47" s="2" t="str">
        <x:v>S015</x:v>
      </x:c>
      <x:c r="B47" s="2" t="str">
        <x:v>A</x:v>
      </x:c>
      <x:c r="C47" s="18" t="n">
        <x:v>25</x:v>
      </x:c>
      <x:c r="D47" s="38" t="n">
        <x:v>41.79234960819343</x:v>
      </x:c>
      <x:c r="E47" s="38" t="n">
        <x:v>48.73556913919235</x:v>
      </x:c>
      <x:c r="F47" s="22" t="n">
        <x:v>25</x:v>
      </x:c>
      <x:c r="G47" s="22" t="n">
        <x:v>25</x:v>
      </x:c>
      <x:c r="H47" s="22" t="n">
        <x:v>25</x:v>
      </x:c>
      <x:c r="I47" s="22" t="n">
        <x:v>25</x:v>
      </x:c>
      <x:c r="J47" s="22" t="n">
        <x:v>25</x:v>
      </x:c>
      <x:c r="K47" s="22" t="n">
        <x:v>25</x:v>
      </x:c>
      <x:c r="L47" s="22" t="n">
        <x:v>25</x:v>
      </x:c>
      <x:c r="M47" s="22" t="n">
        <x:v>25</x:v>
      </x:c>
      <x:c r="N47" s="22" t="n">
        <x:v>25</x:v>
      </x:c>
      <x:c r="O47" s="22" t="n">
        <x:v>17.188909649848938</x:v>
      </x:c>
      <x:c r="P47" s="22"/>
      <x:c r="Q47" s="22"/>
      <x:c r="R47" s="2"/>
      <x:c r="S47" s="2"/>
    </x:row>
    <x:row r="48" ht="27" customHeight="1">
      <x:c r="A48" s="15" t="str">
        <x:v>S015</x:v>
      </x:c>
      <x:c r="B48" s="15" t="str">
        <x:v>B</x:v>
      </x:c>
      <x:c r="C48" s="19" t="n">
        <x:v>30</x:v>
      </x:c>
      <x:c r="D48" s="39" t="n">
        <x:v>36.38680183551828</x:v>
      </x:c>
      <x:c r="E48" s="39" t="n">
        <x:v>53.744550130602505</x:v>
      </x:c>
      <x:c r="F48" s="23" t="n">
        <x:v>30</x:v>
      </x:c>
      <x:c r="G48" s="23" t="n">
        <x:v>30</x:v>
      </x:c>
      <x:c r="H48" s="23" t="n">
        <x:v>30</x:v>
      </x:c>
      <x:c r="I48" s="23" t="n">
        <x:v>30</x:v>
      </x:c>
      <x:c r="J48" s="23" t="n">
        <x:v>30</x:v>
      </x:c>
      <x:c r="K48" s="23" t="n">
        <x:v>30</x:v>
      </x:c>
      <x:c r="L48" s="23" t="n">
        <x:v>30</x:v>
      </x:c>
      <x:c r="M48" s="23" t="n">
        <x:v>30</x:v>
      </x:c>
      <x:c r="N48" s="23" t="n">
        <x:v>27.19721406698227</x:v>
      </x:c>
      <x:c r="O48" s="23" t="n">
        <x:v>21.89254492521286</x:v>
      </x:c>
      <x:c r="P48" s="23" t="n">
        <x:v>13.473422527313232</x:v>
      </x:c>
      <x:c r="Q48" s="23"/>
      <x:c r="R48" s="2"/>
      <x:c r="S48" s="2"/>
    </x:row>
    <x:row r="49" ht="27" customHeight="1">
      <x:c r="A49" s="2" t="str">
        <x:v>S015</x:v>
      </x:c>
      <x:c r="B49" s="2" t="str">
        <x:v>C</x:v>
      </x:c>
      <x:c r="C49" s="18" t="n">
        <x:v>80</x:v>
      </x:c>
      <x:c r="D49" s="38" t="n">
        <x:v>23.334187278518737</x:v>
      </x:c>
      <x:c r="E49" s="38" t="n">
        <x:v>51.98129937546291</x:v>
      </x:c>
      <x:c r="F49" s="22" t="n">
        <x:v>80</x:v>
      </x:c>
      <x:c r="G49" s="22" t="n">
        <x:v>80</x:v>
      </x:c>
      <x:c r="H49" s="22" t="n">
        <x:v>80</x:v>
      </x:c>
      <x:c r="I49" s="22" t="n">
        <x:v>80</x:v>
      </x:c>
      <x:c r="J49" s="22" t="n">
        <x:v>80</x:v>
      </x:c>
      <x:c r="K49" s="22" t="n">
        <x:v>78.45135569572449</x:v>
      </x:c>
      <x:c r="L49" s="22" t="n">
        <x:v>73.00386071205139</x:v>
      </x:c>
      <x:c r="M49" s="22" t="n">
        <x:v>65.93490183353424</x:v>
      </x:c>
      <x:c r="N49" s="22" t="n">
        <x:v>56.35968863964081</x:v>
      </x:c>
      <x:c r="O49" s="22" t="n">
        <x:v>42.499417662620544</x:v>
      </x:c>
      <x:c r="P49" s="22" t="n">
        <x:v>19.304014444351196</x:v>
      </x:c>
      <x:c r="Q49" s="22"/>
      <x:c r="R49" s="2"/>
      <x:c r="S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7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7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7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7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7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7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7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7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7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7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7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7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7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7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7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7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7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7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8" customHeight="1">
      <x:c r="A73" s="12" t="str">
        <x:v>下表保留0%—60%每1个百分点的完整915行载荷曲线数值；右侧为三个图表的公式引用区。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7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44" customHeight="1">
      <x:c r="A75" s="8" t="str">
        <x:v>服务区</x:v>
      </x:c>
      <x:c r="B75" s="9" t="str">
        <x:v>余量（%）</x:v>
      </x:c>
      <x:c r="C75" s="9" t="str">
        <x:v>A型qmax（kg）</x:v>
      </x:c>
      <x:c r="D75" s="9" t="str">
        <x:v>B型qmax（kg）</x:v>
      </x:c>
      <x:c r="E75" s="9" t="str">
        <x:v>C型qmax（kg）</x:v>
      </x:c>
      <x:c r="F75" s="10" t="str">
        <x:v>限制说明</x:v>
      </x:c>
      <x:c r="G75" s="2"/>
      <x:c r="H75" s="2" t="str">
        <x:v>余量</x:v>
      </x:c>
      <x:c r="I75" s="2" t="str">
        <x:v>A型</x:v>
      </x:c>
      <x:c r="J75" s="2" t="str">
        <x:v>B型</x:v>
      </x:c>
      <x:c r="K75" s="2" t="str">
        <x:v>C型</x:v>
      </x:c>
      <x:c r="L75" s="2" t="str">
        <x:v>余量</x:v>
      </x:c>
      <x:c r="M75" s="2" t="str">
        <x:v>A型</x:v>
      </x:c>
      <x:c r="N75" s="2" t="str">
        <x:v>B型</x:v>
      </x:c>
      <x:c r="O75" s="2" t="str">
        <x:v>C型</x:v>
      </x:c>
      <x:c r="P75" s="2" t="str">
        <x:v>余量</x:v>
      </x:c>
      <x:c r="Q75" s="2" t="str">
        <x:v>A型</x:v>
      </x:c>
      <x:c r="R75" s="2" t="str">
        <x:v>B型</x:v>
      </x:c>
      <x:c r="S75" s="2" t="str">
        <x:v>C型</x:v>
      </x:c>
    </x:row>
    <x:row r="76" ht="27" customHeight="1">
      <x:c r="A76" s="2" t="str">
        <x:v>S001</x:v>
      </x:c>
      <x:c r="B76" s="2" t="n">
        <x:v>0</x:v>
      </x:c>
      <x:c r="C76" s="40" t="n">
        <x:v>25</x:v>
      </x:c>
      <x:c r="D76" s="40" t="n">
        <x:v>30</x:v>
      </x:c>
      <x:c r="E76" s="40" t="n">
        <x:v>80</x:v>
      </x:c>
      <x:c r="F76" s="13" t="str"/>
      <x:c r="G76" s="2"/>
      <x:c r="H76" s="2" t="str">
        <x:f>TEXT(B76,"0")&amp;"%"</x:f>
        <x:v>0%</x:v>
      </x:c>
      <x:c r="I76" s="2" t="n">
        <x:f>IF(C76="","",C76)</x:f>
        <x:v>25</x:v>
      </x:c>
      <x:c r="J76" s="2" t="n">
        <x:f>IF(D76="","",D76)</x:f>
        <x:v>30</x:v>
      </x:c>
      <x:c r="K76" s="2" t="n">
        <x:f>IF(E76="","",E76)</x:f>
        <x:v>80</x:v>
      </x:c>
      <x:c r="L76" s="2" t="str">
        <x:f>TEXT(B259,"0")&amp;"%"</x:f>
        <x:v>0%</x:v>
      </x:c>
      <x:c r="M76" s="2" t="n">
        <x:f>IF(C259="","",C259)</x:f>
        <x:v>25</x:v>
      </x:c>
      <x:c r="N76" s="2" t="n">
        <x:f>IF(D259="","",D259)</x:f>
        <x:v>30</x:v>
      </x:c>
      <x:c r="O76" s="2" t="n">
        <x:f>IF(E259="","",E259)</x:f>
        <x:v>80</x:v>
      </x:c>
      <x:c r="P76" s="2" t="str">
        <x:f>TEXT(B503,"0")&amp;"%"</x:f>
        <x:v>0%</x:v>
      </x:c>
      <x:c r="Q76" s="2" t="n">
        <x:f>IF(C503="","",C503)</x:f>
        <x:v>25</x:v>
      </x:c>
      <x:c r="R76" s="2" t="n">
        <x:f>IF(D503="","",D503)</x:f>
        <x:v>30</x:v>
      </x:c>
      <x:c r="S76" s="2" t="n">
        <x:f>IF(E503="","",E503)</x:f>
        <x:v>79.67744767665863</x:v>
      </x:c>
    </x:row>
    <x:row r="77" ht="27" customHeight="1">
      <x:c r="A77" s="2" t="str">
        <x:v>S001</x:v>
      </x:c>
      <x:c r="B77" s="2" t="n">
        <x:v>1</x:v>
      </x:c>
      <x:c r="C77" s="40" t="n">
        <x:v>25</x:v>
      </x:c>
      <x:c r="D77" s="40" t="n">
        <x:v>30</x:v>
      </x:c>
      <x:c r="E77" s="40" t="n">
        <x:v>80</x:v>
      </x:c>
      <x:c r="F77" s="13" t="str"/>
      <x:c r="G77" s="2"/>
      <x:c r="H77" s="2" t="str">
        <x:f>TEXT(B77,"0")&amp;"%"</x:f>
        <x:v>1%</x:v>
      </x:c>
      <x:c r="I77" s="2" t="n">
        <x:f>IF(C77="","",C77)</x:f>
        <x:v>25</x:v>
      </x:c>
      <x:c r="J77" s="2" t="n">
        <x:f>IF(D77="","",D77)</x:f>
        <x:v>30</x:v>
      </x:c>
      <x:c r="K77" s="2" t="n">
        <x:f>IF(E77="","",E77)</x:f>
        <x:v>80</x:v>
      </x:c>
      <x:c r="L77" s="2" t="str">
        <x:f>TEXT(B260,"0")&amp;"%"</x:f>
        <x:v>1%</x:v>
      </x:c>
      <x:c r="M77" s="2" t="n">
        <x:f>IF(C260="","",C260)</x:f>
        <x:v>25</x:v>
      </x:c>
      <x:c r="N77" s="2" t="n">
        <x:f>IF(D260="","",D260)</x:f>
        <x:v>30</x:v>
      </x:c>
      <x:c r="O77" s="2" t="n">
        <x:f>IF(E260="","",E260)</x:f>
        <x:v>80</x:v>
      </x:c>
      <x:c r="P77" s="2" t="str">
        <x:f>TEXT(B504,"0")&amp;"%"</x:f>
        <x:v>1%</x:v>
      </x:c>
      <x:c r="Q77" s="2" t="n">
        <x:f>IF(C504="","",C504)</x:f>
        <x:v>25</x:v>
      </x:c>
      <x:c r="R77" s="2" t="n">
        <x:f>IF(D504="","",D504)</x:f>
        <x:v>30</x:v>
      </x:c>
      <x:c r="S77" s="2" t="n">
        <x:f>IF(E504="","",E504)</x:f>
        <x:v>78.9811897277832</x:v>
      </x:c>
    </x:row>
    <x:row r="78" ht="27" customHeight="1">
      <x:c r="A78" s="2" t="str">
        <x:v>S001</x:v>
      </x:c>
      <x:c r="B78" s="2" t="n">
        <x:v>2</x:v>
      </x:c>
      <x:c r="C78" s="40" t="n">
        <x:v>25</x:v>
      </x:c>
      <x:c r="D78" s="40" t="n">
        <x:v>30</x:v>
      </x:c>
      <x:c r="E78" s="40" t="n">
        <x:v>80</x:v>
      </x:c>
      <x:c r="F78" s="13" t="str"/>
      <x:c r="G78" s="2"/>
      <x:c r="H78" s="2" t="str">
        <x:f>TEXT(B78,"0")&amp;"%"</x:f>
        <x:v>2%</x:v>
      </x:c>
      <x:c r="I78" s="2" t="n">
        <x:f>IF(C78="","",C78)</x:f>
        <x:v>25</x:v>
      </x:c>
      <x:c r="J78" s="2" t="n">
        <x:f>IF(D78="","",D78)</x:f>
        <x:v>30</x:v>
      </x:c>
      <x:c r="K78" s="2" t="n">
        <x:f>IF(E78="","",E78)</x:f>
        <x:v>80</x:v>
      </x:c>
      <x:c r="L78" s="2" t="str">
        <x:f>TEXT(B261,"0")&amp;"%"</x:f>
        <x:v>2%</x:v>
      </x:c>
      <x:c r="M78" s="2" t="n">
        <x:f>IF(C261="","",C261)</x:f>
        <x:v>25</x:v>
      </x:c>
      <x:c r="N78" s="2" t="n">
        <x:f>IF(D261="","",D261)</x:f>
        <x:v>30</x:v>
      </x:c>
      <x:c r="O78" s="2" t="n">
        <x:f>IF(E261="","",E261)</x:f>
        <x:v>80</x:v>
      </x:c>
      <x:c r="P78" s="2" t="str">
        <x:f>TEXT(B505,"0")&amp;"%"</x:f>
        <x:v>2%</x:v>
      </x:c>
      <x:c r="Q78" s="2" t="n">
        <x:f>IF(C505="","",C505)</x:f>
        <x:v>25</x:v>
      </x:c>
      <x:c r="R78" s="2" t="n">
        <x:f>IF(D505="","",D505)</x:f>
        <x:v>30</x:v>
      </x:c>
      <x:c r="S78" s="2" t="n">
        <x:f>IF(E505="","",E505)</x:f>
        <x:v>78.26062142848969</x:v>
      </x:c>
    </x:row>
    <x:row r="79" ht="27" customHeight="1">
      <x:c r="A79" s="2" t="str">
        <x:v>S001</x:v>
      </x:c>
      <x:c r="B79" s="2" t="n">
        <x:v>3</x:v>
      </x:c>
      <x:c r="C79" s="40" t="n">
        <x:v>25</x:v>
      </x:c>
      <x:c r="D79" s="40" t="n">
        <x:v>30</x:v>
      </x:c>
      <x:c r="E79" s="40" t="n">
        <x:v>80</x:v>
      </x:c>
      <x:c r="F79" s="13" t="str"/>
      <x:c r="G79" s="2"/>
      <x:c r="H79" s="2" t="str">
        <x:f>TEXT(B79,"0")&amp;"%"</x:f>
        <x:v>3%</x:v>
      </x:c>
      <x:c r="I79" s="2" t="n">
        <x:f>IF(C79="","",C79)</x:f>
        <x:v>25</x:v>
      </x:c>
      <x:c r="J79" s="2" t="n">
        <x:f>IF(D79="","",D79)</x:f>
        <x:v>30</x:v>
      </x:c>
      <x:c r="K79" s="2" t="n">
        <x:f>IF(E79="","",E79)</x:f>
        <x:v>80</x:v>
      </x:c>
      <x:c r="L79" s="2" t="str">
        <x:f>TEXT(B262,"0")&amp;"%"</x:f>
        <x:v>3%</x:v>
      </x:c>
      <x:c r="M79" s="2" t="n">
        <x:f>IF(C262="","",C262)</x:f>
        <x:v>25</x:v>
      </x:c>
      <x:c r="N79" s="2" t="n">
        <x:f>IF(D262="","",D262)</x:f>
        <x:v>30</x:v>
      </x:c>
      <x:c r="O79" s="2" t="n">
        <x:f>IF(E262="","",E262)</x:f>
        <x:v>80</x:v>
      </x:c>
      <x:c r="P79" s="2" t="str">
        <x:f>TEXT(B506,"0")&amp;"%"</x:f>
        <x:v>3%</x:v>
      </x:c>
      <x:c r="Q79" s="2" t="n">
        <x:f>IF(C506="","",C506)</x:f>
        <x:v>25</x:v>
      </x:c>
      <x:c r="R79" s="2" t="n">
        <x:f>IF(D506="","",D506)</x:f>
        <x:v>30</x:v>
      </x:c>
      <x:c r="S79" s="2" t="n">
        <x:f>IF(E506="","",E506)</x:f>
        <x:v>77.51441895961761</x:v>
      </x:c>
    </x:row>
    <x:row r="80" ht="27" customHeight="1">
      <x:c r="A80" s="2" t="str">
        <x:v>S001</x:v>
      </x:c>
      <x:c r="B80" s="2" t="n">
        <x:v>4</x:v>
      </x:c>
      <x:c r="C80" s="40" t="n">
        <x:v>25</x:v>
      </x:c>
      <x:c r="D80" s="40" t="n">
        <x:v>30</x:v>
      </x:c>
      <x:c r="E80" s="40" t="n">
        <x:v>80</x:v>
      </x:c>
      <x:c r="F80" s="13" t="str"/>
      <x:c r="G80" s="2"/>
      <x:c r="H80" s="2" t="str">
        <x:f>TEXT(B80,"0")&amp;"%"</x:f>
        <x:v>4%</x:v>
      </x:c>
      <x:c r="I80" s="2" t="n">
        <x:f>IF(C80="","",C80)</x:f>
        <x:v>25</x:v>
      </x:c>
      <x:c r="J80" s="2" t="n">
        <x:f>IF(D80="","",D80)</x:f>
        <x:v>30</x:v>
      </x:c>
      <x:c r="K80" s="2" t="n">
        <x:f>IF(E80="","",E80)</x:f>
        <x:v>80</x:v>
      </x:c>
      <x:c r="L80" s="2" t="str">
        <x:f>TEXT(B263,"0")&amp;"%"</x:f>
        <x:v>4%</x:v>
      </x:c>
      <x:c r="M80" s="2" t="n">
        <x:f>IF(C263="","",C263)</x:f>
        <x:v>25</x:v>
      </x:c>
      <x:c r="N80" s="2" t="n">
        <x:f>IF(D263="","",D263)</x:f>
        <x:v>30</x:v>
      </x:c>
      <x:c r="O80" s="2" t="n">
        <x:f>IF(E263="","",E263)</x:f>
        <x:v>79.68715131282806</x:v>
      </x:c>
      <x:c r="P80" s="2" t="str">
        <x:f>TEXT(B507,"0")&amp;"%"</x:f>
        <x:v>4%</x:v>
      </x:c>
      <x:c r="Q80" s="2" t="n">
        <x:f>IF(C507="","",C507)</x:f>
        <x:v>25</x:v>
      </x:c>
      <x:c r="R80" s="2" t="n">
        <x:f>IF(D507="","",D507)</x:f>
        <x:v>30</x:v>
      </x:c>
      <x:c r="S80" s="2" t="n">
        <x:f>IF(E507="","",E507)</x:f>
        <x:v>76.74115777015686</x:v>
      </x:c>
    </x:row>
    <x:row r="81" ht="27" customHeight="1">
      <x:c r="A81" s="2" t="str">
        <x:v>S001</x:v>
      </x:c>
      <x:c r="B81" s="2" t="n">
        <x:v>5</x:v>
      </x:c>
      <x:c r="C81" s="40" t="n">
        <x:v>25</x:v>
      </x:c>
      <x:c r="D81" s="40" t="n">
        <x:v>30</x:v>
      </x:c>
      <x:c r="E81" s="40" t="n">
        <x:v>80</x:v>
      </x:c>
      <x:c r="F81" s="13" t="str"/>
      <x:c r="G81" s="2"/>
      <x:c r="H81" s="2" t="str">
        <x:f>TEXT(B81,"0")&amp;"%"</x:f>
        <x:v>5%</x:v>
      </x:c>
      <x:c r="I81" s="2" t="n">
        <x:f>IF(C81="","",C81)</x:f>
        <x:v>25</x:v>
      </x:c>
      <x:c r="J81" s="2" t="n">
        <x:f>IF(D81="","",D81)</x:f>
        <x:v>30</x:v>
      </x:c>
      <x:c r="K81" s="2" t="n">
        <x:f>IF(E81="","",E81)</x:f>
        <x:v>80</x:v>
      </x:c>
      <x:c r="L81" s="2" t="str">
        <x:f>TEXT(B264,"0")&amp;"%"</x:f>
        <x:v>5%</x:v>
      </x:c>
      <x:c r="M81" s="2" t="n">
        <x:f>IF(C264="","",C264)</x:f>
        <x:v>25</x:v>
      </x:c>
      <x:c r="N81" s="2" t="n">
        <x:f>IF(D264="","",D264)</x:f>
        <x:v>30</x:v>
      </x:c>
      <x:c r="O81" s="2" t="n">
        <x:f>IF(E264="","",E264)</x:f>
        <x:v>78.95869493484497</x:v>
      </x:c>
      <x:c r="P81" s="2" t="str">
        <x:f>TEXT(B508,"0")&amp;"%"</x:f>
        <x:v>5%</x:v>
      </x:c>
      <x:c r="Q81" s="2" t="n">
        <x:f>IF(C508="","",C508)</x:f>
        <x:v>25</x:v>
      </x:c>
      <x:c r="R81" s="2" t="n">
        <x:f>IF(D508="","",D508)</x:f>
        <x:v>30</x:v>
      </x:c>
      <x:c r="S81" s="2" t="n">
        <x:f>IF(E508="","",E508)</x:f>
        <x:v>75.93930304050446</x:v>
      </x:c>
    </x:row>
    <x:row r="82" ht="27" customHeight="1">
      <x:c r="A82" s="2" t="str">
        <x:v>S001</x:v>
      </x:c>
      <x:c r="B82" s="2" t="n">
        <x:v>6</x:v>
      </x:c>
      <x:c r="C82" s="40" t="n">
        <x:v>25</x:v>
      </x:c>
      <x:c r="D82" s="40" t="n">
        <x:v>30</x:v>
      </x:c>
      <x:c r="E82" s="40" t="n">
        <x:v>80</x:v>
      </x:c>
      <x:c r="F82" s="13" t="str"/>
      <x:c r="G82" s="2"/>
      <x:c r="H82" s="2" t="str">
        <x:f>TEXT(B82,"0")&amp;"%"</x:f>
        <x:v>6%</x:v>
      </x:c>
      <x:c r="I82" s="2" t="n">
        <x:f>IF(C82="","",C82)</x:f>
        <x:v>25</x:v>
      </x:c>
      <x:c r="J82" s="2" t="n">
        <x:f>IF(D82="","",D82)</x:f>
        <x:v>30</x:v>
      </x:c>
      <x:c r="K82" s="2" t="n">
        <x:f>IF(E82="","",E82)</x:f>
        <x:v>80</x:v>
      </x:c>
      <x:c r="L82" s="2" t="str">
        <x:f>TEXT(B265,"0")&amp;"%"</x:f>
        <x:v>6%</x:v>
      </x:c>
      <x:c r="M82" s="2" t="n">
        <x:f>IF(C265="","",C265)</x:f>
        <x:v>25</x:v>
      </x:c>
      <x:c r="N82" s="2" t="n">
        <x:f>IF(D265="","",D265)</x:f>
        <x:v>30</x:v>
      </x:c>
      <x:c r="O82" s="2" t="n">
        <x:f>IF(E265="","",E265)</x:f>
        <x:v>78.20363402366638</x:v>
      </x:c>
      <x:c r="P82" s="2" t="str">
        <x:f>TEXT(B509,"0")&amp;"%"</x:f>
        <x:v>6%</x:v>
      </x:c>
      <x:c r="Q82" s="2" t="n">
        <x:f>IF(C509="","",C509)</x:f>
        <x:v>25</x:v>
      </x:c>
      <x:c r="R82" s="2" t="n">
        <x:f>IF(D509="","",D509)</x:f>
        <x:v>30</x:v>
      </x:c>
      <x:c r="S82" s="2" t="n">
        <x:f>IF(E509="","",E509)</x:f>
        <x:v>75.10719537734985</x:v>
      </x:c>
    </x:row>
    <x:row r="83" ht="27" customHeight="1">
      <x:c r="A83" s="2" t="str">
        <x:v>S001</x:v>
      </x:c>
      <x:c r="B83" s="2" t="n">
        <x:v>7</x:v>
      </x:c>
      <x:c r="C83" s="40" t="n">
        <x:v>25</x:v>
      </x:c>
      <x:c r="D83" s="40" t="n">
        <x:v>30</x:v>
      </x:c>
      <x:c r="E83" s="40" t="n">
        <x:v>80</x:v>
      </x:c>
      <x:c r="F83" s="13" t="str"/>
      <x:c r="G83" s="2"/>
      <x:c r="H83" s="2" t="str">
        <x:f>TEXT(B83,"0")&amp;"%"</x:f>
        <x:v>7%</x:v>
      </x:c>
      <x:c r="I83" s="2" t="n">
        <x:f>IF(C83="","",C83)</x:f>
        <x:v>25</x:v>
      </x:c>
      <x:c r="J83" s="2" t="n">
        <x:f>IF(D83="","",D83)</x:f>
        <x:v>30</x:v>
      </x:c>
      <x:c r="K83" s="2" t="n">
        <x:f>IF(E83="","",E83)</x:f>
        <x:v>80</x:v>
      </x:c>
      <x:c r="L83" s="2" t="str">
        <x:f>TEXT(B266,"0")&amp;"%"</x:f>
        <x:v>7%</x:v>
      </x:c>
      <x:c r="M83" s="2" t="n">
        <x:f>IF(C266="","",C266)</x:f>
        <x:v>25</x:v>
      </x:c>
      <x:c r="N83" s="2" t="n">
        <x:f>IF(D266="","",D266)</x:f>
        <x:v>30</x:v>
      </x:c>
      <x:c r="O83" s="2" t="n">
        <x:f>IF(E266="","",E266)</x:f>
        <x:v>77.42045402526855</x:v>
      </x:c>
      <x:c r="P83" s="2" t="str">
        <x:f>TEXT(B510,"0")&amp;"%"</x:f>
        <x:v>7%</x:v>
      </x:c>
      <x:c r="Q83" s="2" t="n">
        <x:f>IF(C510="","",C510)</x:f>
        <x:v>25</x:v>
      </x:c>
      <x:c r="R83" s="2" t="n">
        <x:f>IF(D510="","",D510)</x:f>
        <x:v>30</x:v>
      </x:c>
      <x:c r="S83" s="2" t="n">
        <x:f>IF(E510="","",E510)</x:f>
        <x:v>74.24304246902466</x:v>
      </x:c>
    </x:row>
    <x:row r="84" ht="27" customHeight="1">
      <x:c r="A84" s="2" t="str">
        <x:v>S001</x:v>
      </x:c>
      <x:c r="B84" s="2" t="n">
        <x:v>8</x:v>
      </x:c>
      <x:c r="C84" s="40" t="n">
        <x:v>25</x:v>
      </x:c>
      <x:c r="D84" s="40" t="n">
        <x:v>30</x:v>
      </x:c>
      <x:c r="E84" s="40" t="n">
        <x:v>80</x:v>
      </x:c>
      <x:c r="F84" s="13" t="str"/>
      <x:c r="G84" s="2"/>
      <x:c r="H84" s="2" t="str">
        <x:f>TEXT(B84,"0")&amp;"%"</x:f>
        <x:v>8%</x:v>
      </x:c>
      <x:c r="I84" s="2" t="n">
        <x:f>IF(C84="","",C84)</x:f>
        <x:v>25</x:v>
      </x:c>
      <x:c r="J84" s="2" t="n">
        <x:f>IF(D84="","",D84)</x:f>
        <x:v>30</x:v>
      </x:c>
      <x:c r="K84" s="2" t="n">
        <x:f>IF(E84="","",E84)</x:f>
        <x:v>80</x:v>
      </x:c>
      <x:c r="L84" s="2" t="str">
        <x:f>TEXT(B267,"0")&amp;"%"</x:f>
        <x:v>8%</x:v>
      </x:c>
      <x:c r="M84" s="2" t="n">
        <x:f>IF(C267="","",C267)</x:f>
        <x:v>25</x:v>
      </x:c>
      <x:c r="N84" s="2" t="n">
        <x:f>IF(D267="","",D267)</x:f>
        <x:v>30</x:v>
      </x:c>
      <x:c r="O84" s="2" t="n">
        <x:f>IF(E267="","",E267)</x:f>
        <x:v>76.60751938819885</x:v>
      </x:c>
      <x:c r="P84" s="2" t="str">
        <x:f>TEXT(B511,"0")&amp;"%"</x:f>
        <x:v>8%</x:v>
      </x:c>
      <x:c r="Q84" s="2" t="n">
        <x:f>IF(C511="","",C511)</x:f>
        <x:v>25</x:v>
      </x:c>
      <x:c r="R84" s="2" t="n">
        <x:f>IF(D511="","",D511)</x:f>
        <x:v>30</x:v>
      </x:c>
      <x:c r="S84" s="2" t="n">
        <x:f>IF(E511="","",E511)</x:f>
        <x:v>73.34490120410919</x:v>
      </x:c>
    </x:row>
    <x:row r="85" ht="27" customHeight="1">
      <x:c r="A85" s="2" t="str">
        <x:v>S001</x:v>
      </x:c>
      <x:c r="B85" s="2" t="n">
        <x:v>9</x:v>
      </x:c>
      <x:c r="C85" s="40" t="n">
        <x:v>25</x:v>
      </x:c>
      <x:c r="D85" s="40" t="n">
        <x:v>30</x:v>
      </x:c>
      <x:c r="E85" s="40" t="n">
        <x:v>80</x:v>
      </x:c>
      <x:c r="F85" s="13" t="str"/>
      <x:c r="G85" s="2"/>
      <x:c r="H85" s="2" t="str">
        <x:f>TEXT(B85,"0")&amp;"%"</x:f>
        <x:v>9%</x:v>
      </x:c>
      <x:c r="I85" s="2" t="n">
        <x:f>IF(C85="","",C85)</x:f>
        <x:v>25</x:v>
      </x:c>
      <x:c r="J85" s="2" t="n">
        <x:f>IF(D85="","",D85)</x:f>
        <x:v>30</x:v>
      </x:c>
      <x:c r="K85" s="2" t="n">
        <x:f>IF(E85="","",E85)</x:f>
        <x:v>80</x:v>
      </x:c>
      <x:c r="L85" s="2" t="str">
        <x:f>TEXT(B268,"0")&amp;"%"</x:f>
        <x:v>9%</x:v>
      </x:c>
      <x:c r="M85" s="2" t="n">
        <x:f>IF(C268="","",C268)</x:f>
        <x:v>25</x:v>
      </x:c>
      <x:c r="N85" s="2" t="n">
        <x:f>IF(D268="","",D268)</x:f>
        <x:v>30</x:v>
      </x:c>
      <x:c r="O85" s="2" t="n">
        <x:f>IF(E268="","",E268)</x:f>
        <x:v>75.76306164264679</x:v>
      </x:c>
      <x:c r="P85" s="2" t="str">
        <x:f>TEXT(B512,"0")&amp;"%"</x:f>
        <x:v>9%</x:v>
      </x:c>
      <x:c r="Q85" s="2" t="n">
        <x:f>IF(C512="","",C512)</x:f>
        <x:v>25</x:v>
      </x:c>
      <x:c r="R85" s="2" t="n">
        <x:f>IF(D512="","",D512)</x:f>
        <x:v>30</x:v>
      </x:c>
      <x:c r="S85" s="2" t="n">
        <x:f>IF(E512="","",E512)</x:f>
        <x:v>72.4106615781784</x:v>
      </x:c>
    </x:row>
    <x:row r="86" ht="27" customHeight="1">
      <x:c r="A86" s="2" t="str">
        <x:v>S001</x:v>
      </x:c>
      <x:c r="B86" s="2" t="n">
        <x:v>10</x:v>
      </x:c>
      <x:c r="C86" s="40" t="n">
        <x:v>25</x:v>
      </x:c>
      <x:c r="D86" s="40" t="n">
        <x:v>30</x:v>
      </x:c>
      <x:c r="E86" s="40" t="n">
        <x:v>80</x:v>
      </x:c>
      <x:c r="F86" s="13" t="str"/>
      <x:c r="G86" s="2"/>
      <x:c r="H86" s="2" t="str">
        <x:f>TEXT(B86,"0")&amp;"%"</x:f>
        <x:v>10%</x:v>
      </x:c>
      <x:c r="I86" s="2" t="n">
        <x:f>IF(C86="","",C86)</x:f>
        <x:v>25</x:v>
      </x:c>
      <x:c r="J86" s="2" t="n">
        <x:f>IF(D86="","",D86)</x:f>
        <x:v>30</x:v>
      </x:c>
      <x:c r="K86" s="2" t="n">
        <x:f>IF(E86="","",E86)</x:f>
        <x:v>80</x:v>
      </x:c>
      <x:c r="L86" s="2" t="str">
        <x:f>TEXT(B269,"0")&amp;"%"</x:f>
        <x:v>10%</x:v>
      </x:c>
      <x:c r="M86" s="2" t="n">
        <x:f>IF(C269="","",C269)</x:f>
        <x:v>25</x:v>
      </x:c>
      <x:c r="N86" s="2" t="n">
        <x:f>IF(D269="","",D269)</x:f>
        <x:v>30</x:v>
      </x:c>
      <x:c r="O86" s="2" t="n">
        <x:f>IF(E269="","",E269)</x:f>
        <x:v>74.88516449928284</x:v>
      </x:c>
      <x:c r="P86" s="2" t="str">
        <x:f>TEXT(B513,"0")&amp;"%"</x:f>
        <x:v>10%</x:v>
      </x:c>
      <x:c r="Q86" s="2" t="n">
        <x:f>IF(C513="","",C513)</x:f>
        <x:v>25</x:v>
      </x:c>
      <x:c r="R86" s="2" t="n">
        <x:f>IF(D513="","",D513)</x:f>
        <x:v>30</x:v>
      </x:c>
      <x:c r="S86" s="2" t="n">
        <x:f>IF(E513="","",E513)</x:f>
        <x:v>71.4380270242691</x:v>
      </x:c>
    </x:row>
    <x:row r="87" ht="27" customHeight="1">
      <x:c r="A87" s="2" t="str">
        <x:v>S001</x:v>
      </x:c>
      <x:c r="B87" s="2" t="n">
        <x:v>11</x:v>
      </x:c>
      <x:c r="C87" s="40" t="n">
        <x:v>25</x:v>
      </x:c>
      <x:c r="D87" s="40" t="n">
        <x:v>30</x:v>
      </x:c>
      <x:c r="E87" s="40" t="n">
        <x:v>80</x:v>
      </x:c>
      <x:c r="F87" s="13" t="str"/>
      <x:c r="G87" s="2"/>
      <x:c r="H87" s="2" t="str">
        <x:f>TEXT(B87,"0")&amp;"%"</x:f>
        <x:v>11%</x:v>
      </x:c>
      <x:c r="I87" s="2" t="n">
        <x:f>IF(C87="","",C87)</x:f>
        <x:v>25</x:v>
      </x:c>
      <x:c r="J87" s="2" t="n">
        <x:f>IF(D87="","",D87)</x:f>
        <x:v>30</x:v>
      </x:c>
      <x:c r="K87" s="2" t="n">
        <x:f>IF(E87="","",E87)</x:f>
        <x:v>80</x:v>
      </x:c>
      <x:c r="L87" s="2" t="str">
        <x:f>TEXT(B270,"0")&amp;"%"</x:f>
        <x:v>11%</x:v>
      </x:c>
      <x:c r="M87" s="2" t="n">
        <x:f>IF(C270="","",C270)</x:f>
        <x:v>25</x:v>
      </x:c>
      <x:c r="N87" s="2" t="n">
        <x:f>IF(D270="","",D270)</x:f>
        <x:v>30</x:v>
      </x:c>
      <x:c r="O87" s="2" t="n">
        <x:f>IF(E270="","",E270)</x:f>
        <x:v>73.97174715995789</x:v>
      </x:c>
      <x:c r="P87" s="2" t="str">
        <x:f>TEXT(B514,"0")&amp;"%"</x:f>
        <x:v>11%</x:v>
      </x:c>
      <x:c r="Q87" s="2" t="n">
        <x:f>IF(C514="","",C514)</x:f>
        <x:v>25</x:v>
      </x:c>
      <x:c r="R87" s="2" t="n">
        <x:f>IF(D514="","",D514)</x:f>
        <x:v>30</x:v>
      </x:c>
      <x:c r="S87" s="2" t="n">
        <x:f>IF(E514="","",E514)</x:f>
        <x:v>70.42449414730072</x:v>
      </x:c>
    </x:row>
    <x:row r="88" ht="27" customHeight="1">
      <x:c r="A88" s="2" t="str">
        <x:v>S001</x:v>
      </x:c>
      <x:c r="B88" s="2" t="n">
        <x:v>12</x:v>
      </x:c>
      <x:c r="C88" s="40" t="n">
        <x:v>25</x:v>
      </x:c>
      <x:c r="D88" s="40" t="n">
        <x:v>30</x:v>
      </x:c>
      <x:c r="E88" s="40" t="n">
        <x:v>80</x:v>
      </x:c>
      <x:c r="F88" s="13" t="str"/>
      <x:c r="G88" s="2"/>
      <x:c r="H88" s="2" t="str">
        <x:f>TEXT(B88,"0")&amp;"%"</x:f>
        <x:v>12%</x:v>
      </x:c>
      <x:c r="I88" s="2" t="n">
        <x:f>IF(C88="","",C88)</x:f>
        <x:v>25</x:v>
      </x:c>
      <x:c r="J88" s="2" t="n">
        <x:f>IF(D88="","",D88)</x:f>
        <x:v>30</x:v>
      </x:c>
      <x:c r="K88" s="2" t="n">
        <x:f>IF(E88="","",E88)</x:f>
        <x:v>80</x:v>
      </x:c>
      <x:c r="L88" s="2" t="str">
        <x:f>TEXT(B271,"0")&amp;"%"</x:f>
        <x:v>12%</x:v>
      </x:c>
      <x:c r="M88" s="2" t="n">
        <x:f>IF(C271="","",C271)</x:f>
        <x:v>25</x:v>
      </x:c>
      <x:c r="N88" s="2" t="n">
        <x:f>IF(D271="","",D271)</x:f>
        <x:v>30</x:v>
      </x:c>
      <x:c r="O88" s="2" t="n">
        <x:f>IF(E271="","",E271)</x:f>
        <x:v>73.02054762840271</x:v>
      </x:c>
      <x:c r="P88" s="2" t="str">
        <x:f>TEXT(B515,"0")&amp;"%"</x:f>
        <x:v>12%</x:v>
      </x:c>
      <x:c r="Q88" s="2" t="n">
        <x:f>IF(C515="","",C515)</x:f>
        <x:v>25</x:v>
      </x:c>
      <x:c r="R88" s="2" t="n">
        <x:f>IF(D515="","",D515)</x:f>
        <x:v>30</x:v>
      </x:c>
      <x:c r="S88" s="2" t="n">
        <x:f>IF(E515="","",E515)</x:f>
        <x:v>69.36732411384583</x:v>
      </x:c>
    </x:row>
    <x:row r="89" ht="27" customHeight="1">
      <x:c r="A89" s="2" t="str">
        <x:v>S001</x:v>
      </x:c>
      <x:c r="B89" s="2" t="n">
        <x:v>13</x:v>
      </x:c>
      <x:c r="C89" s="40" t="n">
        <x:v>25</x:v>
      </x:c>
      <x:c r="D89" s="40" t="n">
        <x:v>30</x:v>
      </x:c>
      <x:c r="E89" s="40" t="n">
        <x:v>80</x:v>
      </x:c>
      <x:c r="F89" s="13" t="str"/>
      <x:c r="G89" s="2"/>
      <x:c r="H89" s="2" t="str">
        <x:f>TEXT(B89,"0")&amp;"%"</x:f>
        <x:v>13%</x:v>
      </x:c>
      <x:c r="I89" s="2" t="n">
        <x:f>IF(C89="","",C89)</x:f>
        <x:v>25</x:v>
      </x:c>
      <x:c r="J89" s="2" t="n">
        <x:f>IF(D89="","",D89)</x:f>
        <x:v>30</x:v>
      </x:c>
      <x:c r="K89" s="2" t="n">
        <x:f>IF(E89="","",E89)</x:f>
        <x:v>80</x:v>
      </x:c>
      <x:c r="L89" s="2" t="str">
        <x:f>TEXT(B272,"0")&amp;"%"</x:f>
        <x:v>13%</x:v>
      </x:c>
      <x:c r="M89" s="2" t="n">
        <x:f>IF(C272="","",C272)</x:f>
        <x:v>25</x:v>
      </x:c>
      <x:c r="N89" s="2" t="n">
        <x:f>IF(D272="","",D272)</x:f>
        <x:v>30</x:v>
      </x:c>
      <x:c r="O89" s="2" t="n">
        <x:f>IF(E272="","",E272)</x:f>
        <x:v>72.02909827232361</x:v>
      </x:c>
      <x:c r="P89" s="2" t="str">
        <x:f>TEXT(B516,"0")&amp;"%"</x:f>
        <x:v>13%</x:v>
      </x:c>
      <x:c r="Q89" s="2" t="n">
        <x:f>IF(C516="","",C516)</x:f>
        <x:v>25</x:v>
      </x:c>
      <x:c r="R89" s="2" t="n">
        <x:f>IF(D516="","",D516)</x:f>
        <x:v>30</x:v>
      </x:c>
      <x:c r="S89" s="2" t="n">
        <x:f>IF(E516="","",E516)</x:f>
        <x:v>68.26351583003998</x:v>
      </x:c>
    </x:row>
    <x:row r="90" ht="27" customHeight="1">
      <x:c r="A90" s="2" t="str">
        <x:v>S001</x:v>
      </x:c>
      <x:c r="B90" s="2" t="n">
        <x:v>14</x:v>
      </x:c>
      <x:c r="C90" s="40" t="n">
        <x:v>25</x:v>
      </x:c>
      <x:c r="D90" s="40" t="n">
        <x:v>30</x:v>
      </x:c>
      <x:c r="E90" s="40" t="n">
        <x:v>80</x:v>
      </x:c>
      <x:c r="F90" s="13" t="str"/>
      <x:c r="G90" s="2"/>
      <x:c r="H90" s="2" t="str">
        <x:f>TEXT(B90,"0")&amp;"%"</x:f>
        <x:v>14%</x:v>
      </x:c>
      <x:c r="I90" s="2" t="n">
        <x:f>IF(C90="","",C90)</x:f>
        <x:v>25</x:v>
      </x:c>
      <x:c r="J90" s="2" t="n">
        <x:f>IF(D90="","",D90)</x:f>
        <x:v>30</x:v>
      </x:c>
      <x:c r="K90" s="2" t="n">
        <x:f>IF(E90="","",E90)</x:f>
        <x:v>80</x:v>
      </x:c>
      <x:c r="L90" s="2" t="str">
        <x:f>TEXT(B273,"0")&amp;"%"</x:f>
        <x:v>14%</x:v>
      </x:c>
      <x:c r="M90" s="2" t="n">
        <x:f>IF(C273="","",C273)</x:f>
        <x:v>25</x:v>
      </x:c>
      <x:c r="N90" s="2" t="n">
        <x:f>IF(D273="","",D273)</x:f>
        <x:v>30</x:v>
      </x:c>
      <x:c r="O90" s="2" t="n">
        <x:f>IF(E273="","",E273)</x:f>
        <x:v>70.99470257759094</x:v>
      </x:c>
      <x:c r="P90" s="2" t="str">
        <x:f>TEXT(B517,"0")&amp;"%"</x:f>
        <x:v>14%</x:v>
      </x:c>
      <x:c r="Q90" s="2" t="n">
        <x:f>IF(C517="","",C517)</x:f>
        <x:v>25</x:v>
      </x:c>
      <x:c r="R90" s="2" t="n">
        <x:f>IF(D517="","",D517)</x:f>
        <x:v>30</x:v>
      </x:c>
      <x:c r="S90" s="2" t="n">
        <x:f>IF(E517="","",E517)</x:f>
        <x:v>67.10976958274841</x:v>
      </x:c>
    </x:row>
    <x:row r="91" ht="27" customHeight="1">
      <x:c r="A91" s="2" t="str">
        <x:v>S001</x:v>
      </x:c>
      <x:c r="B91" s="2" t="n">
        <x:v>15</x:v>
      </x:c>
      <x:c r="C91" s="40" t="n">
        <x:v>25</x:v>
      </x:c>
      <x:c r="D91" s="40" t="n">
        <x:v>30</x:v>
      </x:c>
      <x:c r="E91" s="40" t="n">
        <x:v>80</x:v>
      </x:c>
      <x:c r="F91" s="13" t="str"/>
      <x:c r="G91" s="2"/>
      <x:c r="H91" s="2" t="str">
        <x:f>TEXT(B91,"0")&amp;"%"</x:f>
        <x:v>15%</x:v>
      </x:c>
      <x:c r="I91" s="2" t="n">
        <x:f>IF(C91="","",C91)</x:f>
        <x:v>25</x:v>
      </x:c>
      <x:c r="J91" s="2" t="n">
        <x:f>IF(D91="","",D91)</x:f>
        <x:v>30</x:v>
      </x:c>
      <x:c r="K91" s="2" t="n">
        <x:f>IF(E91="","",E91)</x:f>
        <x:v>80</x:v>
      </x:c>
      <x:c r="L91" s="2" t="str">
        <x:f>TEXT(B274,"0")&amp;"%"</x:f>
        <x:v>15%</x:v>
      </x:c>
      <x:c r="M91" s="2" t="n">
        <x:f>IF(C274="","",C274)</x:f>
        <x:v>25</x:v>
      </x:c>
      <x:c r="N91" s="2" t="n">
        <x:f>IF(D274="","",D274)</x:f>
        <x:v>30</x:v>
      </x:c>
      <x:c r="O91" s="2" t="n">
        <x:f>IF(E274="","",E274)</x:f>
        <x:v>69.91440713405609</x:v>
      </x:c>
      <x:c r="P91" s="2" t="str">
        <x:f>TEXT(B518,"0")&amp;"%"</x:f>
        <x:v>15%</x:v>
      </x:c>
      <x:c r="Q91" s="2" t="n">
        <x:f>IF(C518="","",C518)</x:f>
        <x:v>25</x:v>
      </x:c>
      <x:c r="R91" s="2" t="n">
        <x:f>IF(D518="","",D518)</x:f>
        <x:v>30</x:v>
      </x:c>
      <x:c r="S91" s="2" t="n">
        <x:f>IF(E518="","",E518)</x:f>
        <x:v>65.90244710445404</x:v>
      </x:c>
    </x:row>
    <x:row r="92" ht="27" customHeight="1">
      <x:c r="A92" s="2" t="str">
        <x:v>S001</x:v>
      </x:c>
      <x:c r="B92" s="2" t="n">
        <x:v>16</x:v>
      </x:c>
      <x:c r="C92" s="40" t="n">
        <x:v>25</x:v>
      </x:c>
      <x:c r="D92" s="40" t="n">
        <x:v>30</x:v>
      </x:c>
      <x:c r="E92" s="40" t="n">
        <x:v>80</x:v>
      </x:c>
      <x:c r="F92" s="13" t="str"/>
      <x:c r="G92" s="2"/>
      <x:c r="H92" s="2" t="str">
        <x:f>TEXT(B92,"0")&amp;"%"</x:f>
        <x:v>16%</x:v>
      </x:c>
      <x:c r="I92" s="2" t="n">
        <x:f>IF(C92="","",C92)</x:f>
        <x:v>25</x:v>
      </x:c>
      <x:c r="J92" s="2" t="n">
        <x:f>IF(D92="","",D92)</x:f>
        <x:v>30</x:v>
      </x:c>
      <x:c r="K92" s="2" t="n">
        <x:f>IF(E92="","",E92)</x:f>
        <x:v>80</x:v>
      </x:c>
      <x:c r="L92" s="2" t="str">
        <x:f>TEXT(B275,"0")&amp;"%"</x:f>
        <x:v>16%</x:v>
      </x:c>
      <x:c r="M92" s="2" t="n">
        <x:f>IF(C275="","",C275)</x:f>
        <x:v>25</x:v>
      </x:c>
      <x:c r="N92" s="2" t="n">
        <x:f>IF(D275="","",D275)</x:f>
        <x:v>30</x:v>
      </x:c>
      <x:c r="O92" s="2" t="n">
        <x:f>IF(E275="","",E275)</x:f>
        <x:v>68.78496646881104</x:v>
      </x:c>
      <x:c r="P92" s="2" t="str">
        <x:f>TEXT(B519,"0")&amp;"%"</x:f>
        <x:v>16%</x:v>
      </x:c>
      <x:c r="Q92" s="2" t="n">
        <x:f>IF(C519="","",C519)</x:f>
        <x:v>25</x:v>
      </x:c>
      <x:c r="R92" s="2" t="n">
        <x:f>IF(D519="","",D519)</x:f>
        <x:v>30</x:v>
      </x:c>
      <x:c r="S92" s="2" t="n">
        <x:f>IF(E519="","",E519)</x:f>
        <x:v>64.63752210140228</x:v>
      </x:c>
    </x:row>
    <x:row r="93" ht="27" customHeight="1">
      <x:c r="A93" s="2" t="str">
        <x:v>S001</x:v>
      </x:c>
      <x:c r="B93" s="2" t="n">
        <x:v>17</x:v>
      </x:c>
      <x:c r="C93" s="40" t="n">
        <x:v>25</x:v>
      </x:c>
      <x:c r="D93" s="40" t="n">
        <x:v>30</x:v>
      </x:c>
      <x:c r="E93" s="40" t="n">
        <x:v>80</x:v>
      </x:c>
      <x:c r="F93" s="13" t="str"/>
      <x:c r="G93" s="2"/>
      <x:c r="H93" s="2" t="str">
        <x:f>TEXT(B93,"0")&amp;"%"</x:f>
        <x:v>17%</x:v>
      </x:c>
      <x:c r="I93" s="2" t="n">
        <x:f>IF(C93="","",C93)</x:f>
        <x:v>25</x:v>
      </x:c>
      <x:c r="J93" s="2" t="n">
        <x:f>IF(D93="","",D93)</x:f>
        <x:v>30</x:v>
      </x:c>
      <x:c r="K93" s="2" t="n">
        <x:f>IF(E93="","",E93)</x:f>
        <x:v>80</x:v>
      </x:c>
      <x:c r="L93" s="2" t="str">
        <x:f>TEXT(B276,"0")&amp;"%"</x:f>
        <x:v>17%</x:v>
      </x:c>
      <x:c r="M93" s="2" t="n">
        <x:f>IF(C276="","",C276)</x:f>
        <x:v>25</x:v>
      </x:c>
      <x:c r="N93" s="2" t="n">
        <x:f>IF(D276="","",D276)</x:f>
        <x:v>30</x:v>
      </x:c>
      <x:c r="O93" s="2" t="n">
        <x:f>IF(E276="","",E276)</x:f>
        <x:v>67.60280549526215</x:v>
      </x:c>
      <x:c r="P93" s="2" t="str">
        <x:f>TEXT(B520,"0")&amp;"%"</x:f>
        <x:v>17%</x:v>
      </x:c>
      <x:c r="Q93" s="2" t="n">
        <x:f>IF(C520="","",C520)</x:f>
        <x:v>25</x:v>
      </x:c>
      <x:c r="R93" s="2" t="n">
        <x:f>IF(D520="","",D520)</x:f>
        <x:v>30</x:v>
      </x:c>
      <x:c r="S93" s="2" t="n">
        <x:f>IF(E520="","",E520)</x:f>
        <x:v>63.31052482128143</x:v>
      </x:c>
    </x:row>
    <x:row r="94" ht="27" customHeight="1">
      <x:c r="A94" s="2" t="str">
        <x:v>S001</x:v>
      </x:c>
      <x:c r="B94" s="2" t="n">
        <x:v>18</x:v>
      </x:c>
      <x:c r="C94" s="40" t="n">
        <x:v>25</x:v>
      </x:c>
      <x:c r="D94" s="40" t="n">
        <x:v>30</x:v>
      </x:c>
      <x:c r="E94" s="40" t="n">
        <x:v>80</x:v>
      </x:c>
      <x:c r="F94" s="13" t="str"/>
      <x:c r="G94" s="2"/>
      <x:c r="H94" s="2" t="str">
        <x:f>TEXT(B94,"0")&amp;"%"</x:f>
        <x:v>18%</x:v>
      </x:c>
      <x:c r="I94" s="2" t="n">
        <x:f>IF(C94="","",C94)</x:f>
        <x:v>25</x:v>
      </x:c>
      <x:c r="J94" s="2" t="n">
        <x:f>IF(D94="","",D94)</x:f>
        <x:v>30</x:v>
      </x:c>
      <x:c r="K94" s="2" t="n">
        <x:f>IF(E94="","",E94)</x:f>
        <x:v>80</x:v>
      </x:c>
      <x:c r="L94" s="2" t="str">
        <x:f>TEXT(B277,"0")&amp;"%"</x:f>
        <x:v>18%</x:v>
      </x:c>
      <x:c r="M94" s="2" t="n">
        <x:f>IF(C277="","",C277)</x:f>
        <x:v>25</x:v>
      </x:c>
      <x:c r="N94" s="2" t="n">
        <x:f>IF(D277="","",D277)</x:f>
        <x:v>30</x:v>
      </x:c>
      <x:c r="O94" s="2" t="n">
        <x:f>IF(E277="","",E277)</x:f>
        <x:v>66.36397063732147</x:v>
      </x:c>
      <x:c r="P94" s="2" t="str">
        <x:f>TEXT(B521,"0")&amp;"%"</x:f>
        <x:v>18%</x:v>
      </x:c>
      <x:c r="Q94" s="2" t="n">
        <x:f>IF(C521="","",C521)</x:f>
        <x:v>25</x:v>
      </x:c>
      <x:c r="R94" s="2" t="n">
        <x:f>IF(D521="","",D521)</x:f>
        <x:v>29.906251430511475</x:v>
      </x:c>
      <x:c r="S94" s="2" t="n">
        <x:f>IF(E521="","",E521)</x:f>
        <x:v>61.916470527648926</x:v>
      </x:c>
    </x:row>
    <x:row r="95" ht="27" customHeight="1">
      <x:c r="A95" s="2" t="str">
        <x:v>S001</x:v>
      </x:c>
      <x:c r="B95" s="2" t="n">
        <x:v>19</x:v>
      </x:c>
      <x:c r="C95" s="40" t="n">
        <x:v>25</x:v>
      </x:c>
      <x:c r="D95" s="40" t="n">
        <x:v>30</x:v>
      </x:c>
      <x:c r="E95" s="40" t="n">
        <x:v>80</x:v>
      </x:c>
      <x:c r="F95" s="13" t="str"/>
      <x:c r="G95" s="2"/>
      <x:c r="H95" s="2" t="str">
        <x:f>TEXT(B95,"0")&amp;"%"</x:f>
        <x:v>19%</x:v>
      </x:c>
      <x:c r="I95" s="2" t="n">
        <x:f>IF(C95="","",C95)</x:f>
        <x:v>25</x:v>
      </x:c>
      <x:c r="J95" s="2" t="n">
        <x:f>IF(D95="","",D95)</x:f>
        <x:v>30</x:v>
      </x:c>
      <x:c r="K95" s="2" t="n">
        <x:f>IF(E95="","",E95)</x:f>
        <x:v>80</x:v>
      </x:c>
      <x:c r="L95" s="2" t="str">
        <x:f>TEXT(B278,"0")&amp;"%"</x:f>
        <x:v>19%</x:v>
      </x:c>
      <x:c r="M95" s="2" t="n">
        <x:f>IF(C278="","",C278)</x:f>
        <x:v>25</x:v>
      </x:c>
      <x:c r="N95" s="2" t="n">
        <x:f>IF(D278="","",D278)</x:f>
        <x:v>30</x:v>
      </x:c>
      <x:c r="O95" s="2" t="n">
        <x:f>IF(E278="","",E278)</x:f>
        <x:v>65.06407976150513</x:v>
      </x:c>
      <x:c r="P95" s="2" t="str">
        <x:f>TEXT(B522,"0")&amp;"%"</x:f>
        <x:v>19%</x:v>
      </x:c>
      <x:c r="Q95" s="2" t="n">
        <x:f>IF(C522="","",C522)</x:f>
        <x:v>25</x:v>
      </x:c>
      <x:c r="R95" s="2" t="n">
        <x:f>IF(D522="","",D522)</x:f>
        <x:v>29.367283880710602</x:v>
      </x:c>
      <x:c r="S95" s="2" t="n">
        <x:f>IF(E522="","",E522)</x:f>
        <x:v>60.44977784156799</x:v>
      </x:c>
    </x:row>
    <x:row r="96" ht="27" customHeight="1">
      <x:c r="A96" s="2" t="str">
        <x:v>S001</x:v>
      </x:c>
      <x:c r="B96" s="2" t="n">
        <x:v>20</x:v>
      </x:c>
      <x:c r="C96" s="40" t="n">
        <x:v>25</x:v>
      </x:c>
      <x:c r="D96" s="40" t="n">
        <x:v>30</x:v>
      </x:c>
      <x:c r="E96" s="40" t="n">
        <x:v>80</x:v>
      </x:c>
      <x:c r="F96" s="13" t="str"/>
      <x:c r="G96" s="2"/>
      <x:c r="H96" s="2" t="str">
        <x:f>TEXT(B96,"0")&amp;"%"</x:f>
        <x:v>20%</x:v>
      </x:c>
      <x:c r="I96" s="2" t="n">
        <x:f>IF(C96="","",C96)</x:f>
        <x:v>25</x:v>
      </x:c>
      <x:c r="J96" s="2" t="n">
        <x:f>IF(D96="","",D96)</x:f>
        <x:v>30</x:v>
      </x:c>
      <x:c r="K96" s="2" t="n">
        <x:f>IF(E96="","",E96)</x:f>
        <x:v>80</x:v>
      </x:c>
      <x:c r="L96" s="2" t="str">
        <x:f>TEXT(B279,"0")&amp;"%"</x:f>
        <x:v>20%</x:v>
      </x:c>
      <x:c r="M96" s="2" t="n">
        <x:f>IF(C279="","",C279)</x:f>
        <x:v>25</x:v>
      </x:c>
      <x:c r="N96" s="2" t="n">
        <x:f>IF(D279="","",D279)</x:f>
        <x:v>30</x:v>
      </x:c>
      <x:c r="O96" s="2" t="n">
        <x:f>IF(E279="","",E279)</x:f>
        <x:v>63.69825065135956</x:v>
      </x:c>
      <x:c r="P96" s="2" t="str">
        <x:f>TEXT(B523,"0")&amp;"%"</x:f>
        <x:v>20%</x:v>
      </x:c>
      <x:c r="Q96" s="2" t="n">
        <x:f>IF(C523="","",C523)</x:f>
        <x:v>25</x:v>
      </x:c>
      <x:c r="R96" s="2" t="n">
        <x:f>IF(D523="","",D523)</x:f>
        <x:v>28.80136013031006</x:v>
      </x:c>
      <x:c r="S96" s="2" t="n">
        <x:f>IF(E523="","",E523)</x:f>
        <x:v>58.904165625572205</x:v>
      </x:c>
    </x:row>
    <x:row r="97" ht="27" customHeight="1">
      <x:c r="A97" s="2" t="str">
        <x:v>S001</x:v>
      </x:c>
      <x:c r="B97" s="2" t="n">
        <x:v>21</x:v>
      </x:c>
      <x:c r="C97" s="40" t="n">
        <x:v>25</x:v>
      </x:c>
      <x:c r="D97" s="40" t="n">
        <x:v>30</x:v>
      </x:c>
      <x:c r="E97" s="40" t="n">
        <x:v>80</x:v>
      </x:c>
      <x:c r="F97" s="13" t="str"/>
      <x:c r="G97" s="2"/>
      <x:c r="H97" s="2" t="str">
        <x:f>TEXT(B97,"0")&amp;"%"</x:f>
        <x:v>21%</x:v>
      </x:c>
      <x:c r="I97" s="2" t="n">
        <x:f>IF(C97="","",C97)</x:f>
        <x:v>25</x:v>
      </x:c>
      <x:c r="J97" s="2" t="n">
        <x:f>IF(D97="","",D97)</x:f>
        <x:v>30</x:v>
      </x:c>
      <x:c r="K97" s="2" t="n">
        <x:f>IF(E97="","",E97)</x:f>
        <x:v>80</x:v>
      </x:c>
      <x:c r="L97" s="2" t="str">
        <x:f>TEXT(B280,"0")&amp;"%"</x:f>
        <x:v>21%</x:v>
      </x:c>
      <x:c r="M97" s="2" t="n">
        <x:f>IF(C280="","",C280)</x:f>
        <x:v>25</x:v>
      </x:c>
      <x:c r="N97" s="2" t="n">
        <x:f>IF(D280="","",D280)</x:f>
        <x:v>29.865599870681763</x:v>
      </x:c>
      <x:c r="O97" s="2" t="n">
        <x:f>IF(E280="","",E280)</x:f>
        <x:v>62.261027097702026</x:v>
      </x:c>
      <x:c r="P97" s="2" t="str">
        <x:f>TEXT(B524,"0")&amp;"%"</x:f>
        <x:v>21%</x:v>
      </x:c>
      <x:c r="Q97" s="2" t="n">
        <x:f>IF(C524="","",C524)</x:f>
        <x:v>25</x:v>
      </x:c>
      <x:c r="R97" s="2" t="n">
        <x:f>IF(D524="","",D524)</x:f>
        <x:v>28.206292390823364</x:v>
      </x:c>
      <x:c r="S97" s="2" t="n">
        <x:f>IF(E524="","",E524)</x:f>
        <x:v>57.272526025772095</x:v>
      </x:c>
    </x:row>
    <x:row r="98" ht="27" customHeight="1">
      <x:c r="A98" s="2" t="str">
        <x:v>S001</x:v>
      </x:c>
      <x:c r="B98" s="2" t="n">
        <x:v>22</x:v>
      </x:c>
      <x:c r="C98" s="40" t="n">
        <x:v>25</x:v>
      </x:c>
      <x:c r="D98" s="40" t="n">
        <x:v>30</x:v>
      </x:c>
      <x:c r="E98" s="40" t="n">
        <x:v>80</x:v>
      </x:c>
      <x:c r="F98" s="13" t="str"/>
      <x:c r="G98" s="2"/>
      <x:c r="H98" s="2" t="str">
        <x:f>TEXT(B98,"0")&amp;"%"</x:f>
        <x:v>22%</x:v>
      </x:c>
      <x:c r="I98" s="2" t="n">
        <x:f>IF(C98="","",C98)</x:f>
        <x:v>25</x:v>
      </x:c>
      <x:c r="J98" s="2" t="n">
        <x:f>IF(D98="","",D98)</x:f>
        <x:v>30</x:v>
      </x:c>
      <x:c r="K98" s="2" t="n">
        <x:f>IF(E98="","",E98)</x:f>
        <x:v>80</x:v>
      </x:c>
      <x:c r="L98" s="2" t="str">
        <x:f>TEXT(B281,"0")&amp;"%"</x:f>
        <x:v>22%</x:v>
      </x:c>
      <x:c r="M98" s="2" t="n">
        <x:f>IF(C281="","",C281)</x:f>
        <x:v>25</x:v>
      </x:c>
      <x:c r="N98" s="2" t="n">
        <x:f>IF(D281="","",D281)</x:f>
        <x:v>29.29955095052719</x:v>
      </x:c>
      <x:c r="O98" s="2" t="n">
        <x:f>IF(E281="","",E281)</x:f>
        <x:v>60.74627935886383</x:v>
      </x:c>
      <x:c r="P98" s="2" t="str">
        <x:f>TEXT(B525,"0")&amp;"%"</x:f>
        <x:v>22%</x:v>
      </x:c>
      <x:c r="Q98" s="2" t="n">
        <x:f>IF(C525="","",C525)</x:f>
        <x:v>25</x:v>
      </x:c>
      <x:c r="R98" s="2" t="n">
        <x:f>IF(D525="","",D525)</x:f>
        <x:v>27.579632699489594</x:v>
      </x:c>
      <x:c r="S98" s="2" t="n">
        <x:f>IF(E525="","",E525)</x:f>
        <x:v>55.54676413536072</x:v>
      </x:c>
    </x:row>
    <x:row r="99" ht="27" customHeight="1">
      <x:c r="A99" s="2" t="str">
        <x:v>S001</x:v>
      </x:c>
      <x:c r="B99" s="2" t="n">
        <x:v>23</x:v>
      </x:c>
      <x:c r="C99" s="40" t="n">
        <x:v>25</x:v>
      </x:c>
      <x:c r="D99" s="40" t="n">
        <x:v>30</x:v>
      </x:c>
      <x:c r="E99" s="40" t="n">
        <x:v>80</x:v>
      </x:c>
      <x:c r="F99" s="13" t="str"/>
      <x:c r="G99" s="2"/>
      <x:c r="H99" s="2" t="str">
        <x:f>TEXT(B99,"0")&amp;"%"</x:f>
        <x:v>23%</x:v>
      </x:c>
      <x:c r="I99" s="2" t="n">
        <x:f>IF(C99="","",C99)</x:f>
        <x:v>25</x:v>
      </x:c>
      <x:c r="J99" s="2" t="n">
        <x:f>IF(D99="","",D99)</x:f>
        <x:v>30</x:v>
      </x:c>
      <x:c r="K99" s="2" t="n">
        <x:f>IF(E99="","",E99)</x:f>
        <x:v>80</x:v>
      </x:c>
      <x:c r="L99" s="2" t="str">
        <x:f>TEXT(B282,"0")&amp;"%"</x:f>
        <x:v>23%</x:v>
      </x:c>
      <x:c r="M99" s="2" t="n">
        <x:f>IF(C282="","",C282)</x:f>
        <x:v>25</x:v>
      </x:c>
      <x:c r="N99" s="2" t="n">
        <x:f>IF(D282="","",D282)</x:f>
        <x:v>28.703835010528564</x:v>
      </x:c>
      <x:c r="O99" s="2" t="n">
        <x:f>IF(E282="","",E282)</x:f>
        <x:v>59.14708733558655</x:v>
      </x:c>
      <x:c r="P99" s="2" t="str">
        <x:f>TEXT(B526,"0")&amp;"%"</x:f>
        <x:v>23%</x:v>
      </x:c>
      <x:c r="Q99" s="2" t="n">
        <x:f>IF(C526="","",C526)</x:f>
        <x:v>25</x:v>
      </x:c>
      <x:c r="R99" s="2" t="n">
        <x:f>IF(D526="","",D526)</x:f>
        <x:v>26.91862642765045</x:v>
      </x:c>
      <x:c r="S99" s="2" t="n">
        <x:f>IF(E526="","",E526)</x:f>
        <x:v>53.71760010719299</x:v>
      </x:c>
    </x:row>
    <x:row r="100" ht="27" customHeight="1">
      <x:c r="A100" s="2" t="str">
        <x:v>S001</x:v>
      </x:c>
      <x:c r="B100" s="2" t="n">
        <x:v>24</x:v>
      </x:c>
      <x:c r="C100" s="40" t="n">
        <x:v>25</x:v>
      </x:c>
      <x:c r="D100" s="40" t="n">
        <x:v>30</x:v>
      </x:c>
      <x:c r="E100" s="40" t="n">
        <x:v>80</x:v>
      </x:c>
      <x:c r="F100" s="13" t="str"/>
      <x:c r="G100" s="2"/>
      <x:c r="H100" s="2" t="str">
        <x:f>TEXT(B100,"0")&amp;"%"</x:f>
        <x:v>24%</x:v>
      </x:c>
      <x:c r="I100" s="2" t="n">
        <x:f>IF(C100="","",C100)</x:f>
        <x:v>25</x:v>
      </x:c>
      <x:c r="J100" s="2" t="n">
        <x:f>IF(D100="","",D100)</x:f>
        <x:v>30</x:v>
      </x:c>
      <x:c r="K100" s="2" t="n">
        <x:f>IF(E100="","",E100)</x:f>
        <x:v>80</x:v>
      </x:c>
      <x:c r="L100" s="2" t="str">
        <x:f>TEXT(B283,"0")&amp;"%"</x:f>
        <x:v>24%</x:v>
      </x:c>
      <x:c r="M100" s="2" t="n">
        <x:f>IF(C283="","",C283)</x:f>
        <x:v>25</x:v>
      </x:c>
      <x:c r="N100" s="2" t="n">
        <x:f>IF(D283="","",D283)</x:f>
        <x:v>28.075931668281555</x:v>
      </x:c>
      <x:c r="O100" s="2" t="n">
        <x:f>IF(E283="","",E283)</x:f>
        <x:v>57.45559275150299</x:v>
      </x:c>
      <x:c r="P100" s="2" t="str">
        <x:f>TEXT(B527,"0")&amp;"%"</x:f>
        <x:v>24%</x:v>
      </x:c>
      <x:c r="Q100" s="2" t="n">
        <x:f>IF(C527="","",C527)</x:f>
        <x:v>25</x:v>
      </x:c>
      <x:c r="R100" s="2" t="n">
        <x:f>IF(D527="","",D527)</x:f>
        <x:v>26.220157742500305</x:v>
      </x:c>
      <x:c r="S100" s="2" t="n">
        <x:f>IF(E527="","",E527)</x:f>
        <x:v>51.774301528930664</x:v>
      </x:c>
    </x:row>
    <x:row r="101" ht="27" customHeight="1">
      <x:c r="A101" s="2" t="str">
        <x:v>S001</x:v>
      </x:c>
      <x:c r="B101" s="2" t="n">
        <x:v>25</x:v>
      </x:c>
      <x:c r="C101" s="40" t="n">
        <x:v>25</x:v>
      </x:c>
      <x:c r="D101" s="40" t="n">
        <x:v>30</x:v>
      </x:c>
      <x:c r="E101" s="40" t="n">
        <x:v>80</x:v>
      </x:c>
      <x:c r="F101" s="13" t="str"/>
      <x:c r="G101" s="2"/>
      <x:c r="H101" s="2" t="str">
        <x:f>TEXT(B101,"0")&amp;"%"</x:f>
        <x:v>25%</x:v>
      </x:c>
      <x:c r="I101" s="2" t="n">
        <x:f>IF(C101="","",C101)</x:f>
        <x:v>25</x:v>
      </x:c>
      <x:c r="J101" s="2" t="n">
        <x:f>IF(D101="","",D101)</x:f>
        <x:v>30</x:v>
      </x:c>
      <x:c r="K101" s="2" t="n">
        <x:f>IF(E101="","",E101)</x:f>
        <x:v>80</x:v>
      </x:c>
      <x:c r="L101" s="2" t="str">
        <x:f>TEXT(B284,"0")&amp;"%"</x:f>
        <x:v>25%</x:v>
      </x:c>
      <x:c r="M101" s="2" t="n">
        <x:f>IF(C284="","",C284)</x:f>
        <x:v>25</x:v>
      </x:c>
      <x:c r="N101" s="2" t="n">
        <x:f>IF(D284="","",D284)</x:f>
        <x:v>27.413001358509064</x:v>
      </x:c>
      <x:c r="O101" s="2" t="n">
        <x:f>IF(E284="","",E284)</x:f>
        <x:v>55.66281259059906</x:v>
      </x:c>
      <x:c r="P101" s="2" t="str">
        <x:f>TEXT(B528,"0")&amp;"%"</x:f>
        <x:v>25%</x:v>
      </x:c>
      <x:c r="Q101" s="2" t="n">
        <x:f>IF(C528="","",C528)</x:f>
        <x:v>24.563053995370865</x:v>
      </x:c>
      <x:c r="R101" s="2" t="n">
        <x:f>IF(D528="","",D528)</x:f>
        <x:v>25.480684340000153</x:v>
      </x:c>
      <x:c r="S101" s="2" t="n">
        <x:f>IF(E528="","",E528)</x:f>
        <x:v>49.70434486865997</x:v>
      </x:c>
    </x:row>
    <x:row r="102" ht="27" customHeight="1">
      <x:c r="A102" s="2" t="str">
        <x:v>S001</x:v>
      </x:c>
      <x:c r="B102" s="2" t="n">
        <x:v>26</x:v>
      </x:c>
      <x:c r="C102" s="40" t="n">
        <x:v>25</x:v>
      </x:c>
      <x:c r="D102" s="40" t="n">
        <x:v>30</x:v>
      </x:c>
      <x:c r="E102" s="40" t="n">
        <x:v>80</x:v>
      </x:c>
      <x:c r="F102" s="13" t="str"/>
      <x:c r="G102" s="2"/>
      <x:c r="H102" s="2" t="str">
        <x:f>TEXT(B102,"0")&amp;"%"</x:f>
        <x:v>26%</x:v>
      </x:c>
      <x:c r="I102" s="2" t="n">
        <x:f>IF(C102="","",C102)</x:f>
        <x:v>25</x:v>
      </x:c>
      <x:c r="J102" s="2" t="n">
        <x:f>IF(D102="","",D102)</x:f>
        <x:v>30</x:v>
      </x:c>
      <x:c r="K102" s="2" t="n">
        <x:f>IF(E102="","",E102)</x:f>
        <x:v>80</x:v>
      </x:c>
      <x:c r="L102" s="2" t="str">
        <x:f>TEXT(B285,"0")&amp;"%"</x:f>
        <x:v>26%</x:v>
      </x:c>
      <x:c r="M102" s="2" t="n">
        <x:f>IF(C285="","",C285)</x:f>
        <x:v>25</x:v>
      </x:c>
      <x:c r="N102" s="2" t="n">
        <x:f>IF(D285="","",D285)</x:f>
        <x:v>26.71183079481125</x:v>
      </x:c>
      <x:c r="O102" s="2" t="n">
        <x:f>IF(E285="","",E285)</x:f>
        <x:v>53.75840246677399</x:v>
      </x:c>
      <x:c r="P102" s="2" t="str">
        <x:f>TEXT(B529,"0")&amp;"%"</x:f>
        <x:v>26%</x:v>
      </x:c>
      <x:c r="Q102" s="2" t="n">
        <x:f>IF(C529="","",C529)</x:f>
        <x:v>22.865545749664307</x:v>
      </x:c>
      <x:c r="R102" s="2" t="n">
        <x:f>IF(D529="","",D529)</x:f>
        <x:v>24.696149826049805</x:v>
      </x:c>
      <x:c r="S102" s="2" t="n">
        <x:f>IF(E529="","",E529)</x:f>
        <x:v>47.49294817447662</x:v>
      </x:c>
    </x:row>
    <x:row r="103" ht="27" customHeight="1">
      <x:c r="A103" s="2" t="str">
        <x:v>S001</x:v>
      </x:c>
      <x:c r="B103" s="2" t="n">
        <x:v>27</x:v>
      </x:c>
      <x:c r="C103" s="40" t="n">
        <x:v>25</x:v>
      </x:c>
      <x:c r="D103" s="40" t="n">
        <x:v>30</x:v>
      </x:c>
      <x:c r="E103" s="40" t="n">
        <x:v>80</x:v>
      </x:c>
      <x:c r="F103" s="13" t="str"/>
      <x:c r="G103" s="2"/>
      <x:c r="H103" s="2" t="str">
        <x:f>TEXT(B103,"0")&amp;"%"</x:f>
        <x:v>27%</x:v>
      </x:c>
      <x:c r="I103" s="2" t="n">
        <x:f>IF(C103="","",C103)</x:f>
        <x:v>25</x:v>
      </x:c>
      <x:c r="J103" s="2" t="n">
        <x:f>IF(D103="","",D103)</x:f>
        <x:v>30</x:v>
      </x:c>
      <x:c r="K103" s="2" t="n">
        <x:f>IF(E103="","",E103)</x:f>
        <x:v>80</x:v>
      </x:c>
      <x:c r="L103" s="2" t="str">
        <x:f>TEXT(B286,"0")&amp;"%"</x:f>
        <x:v>27%</x:v>
      </x:c>
      <x:c r="M103" s="2" t="n">
        <x:f>IF(C286="","",C286)</x:f>
        <x:v>25</x:v>
      </x:c>
      <x:c r="N103" s="2" t="n">
        <x:f>IF(D286="","",D286)</x:f>
        <x:v>25.968765914440155</x:v>
      </x:c>
      <x:c r="O103" s="2" t="n">
        <x:f>IF(E286="","",E286)</x:f>
        <x:v>51.730345487594604</x:v>
      </x:c>
      <x:c r="P103" s="2" t="str">
        <x:f>TEXT(B530,"0")&amp;"%"</x:f>
        <x:v>27%</x:v>
      </x:c>
      <x:c r="Q103" s="2" t="n">
        <x:f>IF(C530="","",C530)</x:f>
        <x:v>21.017710864543915</x:v>
      </x:c>
      <x:c r="R103" s="2" t="n">
        <x:f>IF(D530="","",D530)</x:f>
        <x:v>23.861873745918274</x:v>
      </x:c>
      <x:c r="S103" s="2" t="n">
        <x:f>IF(E530="","",E530)</x:f>
        <x:v>45.12243151664734</x:v>
      </x:c>
    </x:row>
    <x:row r="104" ht="27" customHeight="1">
      <x:c r="A104" s="2" t="str">
        <x:v>S001</x:v>
      </x:c>
      <x:c r="B104" s="2" t="n">
        <x:v>28</x:v>
      </x:c>
      <x:c r="C104" s="40" t="n">
        <x:v>25</x:v>
      </x:c>
      <x:c r="D104" s="40" t="n">
        <x:v>30</x:v>
      </x:c>
      <x:c r="E104" s="40" t="n">
        <x:v>80</x:v>
      </x:c>
      <x:c r="F104" s="13" t="str"/>
      <x:c r="G104" s="2"/>
      <x:c r="H104" s="2" t="str">
        <x:f>TEXT(B104,"0")&amp;"%"</x:f>
        <x:v>28%</x:v>
      </x:c>
      <x:c r="I104" s="2" t="n">
        <x:f>IF(C104="","",C104)</x:f>
        <x:v>25</x:v>
      </x:c>
      <x:c r="J104" s="2" t="n">
        <x:f>IF(D104="","",D104)</x:f>
        <x:v>30</x:v>
      </x:c>
      <x:c r="K104" s="2" t="n">
        <x:f>IF(E104="","",E104)</x:f>
        <x:v>80</x:v>
      </x:c>
      <x:c r="L104" s="2" t="str">
        <x:f>TEXT(B287,"0")&amp;"%"</x:f>
        <x:v>28%</x:v>
      </x:c>
      <x:c r="M104" s="2" t="n">
        <x:f>IF(C287="","",C287)</x:f>
        <x:v>23.989522457122803</x:v>
      </x:c>
      <x:c r="N104" s="2" t="n">
        <x:f>IF(D287="","",D287)</x:f>
        <x:v>25.179620683193207</x:v>
      </x:c>
      <x:c r="O104" s="2" t="n">
        <x:f>IF(E287="","",E287)</x:f>
        <x:v>49.5645397901535</x:v>
      </x:c>
      <x:c r="P104" s="2" t="str">
        <x:f>TEXT(B531,"0")&amp;"%"</x:f>
        <x:v>28%</x:v>
      </x:c>
      <x:c r="Q104" s="2" t="n">
        <x:f>IF(C531="","",C531)</x:f>
        <x:v>18.990454822778702</x:v>
      </x:c>
      <x:c r="R104" s="2" t="n">
        <x:f>IF(D531="","",D531)</x:f>
        <x:v>22.972410321235657</x:v>
      </x:c>
      <x:c r="S104" s="2" t="n">
        <x:f>IF(E531="","",E531)</x:f>
        <x:v>42.57130444049835</x:v>
      </x:c>
    </x:row>
    <x:row r="105" ht="27" customHeight="1">
      <x:c r="A105" s="2" t="str">
        <x:v>S001</x:v>
      </x:c>
      <x:c r="B105" s="2" t="n">
        <x:v>29</x:v>
      </x:c>
      <x:c r="C105" s="40" t="n">
        <x:v>25</x:v>
      </x:c>
      <x:c r="D105" s="40" t="n">
        <x:v>30</x:v>
      </x:c>
      <x:c r="E105" s="40" t="n">
        <x:v>80</x:v>
      </x:c>
      <x:c r="F105" s="13" t="str"/>
      <x:c r="G105" s="2"/>
      <x:c r="H105" s="2" t="str">
        <x:f>TEXT(B105,"0")&amp;"%"</x:f>
        <x:v>29%</x:v>
      </x:c>
      <x:c r="I105" s="2" t="n">
        <x:f>IF(C105="","",C105)</x:f>
        <x:v>25</x:v>
      </x:c>
      <x:c r="J105" s="2" t="n">
        <x:f>IF(D105="","",D105)</x:f>
        <x:v>30</x:v>
      </x:c>
      <x:c r="K105" s="2" t="n">
        <x:f>IF(E105="","",E105)</x:f>
        <x:v>80</x:v>
      </x:c>
      <x:c r="L105" s="2" t="str">
        <x:f>TEXT(B288,"0")&amp;"%"</x:f>
        <x:v>29%</x:v>
      </x:c>
      <x:c r="M105" s="2" t="n">
        <x:f>IF(C288="","",C288)</x:f>
        <x:v>22.167056053876877</x:v>
      </x:c>
      <x:c r="N105" s="2" t="n">
        <x:f>IF(D288="","",D288)</x:f>
        <x:v>24.339565336704254</x:v>
      </x:c>
      <x:c r="O105" s="2" t="n">
        <x:f>IF(E288="","",E288)</x:f>
        <x:v>47.24423706531525</x:v>
      </x:c>
      <x:c r="P105" s="2" t="str">
        <x:f>TEXT(B532,"0")&amp;"%"</x:f>
        <x:v>29%</x:v>
      </x:c>
      <x:c r="Q105" s="2" t="n">
        <x:f>IF(C532="","",C532)</x:f>
        <x:v>16.74293875694275</x:v>
      </x:c>
      <x:c r="R105" s="2" t="n">
        <x:f>IF(D532="","",D532)</x:f>
        <x:v>22.021356225013733</x:v>
      </x:c>
      <x:c r="S105" s="2" t="n">
        <x:f>IF(E532="","",E532)</x:f>
        <x:v>39.81291592121124</x:v>
      </x:c>
    </x:row>
    <x:row r="106" ht="27" customHeight="1">
      <x:c r="A106" s="2" t="str">
        <x:v>S001</x:v>
      </x:c>
      <x:c r="B106" s="2" t="n">
        <x:v>30</x:v>
      </x:c>
      <x:c r="C106" s="40" t="n">
        <x:v>25</x:v>
      </x:c>
      <x:c r="D106" s="40" t="n">
        <x:v>30</x:v>
      </x:c>
      <x:c r="E106" s="40" t="n">
        <x:v>80</x:v>
      </x:c>
      <x:c r="F106" s="13" t="str"/>
      <x:c r="G106" s="2"/>
      <x:c r="H106" s="2" t="str">
        <x:f>TEXT(B106,"0")&amp;"%"</x:f>
        <x:v>30%</x:v>
      </x:c>
      <x:c r="I106" s="2" t="n">
        <x:f>IF(C106="","",C106)</x:f>
        <x:v>25</x:v>
      </x:c>
      <x:c r="J106" s="2" t="n">
        <x:f>IF(D106="","",D106)</x:f>
        <x:v>30</x:v>
      </x:c>
      <x:c r="K106" s="2" t="n">
        <x:f>IF(E106="","",E106)</x:f>
        <x:v>80</x:v>
      </x:c>
      <x:c r="L106" s="2" t="str">
        <x:f>TEXT(B289,"0")&amp;"%"</x:f>
        <x:v>30%</x:v>
      </x:c>
      <x:c r="M106" s="2" t="n">
        <x:f>IF(C289="","",C289)</x:f>
        <x:v>20.1714925467968</x:v>
      </x:c>
      <x:c r="N106" s="2" t="n">
        <x:f>IF(D289="","",D289)</x:f>
        <x:v>23.44297617673874</x:v>
      </x:c>
      <x:c r="O106" s="2" t="n">
        <x:f>IF(E289="","",E289)</x:f>
        <x:v>44.749258160591125</x:v>
      </x:c>
      <x:c r="P106" s="2" t="str">
        <x:f>TEXT(B533,"0")&amp;"%"</x:f>
        <x:v>30%</x:v>
      </x:c>
      <x:c r="Q106" s="2" t="n">
        <x:f>IF(C533="","",C533)</x:f>
        <x:v>14.213552325963974</x:v>
      </x:c>
      <x:c r="R106" s="2" t="n">
        <x:f>IF(D533="","",D533)</x:f>
        <x:v>21.001091301441193</x:v>
      </x:c>
      <x:c r="S106" s="2" t="n">
        <x:f>IF(E533="","",E533)</x:f>
        <x:v>36.813374161720276</x:v>
      </x:c>
    </x:row>
    <x:row r="107" ht="27" customHeight="1">
      <x:c r="A107" s="2" t="str">
        <x:v>S001</x:v>
      </x:c>
      <x:c r="B107" s="2" t="n">
        <x:v>31</x:v>
      </x:c>
      <x:c r="C107" s="40" t="n">
        <x:v>25</x:v>
      </x:c>
      <x:c r="D107" s="40" t="n">
        <x:v>30</x:v>
      </x:c>
      <x:c r="E107" s="40" t="n">
        <x:v>80</x:v>
      </x:c>
      <x:c r="F107" s="13" t="str"/>
      <x:c r="G107" s="2"/>
      <x:c r="H107" s="2" t="str">
        <x:f>TEXT(B107,"0")&amp;"%"</x:f>
        <x:v>31%</x:v>
      </x:c>
      <x:c r="I107" s="2" t="n">
        <x:f>IF(C107="","",C107)</x:f>
        <x:v>25</x:v>
      </x:c>
      <x:c r="J107" s="2" t="n">
        <x:f>IF(D107="","",D107)</x:f>
        <x:v>30</x:v>
      </x:c>
      <x:c r="K107" s="2" t="n">
        <x:f>IF(E107="","",E107)</x:f>
        <x:v>80</x:v>
      </x:c>
      <x:c r="L107" s="2" t="str">
        <x:f>TEXT(B290,"0")&amp;"%"</x:f>
        <x:v>31%</x:v>
      </x:c>
      <x:c r="M107" s="2" t="n">
        <x:f>IF(C290="","",C290)</x:f>
        <x:v>17.965923994779587</x:v>
      </x:c>
      <x:c r="N107" s="2" t="n">
        <x:f>IF(D290="","",D290)</x:f>
        <x:v>22.48324602842331</x:v>
      </x:c>
      <x:c r="O107" s="2" t="n">
        <x:f>IF(E290="","",E290)</x:f>
        <x:v>42.054851055145264</x:v>
      </x:c>
      <x:c r="P107" s="2" t="str">
        <x:f>TEXT(B534,"0")&amp;"%"</x:f>
        <x:v>31%</x:v>
      </x:c>
      <x:c r="Q107" s="2" t="n">
        <x:f>IF(C534="","",C534)</x:f>
        <x:v>11.298322677612305</x:v>
      </x:c>
      <x:c r="R107" s="2" t="n">
        <x:f>IF(D534="","",D534)</x:f>
        <x:v>19.902414679527283</x:v>
      </x:c>
      <x:c r="S107" s="2" t="n">
        <x:f>IF(E534="","",E534)</x:f>
        <x:v>33.52813184261322</x:v>
      </x:c>
    </x:row>
    <x:row r="108" ht="27" customHeight="1">
      <x:c r="A108" s="2" t="str">
        <x:v>S001</x:v>
      </x:c>
      <x:c r="B108" s="2" t="n">
        <x:v>32</x:v>
      </x:c>
      <x:c r="C108" s="40" t="n">
        <x:v>25</x:v>
      </x:c>
      <x:c r="D108" s="40" t="n">
        <x:v>30</x:v>
      </x:c>
      <x:c r="E108" s="40" t="n">
        <x:v>80</x:v>
      </x:c>
      <x:c r="F108" s="13" t="str"/>
      <x:c r="G108" s="2"/>
      <x:c r="H108" s="2" t="str">
        <x:f>TEXT(B108,"0")&amp;"%"</x:f>
        <x:v>32%</x:v>
      </x:c>
      <x:c r="I108" s="2" t="n">
        <x:f>IF(C108="","",C108)</x:f>
        <x:v>25</x:v>
      </x:c>
      <x:c r="J108" s="2" t="n">
        <x:f>IF(D108="","",D108)</x:f>
        <x:v>30</x:v>
      </x:c>
      <x:c r="K108" s="2" t="n">
        <x:f>IF(E108="","",E108)</x:f>
        <x:v>80</x:v>
      </x:c>
      <x:c r="L108" s="2" t="str">
        <x:f>TEXT(B291,"0")&amp;"%"</x:f>
        <x:v>32%</x:v>
      </x:c>
      <x:c r="M108" s="2" t="n">
        <x:f>IF(C291="","",C291)</x:f>
        <x:v>15.496419370174408</x:v>
      </x:c>
      <x:c r="N108" s="2" t="n">
        <x:f>IF(D291="","",D291)</x:f>
        <x:v>21.45251154899597</x:v>
      </x:c>
      <x:c r="O108" s="2" t="n">
        <x:f>IF(E291="","",E291)</x:f>
        <x:v>39.129979610443115</x:v>
      </x:c>
      <x:c r="P108" s="2" t="str">
        <x:f>TEXT(B535,"0")&amp;"%"</x:f>
        <x:v>32%</x:v>
      </x:c>
      <x:c r="Q108" s="2" t="n">
        <x:f>IF(C535="","",C535)</x:f>
        <x:v>7.783211022615433</x:v>
      </x:c>
      <x:c r="R108" s="2" t="n">
        <x:f>IF(D535="","",D535)</x:f>
        <x:v>18.714013695716858</x:v>
      </x:c>
      <x:c r="S108" s="2" t="n">
        <x:f>IF(E535="","",E535)</x:f>
        <x:v>29.8960018157959</x:v>
      </x:c>
    </x:row>
    <x:row r="109" ht="27" customHeight="1">
      <x:c r="A109" s="2" t="str">
        <x:v>S001</x:v>
      </x:c>
      <x:c r="B109" s="2" t="n">
        <x:v>33</x:v>
      </x:c>
      <x:c r="C109" s="40" t="n">
        <x:v>25</x:v>
      </x:c>
      <x:c r="D109" s="40" t="n">
        <x:v>30</x:v>
      </x:c>
      <x:c r="E109" s="40" t="n">
        <x:v>80</x:v>
      </x:c>
      <x:c r="F109" s="13" t="str"/>
      <x:c r="G109" s="2"/>
      <x:c r="H109" s="2" t="str">
        <x:f>TEXT(B109,"0")&amp;"%"</x:f>
        <x:v>33%</x:v>
      </x:c>
      <x:c r="I109" s="2" t="n">
        <x:f>IF(C109="","",C109)</x:f>
        <x:v>25</x:v>
      </x:c>
      <x:c r="J109" s="2" t="n">
        <x:f>IF(D109="","",D109)</x:f>
        <x:v>30</x:v>
      </x:c>
      <x:c r="K109" s="2" t="n">
        <x:f>IF(E109="","",E109)</x:f>
        <x:v>80</x:v>
      </x:c>
      <x:c r="L109" s="2" t="str">
        <x:f>TEXT(B292,"0")&amp;"%"</x:f>
        <x:v>33%</x:v>
      </x:c>
      <x:c r="M109" s="2" t="n">
        <x:f>IF(C292="","",C292)</x:f>
        <x:v>12.676433473825455</x:v>
      </x:c>
      <x:c r="N109" s="2" t="n">
        <x:f>IF(D292="","",D292)</x:f>
        <x:v>20.341283977031708</x:v>
      </x:c>
      <x:c r="O109" s="2" t="n">
        <x:f>IF(E292="","",E292)</x:f>
        <x:v>35.934603810310364</x:v>
      </x:c>
      <x:c r="P109" s="2" t="str">
        <x:f>TEXT(B536,"0")&amp;"%"</x:f>
        <x:v>33%</x:v>
      </x:c>
      <x:c r="Q109" s="2" t="n">
        <x:f>IF(C536="","",C536)</x:f>
        <x:v>2.9414936900138855</x:v>
      </x:c>
      <x:c r="R109" s="2" t="n">
        <x:f>IF(D536="","",D536)</x:f>
        <x:v>17.42167353630066</x:v>
      </x:c>
      <x:c r="S109" s="2" t="n">
        <x:f>IF(E536="","",E536)</x:f>
        <x:v>25.827542543411255</x:v>
      </x:c>
    </x:row>
    <x:row r="110" ht="27" customHeight="1">
      <x:c r="A110" s="2" t="str">
        <x:v>S001</x:v>
      </x:c>
      <x:c r="B110" s="2" t="n">
        <x:v>34</x:v>
      </x:c>
      <x:c r="C110" s="40" t="n">
        <x:v>25</x:v>
      </x:c>
      <x:c r="D110" s="40" t="n">
        <x:v>30</x:v>
      </x:c>
      <x:c r="E110" s="40" t="n">
        <x:v>80</x:v>
      </x:c>
      <x:c r="F110" s="13" t="str"/>
      <x:c r="G110" s="2"/>
      <x:c r="H110" s="2" t="str">
        <x:f>TEXT(B110,"0")&amp;"%"</x:f>
        <x:v>34%</x:v>
      </x:c>
      <x:c r="I110" s="2" t="n">
        <x:f>IF(C110="","",C110)</x:f>
        <x:v>25</x:v>
      </x:c>
      <x:c r="J110" s="2" t="n">
        <x:f>IF(D110="","",D110)</x:f>
        <x:v>30</x:v>
      </x:c>
      <x:c r="K110" s="2" t="n">
        <x:f>IF(E110="","",E110)</x:f>
        <x:v>80</x:v>
      </x:c>
      <x:c r="L110" s="2" t="str">
        <x:f>TEXT(B293,"0")&amp;"%"</x:f>
        <x:v>34%</x:v>
      </x:c>
      <x:c r="M110" s="2" t="n">
        <x:f>IF(C293="","",C293)</x:f>
        <x:v>9.343473613262177</x:v>
      </x:c>
      <x:c r="N110" s="2" t="n">
        <x:f>IF(D293="","",D293)</x:f>
        <x:v>19.137913584709167</x:v>
      </x:c>
      <x:c r="O110" s="2" t="n">
        <x:f>IF(E293="","",E293)</x:f>
        <x:v>32.41508662700653</x:v>
      </x:c>
      <x:c r="P110" s="2" t="str">
        <x:f>TEXT(B537,"0")&amp;"%"</x:f>
        <x:v>34%</x:v>
      </x:c>
      <x:c r="Q110" s="2" t="str">
        <x:f>IF(C537="","",C537)</x:f>
      </x:c>
      <x:c r="R110" s="2" t="n">
        <x:f>IF(D537="","",D537)</x:f>
        <x:v>16.00700318813324</x:v>
      </x:c>
      <x:c r="S110" s="2" t="n">
        <x:f>IF(E537="","",E537)</x:f>
        <x:v>21.17922067642212</x:v>
      </x:c>
    </x:row>
    <x:row r="111" ht="27" customHeight="1">
      <x:c r="A111" s="2" t="str">
        <x:v>S001</x:v>
      </x:c>
      <x:c r="B111" s="2" t="n">
        <x:v>35</x:v>
      </x:c>
      <x:c r="C111" s="40" t="n">
        <x:v>25</x:v>
      </x:c>
      <x:c r="D111" s="40" t="n">
        <x:v>30</x:v>
      </x:c>
      <x:c r="E111" s="40" t="n">
        <x:v>80</x:v>
      </x:c>
      <x:c r="F111" s="13" t="str"/>
      <x:c r="G111" s="2"/>
      <x:c r="H111" s="2" t="str">
        <x:f>TEXT(B111,"0")&amp;"%"</x:f>
        <x:v>35%</x:v>
      </x:c>
      <x:c r="I111" s="2" t="n">
        <x:f>IF(C111="","",C111)</x:f>
        <x:v>25</x:v>
      </x:c>
      <x:c r="J111" s="2" t="n">
        <x:f>IF(D111="","",D111)</x:f>
        <x:v>30</x:v>
      </x:c>
      <x:c r="K111" s="2" t="n">
        <x:f>IF(E111="","",E111)</x:f>
        <x:v>80</x:v>
      </x:c>
      <x:c r="L111" s="2" t="str">
        <x:f>TEXT(B294,"0")&amp;"%"</x:f>
        <x:v>35%</x:v>
      </x:c>
      <x:c r="M111" s="2" t="n">
        <x:f>IF(C294="","",C294)</x:f>
        <x:v>5.073702335357666</x:v>
      </x:c>
      <x:c r="N111" s="2" t="n">
        <x:f>IF(D294="","",D294)</x:f>
        <x:v>17.82777339220047</x:v>
      </x:c>
      <x:c r="O111" s="2" t="n">
        <x:f>IF(E294="","",E294)</x:f>
        <x:v>28.49576473236084</x:v>
      </x:c>
      <x:c r="P111" s="2" t="str">
        <x:f>TEXT(B538,"0")&amp;"%"</x:f>
        <x:v>35%</x:v>
      </x:c>
      <x:c r="Q111" s="2" t="str">
        <x:f>IF(C538="","",C538)</x:f>
      </x:c>
      <x:c r="R111" s="2" t="n">
        <x:f>IF(D538="","",D538)</x:f>
        <x:v>14.44529414176941</x:v>
      </x:c>
      <x:c r="S111" s="2" t="n">
        <x:f>IF(E538="","",E538)</x:f>
        <x:v>15.681818127632141</x:v>
      </x:c>
    </x:row>
    <x:row r="112" ht="27" customHeight="1">
      <x:c r="A112" s="2" t="str">
        <x:v>S001</x:v>
      </x:c>
      <x:c r="B112" s="2" t="n">
        <x:v>36</x:v>
      </x:c>
      <x:c r="C112" s="40" t="n">
        <x:v>25</x:v>
      </x:c>
      <x:c r="D112" s="40" t="n">
        <x:v>30</x:v>
      </x:c>
      <x:c r="E112" s="40" t="n">
        <x:v>80</x:v>
      </x:c>
      <x:c r="F112" s="13" t="str"/>
      <x:c r="G112" s="2"/>
      <x:c r="H112" s="2" t="str">
        <x:f>TEXT(B112,"0")&amp;"%"</x:f>
        <x:v>36%</x:v>
      </x:c>
      <x:c r="I112" s="2" t="n">
        <x:f>IF(C112="","",C112)</x:f>
        <x:v>25</x:v>
      </x:c>
      <x:c r="J112" s="2" t="n">
        <x:f>IF(D112="","",D112)</x:f>
        <x:v>30</x:v>
      </x:c>
      <x:c r="K112" s="2" t="n">
        <x:f>IF(E112="","",E112)</x:f>
        <x:v>80</x:v>
      </x:c>
      <x:c r="L112" s="2" t="str">
        <x:f>TEXT(B295,"0")&amp;"%"</x:f>
        <x:v>36%</x:v>
      </x:c>
      <x:c r="M112" s="2" t="str">
        <x:f>IF(C295="","",C295)</x:f>
      </x:c>
      <x:c r="N112" s="2" t="n">
        <x:f>IF(D295="","",D295)</x:f>
        <x:v>16.39198064804077</x:v>
      </x:c>
      <x:c r="O112" s="2" t="n">
        <x:f>IF(E295="","",E295)</x:f>
        <x:v>24.06157612800598</x:v>
      </x:c>
      <x:c r="P112" s="2" t="str">
        <x:f>TEXT(B539,"0")&amp;"%"</x:f>
        <x:v>36%</x:v>
      </x:c>
      <x:c r="Q112" s="2" t="str">
        <x:f>IF(C539="","",C539)</x:f>
      </x:c>
      <x:c r="R112" s="2" t="n">
        <x:f>IF(D539="","",D539)</x:f>
        <x:v>12.701561450958252</x:v>
      </x:c>
      <x:c r="S112" s="2" t="n">
        <x:f>IF(E539="","",E539)</x:f>
        <x:v>8.63621175289154</x:v>
      </x:c>
    </x:row>
    <x:row r="113" ht="27" customHeight="1">
      <x:c r="A113" s="2" t="str">
        <x:v>S001</x:v>
      </x:c>
      <x:c r="B113" s="2" t="n">
        <x:v>37</x:v>
      </x:c>
      <x:c r="C113" s="40" t="n">
        <x:v>25</x:v>
      </x:c>
      <x:c r="D113" s="40" t="n">
        <x:v>30</x:v>
      </x:c>
      <x:c r="E113" s="40" t="n">
        <x:v>80</x:v>
      </x:c>
      <x:c r="F113" s="13" t="str"/>
      <x:c r="G113" s="2"/>
      <x:c r="H113" s="2" t="str">
        <x:f>TEXT(B113,"0")&amp;"%"</x:f>
        <x:v>37%</x:v>
      </x:c>
      <x:c r="I113" s="2" t="n">
        <x:f>IF(C113="","",C113)</x:f>
        <x:v>25</x:v>
      </x:c>
      <x:c r="J113" s="2" t="n">
        <x:f>IF(D113="","",D113)</x:f>
        <x:v>30</x:v>
      </x:c>
      <x:c r="K113" s="2" t="n">
        <x:f>IF(E113="","",E113)</x:f>
        <x:v>80</x:v>
      </x:c>
      <x:c r="L113" s="2" t="str">
        <x:f>TEXT(B296,"0")&amp;"%"</x:f>
        <x:v>37%</x:v>
      </x:c>
      <x:c r="M113" s="2" t="str">
        <x:f>IF(C296="","",C296)</x:f>
      </x:c>
      <x:c r="N113" s="2" t="n">
        <x:f>IF(D296="","",D296)</x:f>
        <x:v>14.805234968662262</x:v>
      </x:c>
      <x:c r="O113" s="2" t="n">
        <x:f>IF(E296="","",E296)</x:f>
        <x:v>18.915554881095886</x:v>
      </x:c>
      <x:c r="P113" s="2" t="str">
        <x:f>TEXT(B540,"0")&amp;"%"</x:f>
        <x:v>37%</x:v>
      </x:c>
      <x:c r="Q113" s="2" t="str">
        <x:f>IF(C540="","",C540)</x:f>
      </x:c>
      <x:c r="R113" s="2" t="n">
        <x:f>IF(D540="","",D540)</x:f>
        <x:v>10.7223442196846</x:v>
      </x:c>
      <x:c r="S113" s="2" t="str">
        <x:f>IF(E540="","",E540)</x:f>
      </x:c>
    </x:row>
    <x:row r="114" ht="27" customHeight="1">
      <x:c r="A114" s="2" t="str">
        <x:v>S001</x:v>
      </x:c>
      <x:c r="B114" s="2" t="n">
        <x:v>38</x:v>
      </x:c>
      <x:c r="C114" s="40" t="n">
        <x:v>25</x:v>
      </x:c>
      <x:c r="D114" s="40" t="n">
        <x:v>30</x:v>
      </x:c>
      <x:c r="E114" s="40" t="n">
        <x:v>80</x:v>
      </x:c>
      <x:c r="F114" s="13" t="str"/>
      <x:c r="G114" s="2"/>
      <x:c r="H114" s="2" t="str">
        <x:f>TEXT(B114,"0")&amp;"%"</x:f>
        <x:v>38%</x:v>
      </x:c>
      <x:c r="I114" s="2" t="n">
        <x:f>IF(C114="","",C114)</x:f>
        <x:v>25</x:v>
      </x:c>
      <x:c r="J114" s="2" t="n">
        <x:f>IF(D114="","",D114)</x:f>
        <x:v>30</x:v>
      </x:c>
      <x:c r="K114" s="2" t="n">
        <x:f>IF(E114="","",E114)</x:f>
        <x:v>80</x:v>
      </x:c>
      <x:c r="L114" s="2" t="str">
        <x:f>TEXT(B297,"0")&amp;"%"</x:f>
        <x:v>38%</x:v>
      </x:c>
      <x:c r="M114" s="2" t="str">
        <x:f>IF(C297="","",C297)</x:f>
      </x:c>
      <x:c r="N114" s="2" t="n">
        <x:f>IF(D297="","",D297)</x:f>
        <x:v>13.03184062242508</x:v>
      </x:c>
      <x:c r="O114" s="2" t="n">
        <x:f>IF(E297="","",E297)</x:f>
        <x:v>12.639320492744446</x:v>
      </x:c>
      <x:c r="P114" s="2" t="str">
        <x:f>TEXT(B541,"0")&amp;"%"</x:f>
        <x:v>38%</x:v>
      </x:c>
      <x:c r="Q114" s="2" t="str">
        <x:f>IF(C541="","",C541)</x:f>
      </x:c>
      <x:c r="R114" s="2" t="n">
        <x:f>IF(D541="","",D541)</x:f>
        <x:v>8.415438830852509</x:v>
      </x:c>
      <x:c r="S114" s="2" t="str">
        <x:f>IF(E541="","",E541)</x:f>
      </x:c>
    </x:row>
    <x:row r="115" ht="27" customHeight="1">
      <x:c r="A115" s="2" t="str">
        <x:v>S001</x:v>
      </x:c>
      <x:c r="B115" s="2" t="n">
        <x:v>39</x:v>
      </x:c>
      <x:c r="C115" s="40" t="n">
        <x:v>25</x:v>
      </x:c>
      <x:c r="D115" s="40" t="n">
        <x:v>30</x:v>
      </x:c>
      <x:c r="E115" s="40" t="n">
        <x:v>80</x:v>
      </x:c>
      <x:c r="F115" s="13" t="str"/>
      <x:c r="G115" s="2"/>
      <x:c r="H115" s="2" t="str">
        <x:f>TEXT(B115,"0")&amp;"%"</x:f>
        <x:v>39%</x:v>
      </x:c>
      <x:c r="I115" s="2" t="n">
        <x:f>IF(C115="","",C115)</x:f>
        <x:v>25</x:v>
      </x:c>
      <x:c r="J115" s="2" t="n">
        <x:f>IF(D115="","",D115)</x:f>
        <x:v>30</x:v>
      </x:c>
      <x:c r="K115" s="2" t="n">
        <x:f>IF(E115="","",E115)</x:f>
        <x:v>80</x:v>
      </x:c>
      <x:c r="L115" s="2" t="str">
        <x:f>TEXT(B298,"0")&amp;"%"</x:f>
        <x:v>39%</x:v>
      </x:c>
      <x:c r="M115" s="2" t="str">
        <x:f>IF(C298="","",C298)</x:f>
      </x:c>
      <x:c r="N115" s="2" t="n">
        <x:f>IF(D298="","",D298)</x:f>
        <x:v>11.017526686191559</x:v>
      </x:c>
      <x:c r="O115" s="2" t="n">
        <x:f>IF(E298="","",E298)</x:f>
        <x:v>3.6104965209960938</x:v>
      </x:c>
      <x:c r="P115" s="2" t="str">
        <x:f>TEXT(B542,"0")&amp;"%"</x:f>
        <x:v>39%</x:v>
      </x:c>
      <x:c r="Q115" s="2" t="str">
        <x:f>IF(C542="","",C542)</x:f>
      </x:c>
      <x:c r="R115" s="2" t="n">
        <x:f>IF(D542="","",D542)</x:f>
        <x:v>5.582061409950256</x:v>
      </x:c>
      <x:c r="S115" s="2" t="str">
        <x:f>IF(E542="","",E542)</x:f>
      </x:c>
    </x:row>
    <x:row r="116" ht="27" customHeight="1">
      <x:c r="A116" s="2" t="str">
        <x:v>S001</x:v>
      </x:c>
      <x:c r="B116" s="2" t="n">
        <x:v>40</x:v>
      </x:c>
      <x:c r="C116" s="40" t="n">
        <x:v>25</x:v>
      </x:c>
      <x:c r="D116" s="40" t="n">
        <x:v>30</x:v>
      </x:c>
      <x:c r="E116" s="40" t="n">
        <x:v>80</x:v>
      </x:c>
      <x:c r="F116" s="13" t="str"/>
      <x:c r="G116" s="2"/>
      <x:c r="H116" s="2" t="str">
        <x:f>TEXT(B116,"0")&amp;"%"</x:f>
        <x:v>40%</x:v>
      </x:c>
      <x:c r="I116" s="2" t="n">
        <x:f>IF(C116="","",C116)</x:f>
        <x:v>25</x:v>
      </x:c>
      <x:c r="J116" s="2" t="n">
        <x:f>IF(D116="","",D116)</x:f>
        <x:v>30</x:v>
      </x:c>
      <x:c r="K116" s="2" t="n">
        <x:f>IF(E116="","",E116)</x:f>
        <x:v>80</x:v>
      </x:c>
      <x:c r="L116" s="2" t="str">
        <x:f>TEXT(B299,"0")&amp;"%"</x:f>
        <x:v>40%</x:v>
      </x:c>
      <x:c r="M116" s="2" t="str">
        <x:f>IF(C299="","",C299)</x:f>
      </x:c>
      <x:c r="N116" s="2" t="n">
        <x:f>IF(D299="","",D299)</x:f>
        <x:v>8.66939127445221</x:v>
      </x:c>
      <x:c r="O116" s="2" t="str">
        <x:f>IF(E299="","",E299)</x:f>
      </x:c>
      <x:c r="P116" s="2" t="str">
        <x:f>TEXT(B543,"0")&amp;"%"</x:f>
        <x:v>40%</x:v>
      </x:c>
      <x:c r="Q116" s="2" t="str">
        <x:f>IF(C543="","",C543)</x:f>
      </x:c>
      <x:c r="R116" s="2" t="n">
        <x:f>IF(D543="","",D543)</x:f>
        <x:v>1.3978931307792664</x:v>
      </x:c>
      <x:c r="S116" s="2" t="str">
        <x:f>IF(E543="","",E543)</x:f>
      </x:c>
    </x:row>
    <x:row r="117" ht="27" customHeight="1">
      <x:c r="A117" s="2" t="str">
        <x:v>S001</x:v>
      </x:c>
      <x:c r="B117" s="2" t="n">
        <x:v>41</x:v>
      </x:c>
      <x:c r="C117" s="40" t="n">
        <x:v>25</x:v>
      </x:c>
      <x:c r="D117" s="40" t="n">
        <x:v>30</x:v>
      </x:c>
      <x:c r="E117" s="40" t="n">
        <x:v>80</x:v>
      </x:c>
      <x:c r="F117" s="13" t="str"/>
      <x:c r="G117" s="2"/>
      <x:c r="H117" s="2" t="str">
        <x:f>TEXT(B117,"0")&amp;"%"</x:f>
        <x:v>41%</x:v>
      </x:c>
      <x:c r="I117" s="2" t="n">
        <x:f>IF(C117="","",C117)</x:f>
        <x:v>25</x:v>
      </x:c>
      <x:c r="J117" s="2" t="n">
        <x:f>IF(D117="","",D117)</x:f>
        <x:v>30</x:v>
      </x:c>
      <x:c r="K117" s="2" t="n">
        <x:f>IF(E117="","",E117)</x:f>
        <x:v>80</x:v>
      </x:c>
      <x:c r="L117" s="2" t="str">
        <x:f>TEXT(B300,"0")&amp;"%"</x:f>
        <x:v>41%</x:v>
      </x:c>
      <x:c r="M117" s="2" t="str">
        <x:f>IF(C300="","",C300)</x:f>
      </x:c>
      <x:c r="N117" s="2" t="n">
        <x:f>IF(D300="","",D300)</x:f>
        <x:v>5.78976184129715</x:v>
      </x:c>
      <x:c r="O117" s="2" t="str">
        <x:f>IF(E300="","",E300)</x:f>
      </x:c>
      <x:c r="P117" s="2" t="str">
        <x:f>TEXT(B544,"0")&amp;"%"</x:f>
        <x:v>41%</x:v>
      </x:c>
      <x:c r="Q117" s="2" t="str">
        <x:f>IF(C544="","",C544)</x:f>
      </x:c>
      <x:c r="R117" s="2" t="str">
        <x:f>IF(D544="","",D544)</x:f>
      </x:c>
      <x:c r="S117" s="2" t="str">
        <x:f>IF(E544="","",E544)</x:f>
      </x:c>
    </x:row>
    <x:row r="118" ht="27" customHeight="1">
      <x:c r="A118" s="2" t="str">
        <x:v>S001</x:v>
      </x:c>
      <x:c r="B118" s="2" t="n">
        <x:v>42</x:v>
      </x:c>
      <x:c r="C118" s="40" t="n">
        <x:v>25</x:v>
      </x:c>
      <x:c r="D118" s="40" t="n">
        <x:v>30</x:v>
      </x:c>
      <x:c r="E118" s="40" t="n">
        <x:v>80</x:v>
      </x:c>
      <x:c r="F118" s="13" t="str"/>
      <x:c r="G118" s="2"/>
      <x:c r="H118" s="2" t="str">
        <x:f>TEXT(B118,"0")&amp;"%"</x:f>
        <x:v>42%</x:v>
      </x:c>
      <x:c r="I118" s="2" t="n">
        <x:f>IF(C118="","",C118)</x:f>
        <x:v>25</x:v>
      </x:c>
      <x:c r="J118" s="2" t="n">
        <x:f>IF(D118="","",D118)</x:f>
        <x:v>30</x:v>
      </x:c>
      <x:c r="K118" s="2" t="n">
        <x:f>IF(E118="","",E118)</x:f>
        <x:v>80</x:v>
      </x:c>
      <x:c r="L118" s="2" t="str">
        <x:f>TEXT(B301,"0")&amp;"%"</x:f>
        <x:v>42%</x:v>
      </x:c>
      <x:c r="M118" s="2" t="str">
        <x:f>IF(C301="","",C301)</x:f>
      </x:c>
      <x:c r="N118" s="2" t="n">
        <x:f>IF(D301="","",D301)</x:f>
        <x:v>1.5992921590805054</x:v>
      </x:c>
      <x:c r="O118" s="2" t="str">
        <x:f>IF(E301="","",E301)</x:f>
      </x:c>
      <x:c r="P118" s="2" t="str">
        <x:f>TEXT(B545,"0")&amp;"%"</x:f>
        <x:v>42%</x:v>
      </x:c>
      <x:c r="Q118" s="2" t="str">
        <x:f>IF(C545="","",C545)</x:f>
      </x:c>
      <x:c r="R118" s="2" t="str">
        <x:f>IF(D545="","",D545)</x:f>
      </x:c>
      <x:c r="S118" s="2" t="str">
        <x:f>IF(E545="","",E545)</x:f>
      </x:c>
    </x:row>
    <x:row r="119" ht="27" customHeight="1">
      <x:c r="A119" s="2" t="str">
        <x:v>S001</x:v>
      </x:c>
      <x:c r="B119" s="2" t="n">
        <x:v>43</x:v>
      </x:c>
      <x:c r="C119" s="40" t="n">
        <x:v>25</x:v>
      </x:c>
      <x:c r="D119" s="40" t="n">
        <x:v>30</x:v>
      </x:c>
      <x:c r="E119" s="40" t="n">
        <x:v>80</x:v>
      </x:c>
      <x:c r="F119" s="13" t="str"/>
      <x:c r="G119" s="2"/>
      <x:c r="H119" s="2" t="str">
        <x:f>TEXT(B119,"0")&amp;"%"</x:f>
        <x:v>43%</x:v>
      </x:c>
      <x:c r="I119" s="2" t="n">
        <x:f>IF(C119="","",C119)</x:f>
        <x:v>25</x:v>
      </x:c>
      <x:c r="J119" s="2" t="n">
        <x:f>IF(D119="","",D119)</x:f>
        <x:v>30</x:v>
      </x:c>
      <x:c r="K119" s="2" t="n">
        <x:f>IF(E119="","",E119)</x:f>
        <x:v>80</x:v>
      </x:c>
      <x:c r="L119" s="2" t="str">
        <x:f>TEXT(B302,"0")&amp;"%"</x:f>
        <x:v>43%</x:v>
      </x:c>
      <x:c r="M119" s="2" t="str">
        <x:f>IF(C302="","",C302)</x:f>
      </x:c>
      <x:c r="N119" s="2" t="str">
        <x:f>IF(D302="","",D302)</x:f>
      </x:c>
      <x:c r="O119" s="2" t="str">
        <x:f>IF(E302="","",E302)</x:f>
      </x:c>
      <x:c r="P119" s="2" t="str">
        <x:f>TEXT(B546,"0")&amp;"%"</x:f>
        <x:v>43%</x:v>
      </x:c>
      <x:c r="Q119" s="2" t="str">
        <x:f>IF(C546="","",C546)</x:f>
      </x:c>
      <x:c r="R119" s="2" t="str">
        <x:f>IF(D546="","",D546)</x:f>
      </x:c>
      <x:c r="S119" s="2" t="str">
        <x:f>IF(E546="","",E546)</x:f>
      </x:c>
    </x:row>
    <x:row r="120" ht="27" customHeight="1">
      <x:c r="A120" s="2" t="str">
        <x:v>S001</x:v>
      </x:c>
      <x:c r="B120" s="2" t="n">
        <x:v>44</x:v>
      </x:c>
      <x:c r="C120" s="40" t="n">
        <x:v>25</x:v>
      </x:c>
      <x:c r="D120" s="40" t="n">
        <x:v>30</x:v>
      </x:c>
      <x:c r="E120" s="40" t="n">
        <x:v>80</x:v>
      </x:c>
      <x:c r="F120" s="13" t="str"/>
      <x:c r="G120" s="2"/>
      <x:c r="H120" s="2" t="str">
        <x:f>TEXT(B120,"0")&amp;"%"</x:f>
        <x:v>44%</x:v>
      </x:c>
      <x:c r="I120" s="2" t="n">
        <x:f>IF(C120="","",C120)</x:f>
        <x:v>25</x:v>
      </x:c>
      <x:c r="J120" s="2" t="n">
        <x:f>IF(D120="","",D120)</x:f>
        <x:v>30</x:v>
      </x:c>
      <x:c r="K120" s="2" t="n">
        <x:f>IF(E120="","",E120)</x:f>
        <x:v>80</x:v>
      </x:c>
      <x:c r="L120" s="2" t="str">
        <x:f>TEXT(B303,"0")&amp;"%"</x:f>
        <x:v>44%</x:v>
      </x:c>
      <x:c r="M120" s="2" t="str">
        <x:f>IF(C303="","",C303)</x:f>
      </x:c>
      <x:c r="N120" s="2" t="str">
        <x:f>IF(D303="","",D303)</x:f>
      </x:c>
      <x:c r="O120" s="2" t="str">
        <x:f>IF(E303="","",E303)</x:f>
      </x:c>
      <x:c r="P120" s="2" t="str">
        <x:f>TEXT(B547,"0")&amp;"%"</x:f>
        <x:v>44%</x:v>
      </x:c>
      <x:c r="Q120" s="2" t="str">
        <x:f>IF(C547="","",C547)</x:f>
      </x:c>
      <x:c r="R120" s="2" t="str">
        <x:f>IF(D547="","",D547)</x:f>
      </x:c>
      <x:c r="S120" s="2" t="str">
        <x:f>IF(E547="","",E547)</x:f>
      </x:c>
    </x:row>
    <x:row r="121" ht="27" customHeight="1">
      <x:c r="A121" s="2" t="str">
        <x:v>S001</x:v>
      </x:c>
      <x:c r="B121" s="2" t="n">
        <x:v>45</x:v>
      </x:c>
      <x:c r="C121" s="40" t="n">
        <x:v>25</x:v>
      </x:c>
      <x:c r="D121" s="40" t="n">
        <x:v>30</x:v>
      </x:c>
      <x:c r="E121" s="40" t="n">
        <x:v>80</x:v>
      </x:c>
      <x:c r="F121" s="13" t="str"/>
      <x:c r="G121" s="2"/>
      <x:c r="H121" s="2" t="str">
        <x:f>TEXT(B121,"0")&amp;"%"</x:f>
        <x:v>45%</x:v>
      </x:c>
      <x:c r="I121" s="2" t="n">
        <x:f>IF(C121="","",C121)</x:f>
        <x:v>25</x:v>
      </x:c>
      <x:c r="J121" s="2" t="n">
        <x:f>IF(D121="","",D121)</x:f>
        <x:v>30</x:v>
      </x:c>
      <x:c r="K121" s="2" t="n">
        <x:f>IF(E121="","",E121)</x:f>
        <x:v>80</x:v>
      </x:c>
      <x:c r="L121" s="2" t="str">
        <x:f>TEXT(B304,"0")&amp;"%"</x:f>
        <x:v>45%</x:v>
      </x:c>
      <x:c r="M121" s="2" t="str">
        <x:f>IF(C304="","",C304)</x:f>
      </x:c>
      <x:c r="N121" s="2" t="str">
        <x:f>IF(D304="","",D304)</x:f>
      </x:c>
      <x:c r="O121" s="2" t="str">
        <x:f>IF(E304="","",E304)</x:f>
      </x:c>
      <x:c r="P121" s="2" t="str">
        <x:f>TEXT(B548,"0")&amp;"%"</x:f>
        <x:v>45%</x:v>
      </x:c>
      <x:c r="Q121" s="2" t="str">
        <x:f>IF(C548="","",C548)</x:f>
      </x:c>
      <x:c r="R121" s="2" t="str">
        <x:f>IF(D548="","",D548)</x:f>
      </x:c>
      <x:c r="S121" s="2" t="str">
        <x:f>IF(E548="","",E548)</x:f>
      </x:c>
    </x:row>
    <x:row r="122" ht="27" customHeight="1">
      <x:c r="A122" s="2" t="str">
        <x:v>S001</x:v>
      </x:c>
      <x:c r="B122" s="2" t="n">
        <x:v>46</x:v>
      </x:c>
      <x:c r="C122" s="40" t="n">
        <x:v>25</x:v>
      </x:c>
      <x:c r="D122" s="40" t="n">
        <x:v>30</x:v>
      </x:c>
      <x:c r="E122" s="40" t="n">
        <x:v>80</x:v>
      </x:c>
      <x:c r="F122" s="13" t="str"/>
      <x:c r="G122" s="2"/>
      <x:c r="H122" s="2" t="str">
        <x:f>TEXT(B122,"0")&amp;"%"</x:f>
        <x:v>46%</x:v>
      </x:c>
      <x:c r="I122" s="2" t="n">
        <x:f>IF(C122="","",C122)</x:f>
        <x:v>25</x:v>
      </x:c>
      <x:c r="J122" s="2" t="n">
        <x:f>IF(D122="","",D122)</x:f>
        <x:v>30</x:v>
      </x:c>
      <x:c r="K122" s="2" t="n">
        <x:f>IF(E122="","",E122)</x:f>
        <x:v>80</x:v>
      </x:c>
      <x:c r="L122" s="2" t="str">
        <x:f>TEXT(B305,"0")&amp;"%"</x:f>
        <x:v>46%</x:v>
      </x:c>
      <x:c r="M122" s="2" t="str">
        <x:f>IF(C305="","",C305)</x:f>
      </x:c>
      <x:c r="N122" s="2" t="str">
        <x:f>IF(D305="","",D305)</x:f>
      </x:c>
      <x:c r="O122" s="2" t="str">
        <x:f>IF(E305="","",E305)</x:f>
      </x:c>
      <x:c r="P122" s="2" t="str">
        <x:f>TEXT(B549,"0")&amp;"%"</x:f>
        <x:v>46%</x:v>
      </x:c>
      <x:c r="Q122" s="2" t="str">
        <x:f>IF(C549="","",C549)</x:f>
      </x:c>
      <x:c r="R122" s="2" t="str">
        <x:f>IF(D549="","",D549)</x:f>
      </x:c>
      <x:c r="S122" s="2" t="str">
        <x:f>IF(E549="","",E549)</x:f>
      </x:c>
    </x:row>
    <x:row r="123" ht="27" customHeight="1">
      <x:c r="A123" s="2" t="str">
        <x:v>S001</x:v>
      </x:c>
      <x:c r="B123" s="2" t="n">
        <x:v>47</x:v>
      </x:c>
      <x:c r="C123" s="40" t="n">
        <x:v>25</x:v>
      </x:c>
      <x:c r="D123" s="40" t="n">
        <x:v>30</x:v>
      </x:c>
      <x:c r="E123" s="40" t="n">
        <x:v>80</x:v>
      </x:c>
      <x:c r="F123" s="13" t="str"/>
      <x:c r="G123" s="2"/>
      <x:c r="H123" s="2" t="str">
        <x:f>TEXT(B123,"0")&amp;"%"</x:f>
        <x:v>47%</x:v>
      </x:c>
      <x:c r="I123" s="2" t="n">
        <x:f>IF(C123="","",C123)</x:f>
        <x:v>25</x:v>
      </x:c>
      <x:c r="J123" s="2" t="n">
        <x:f>IF(D123="","",D123)</x:f>
        <x:v>30</x:v>
      </x:c>
      <x:c r="K123" s="2" t="n">
        <x:f>IF(E123="","",E123)</x:f>
        <x:v>80</x:v>
      </x:c>
      <x:c r="L123" s="2" t="str">
        <x:f>TEXT(B306,"0")&amp;"%"</x:f>
        <x:v>47%</x:v>
      </x:c>
      <x:c r="M123" s="2" t="str">
        <x:f>IF(C306="","",C306)</x:f>
      </x:c>
      <x:c r="N123" s="2" t="str">
        <x:f>IF(D306="","",D306)</x:f>
      </x:c>
      <x:c r="O123" s="2" t="str">
        <x:f>IF(E306="","",E306)</x:f>
      </x:c>
      <x:c r="P123" s="2" t="str">
        <x:f>TEXT(B550,"0")&amp;"%"</x:f>
        <x:v>47%</x:v>
      </x:c>
      <x:c r="Q123" s="2" t="str">
        <x:f>IF(C550="","",C550)</x:f>
      </x:c>
      <x:c r="R123" s="2" t="str">
        <x:f>IF(D550="","",D550)</x:f>
      </x:c>
      <x:c r="S123" s="2" t="str">
        <x:f>IF(E550="","",E550)</x:f>
      </x:c>
    </x:row>
    <x:row r="124" ht="27" customHeight="1">
      <x:c r="A124" s="2" t="str">
        <x:v>S001</x:v>
      </x:c>
      <x:c r="B124" s="2" t="n">
        <x:v>48</x:v>
      </x:c>
      <x:c r="C124" s="40" t="n">
        <x:v>25</x:v>
      </x:c>
      <x:c r="D124" s="40" t="n">
        <x:v>30</x:v>
      </x:c>
      <x:c r="E124" s="40" t="n">
        <x:v>80</x:v>
      </x:c>
      <x:c r="F124" s="13" t="str"/>
      <x:c r="G124" s="2"/>
      <x:c r="H124" s="2" t="str">
        <x:f>TEXT(B124,"0")&amp;"%"</x:f>
        <x:v>48%</x:v>
      </x:c>
      <x:c r="I124" s="2" t="n">
        <x:f>IF(C124="","",C124)</x:f>
        <x:v>25</x:v>
      </x:c>
      <x:c r="J124" s="2" t="n">
        <x:f>IF(D124="","",D124)</x:f>
        <x:v>30</x:v>
      </x:c>
      <x:c r="K124" s="2" t="n">
        <x:f>IF(E124="","",E124)</x:f>
        <x:v>80</x:v>
      </x:c>
      <x:c r="L124" s="2" t="str">
        <x:f>TEXT(B307,"0")&amp;"%"</x:f>
        <x:v>48%</x:v>
      </x:c>
      <x:c r="M124" s="2" t="str">
        <x:f>IF(C307="","",C307)</x:f>
      </x:c>
      <x:c r="N124" s="2" t="str">
        <x:f>IF(D307="","",D307)</x:f>
      </x:c>
      <x:c r="O124" s="2" t="str">
        <x:f>IF(E307="","",E307)</x:f>
      </x:c>
      <x:c r="P124" s="2" t="str">
        <x:f>TEXT(B551,"0")&amp;"%"</x:f>
        <x:v>48%</x:v>
      </x:c>
      <x:c r="Q124" s="2" t="str">
        <x:f>IF(C551="","",C551)</x:f>
      </x:c>
      <x:c r="R124" s="2" t="str">
        <x:f>IF(D551="","",D551)</x:f>
      </x:c>
      <x:c r="S124" s="2" t="str">
        <x:f>IF(E551="","",E551)</x:f>
      </x:c>
    </x:row>
    <x:row r="125" ht="27" customHeight="1">
      <x:c r="A125" s="2" t="str">
        <x:v>S001</x:v>
      </x:c>
      <x:c r="B125" s="2" t="n">
        <x:v>49</x:v>
      </x:c>
      <x:c r="C125" s="40" t="n">
        <x:v>25</x:v>
      </x:c>
      <x:c r="D125" s="40" t="n">
        <x:v>30</x:v>
      </x:c>
      <x:c r="E125" s="40" t="n">
        <x:v>80</x:v>
      </x:c>
      <x:c r="F125" s="13" t="str"/>
      <x:c r="G125" s="2"/>
      <x:c r="H125" s="2" t="str">
        <x:f>TEXT(B125,"0")&amp;"%"</x:f>
        <x:v>49%</x:v>
      </x:c>
      <x:c r="I125" s="2" t="n">
        <x:f>IF(C125="","",C125)</x:f>
        <x:v>25</x:v>
      </x:c>
      <x:c r="J125" s="2" t="n">
        <x:f>IF(D125="","",D125)</x:f>
        <x:v>30</x:v>
      </x:c>
      <x:c r="K125" s="2" t="n">
        <x:f>IF(E125="","",E125)</x:f>
        <x:v>80</x:v>
      </x:c>
      <x:c r="L125" s="2" t="str">
        <x:f>TEXT(B308,"0")&amp;"%"</x:f>
        <x:v>49%</x:v>
      </x:c>
      <x:c r="M125" s="2" t="str">
        <x:f>IF(C308="","",C308)</x:f>
      </x:c>
      <x:c r="N125" s="2" t="str">
        <x:f>IF(D308="","",D308)</x:f>
      </x:c>
      <x:c r="O125" s="2" t="str">
        <x:f>IF(E308="","",E308)</x:f>
      </x:c>
      <x:c r="P125" s="2" t="str">
        <x:f>TEXT(B552,"0")&amp;"%"</x:f>
        <x:v>49%</x:v>
      </x:c>
      <x:c r="Q125" s="2" t="str">
        <x:f>IF(C552="","",C552)</x:f>
      </x:c>
      <x:c r="R125" s="2" t="str">
        <x:f>IF(D552="","",D552)</x:f>
      </x:c>
      <x:c r="S125" s="2" t="str">
        <x:f>IF(E552="","",E552)</x:f>
      </x:c>
    </x:row>
    <x:row r="126" ht="27" customHeight="1">
      <x:c r="A126" s="2" t="str">
        <x:v>S001</x:v>
      </x:c>
      <x:c r="B126" s="2" t="n">
        <x:v>50</x:v>
      </x:c>
      <x:c r="C126" s="40" t="n">
        <x:v>25</x:v>
      </x:c>
      <x:c r="D126" s="40" t="n">
        <x:v>30</x:v>
      </x:c>
      <x:c r="E126" s="40" t="n">
        <x:v>80</x:v>
      </x:c>
      <x:c r="F126" s="13" t="str"/>
      <x:c r="G126" s="2"/>
      <x:c r="H126" s="2" t="str">
        <x:f>TEXT(B126,"0")&amp;"%"</x:f>
        <x:v>50%</x:v>
      </x:c>
      <x:c r="I126" s="2" t="n">
        <x:f>IF(C126="","",C126)</x:f>
        <x:v>25</x:v>
      </x:c>
      <x:c r="J126" s="2" t="n">
        <x:f>IF(D126="","",D126)</x:f>
        <x:v>30</x:v>
      </x:c>
      <x:c r="K126" s="2" t="n">
        <x:f>IF(E126="","",E126)</x:f>
        <x:v>80</x:v>
      </x:c>
      <x:c r="L126" s="2" t="str">
        <x:f>TEXT(B309,"0")&amp;"%"</x:f>
        <x:v>50%</x:v>
      </x:c>
      <x:c r="M126" s="2" t="str">
        <x:f>IF(C309="","",C309)</x:f>
      </x:c>
      <x:c r="N126" s="2" t="str">
        <x:f>IF(D309="","",D309)</x:f>
      </x:c>
      <x:c r="O126" s="2" t="str">
        <x:f>IF(E309="","",E309)</x:f>
      </x:c>
      <x:c r="P126" s="2" t="str">
        <x:f>TEXT(B553,"0")&amp;"%"</x:f>
        <x:v>50%</x:v>
      </x:c>
      <x:c r="Q126" s="2" t="str">
        <x:f>IF(C553="","",C553)</x:f>
      </x:c>
      <x:c r="R126" s="2" t="str">
        <x:f>IF(D553="","",D553)</x:f>
      </x:c>
      <x:c r="S126" s="2" t="str">
        <x:f>IF(E553="","",E553)</x:f>
      </x:c>
    </x:row>
    <x:row r="127" ht="27" customHeight="1">
      <x:c r="A127" s="2" t="str">
        <x:v>S001</x:v>
      </x:c>
      <x:c r="B127" s="2" t="n">
        <x:v>51</x:v>
      </x:c>
      <x:c r="C127" s="40" t="n">
        <x:v>25</x:v>
      </x:c>
      <x:c r="D127" s="40" t="n">
        <x:v>30</x:v>
      </x:c>
      <x:c r="E127" s="40" t="n">
        <x:v>80</x:v>
      </x:c>
      <x:c r="F127" s="13" t="str"/>
      <x:c r="G127" s="2"/>
      <x:c r="H127" s="2" t="str">
        <x:f>TEXT(B127,"0")&amp;"%"</x:f>
        <x:v>51%</x:v>
      </x:c>
      <x:c r="I127" s="2" t="n">
        <x:f>IF(C127="","",C127)</x:f>
        <x:v>25</x:v>
      </x:c>
      <x:c r="J127" s="2" t="n">
        <x:f>IF(D127="","",D127)</x:f>
        <x:v>30</x:v>
      </x:c>
      <x:c r="K127" s="2" t="n">
        <x:f>IF(E127="","",E127)</x:f>
        <x:v>80</x:v>
      </x:c>
      <x:c r="L127" s="2" t="str">
        <x:f>TEXT(B310,"0")&amp;"%"</x:f>
        <x:v>51%</x:v>
      </x:c>
      <x:c r="M127" s="2" t="str">
        <x:f>IF(C310="","",C310)</x:f>
      </x:c>
      <x:c r="N127" s="2" t="str">
        <x:f>IF(D310="","",D310)</x:f>
      </x:c>
      <x:c r="O127" s="2" t="str">
        <x:f>IF(E310="","",E310)</x:f>
      </x:c>
      <x:c r="P127" s="2" t="str">
        <x:f>TEXT(B554,"0")&amp;"%"</x:f>
        <x:v>51%</x:v>
      </x:c>
      <x:c r="Q127" s="2" t="str">
        <x:f>IF(C554="","",C554)</x:f>
      </x:c>
      <x:c r="R127" s="2" t="str">
        <x:f>IF(D554="","",D554)</x:f>
      </x:c>
      <x:c r="S127" s="2" t="str">
        <x:f>IF(E554="","",E554)</x:f>
      </x:c>
    </x:row>
    <x:row r="128" ht="27" customHeight="1">
      <x:c r="A128" s="2" t="str">
        <x:v>S001</x:v>
      </x:c>
      <x:c r="B128" s="2" t="n">
        <x:v>52</x:v>
      </x:c>
      <x:c r="C128" s="40" t="n">
        <x:v>25</x:v>
      </x:c>
      <x:c r="D128" s="40" t="n">
        <x:v>30</x:v>
      </x:c>
      <x:c r="E128" s="40" t="n">
        <x:v>80</x:v>
      </x:c>
      <x:c r="F128" s="13" t="str"/>
      <x:c r="G128" s="2"/>
      <x:c r="H128" s="2" t="str">
        <x:f>TEXT(B128,"0")&amp;"%"</x:f>
        <x:v>52%</x:v>
      </x:c>
      <x:c r="I128" s="2" t="n">
        <x:f>IF(C128="","",C128)</x:f>
        <x:v>25</x:v>
      </x:c>
      <x:c r="J128" s="2" t="n">
        <x:f>IF(D128="","",D128)</x:f>
        <x:v>30</x:v>
      </x:c>
      <x:c r="K128" s="2" t="n">
        <x:f>IF(E128="","",E128)</x:f>
        <x:v>80</x:v>
      </x:c>
      <x:c r="L128" s="2" t="str">
        <x:f>TEXT(B311,"0")&amp;"%"</x:f>
        <x:v>52%</x:v>
      </x:c>
      <x:c r="M128" s="2" t="str">
        <x:f>IF(C311="","",C311)</x:f>
      </x:c>
      <x:c r="N128" s="2" t="str">
        <x:f>IF(D311="","",D311)</x:f>
      </x:c>
      <x:c r="O128" s="2" t="str">
        <x:f>IF(E311="","",E311)</x:f>
      </x:c>
      <x:c r="P128" s="2" t="str">
        <x:f>TEXT(B555,"0")&amp;"%"</x:f>
        <x:v>52%</x:v>
      </x:c>
      <x:c r="Q128" s="2" t="str">
        <x:f>IF(C555="","",C555)</x:f>
      </x:c>
      <x:c r="R128" s="2" t="str">
        <x:f>IF(D555="","",D555)</x:f>
      </x:c>
      <x:c r="S128" s="2" t="str">
        <x:f>IF(E555="","",E555)</x:f>
      </x:c>
    </x:row>
    <x:row r="129" ht="27" customHeight="1">
      <x:c r="A129" s="2" t="str">
        <x:v>S001</x:v>
      </x:c>
      <x:c r="B129" s="2" t="n">
        <x:v>53</x:v>
      </x:c>
      <x:c r="C129" s="40" t="n">
        <x:v>25</x:v>
      </x:c>
      <x:c r="D129" s="40" t="n">
        <x:v>30</x:v>
      </x:c>
      <x:c r="E129" s="40" t="n">
        <x:v>80</x:v>
      </x:c>
      <x:c r="F129" s="13" t="str"/>
      <x:c r="G129" s="2"/>
      <x:c r="H129" s="2" t="str">
        <x:f>TEXT(B129,"0")&amp;"%"</x:f>
        <x:v>53%</x:v>
      </x:c>
      <x:c r="I129" s="2" t="n">
        <x:f>IF(C129="","",C129)</x:f>
        <x:v>25</x:v>
      </x:c>
      <x:c r="J129" s="2" t="n">
        <x:f>IF(D129="","",D129)</x:f>
        <x:v>30</x:v>
      </x:c>
      <x:c r="K129" s="2" t="n">
        <x:f>IF(E129="","",E129)</x:f>
        <x:v>80</x:v>
      </x:c>
      <x:c r="L129" s="2" t="str">
        <x:f>TEXT(B312,"0")&amp;"%"</x:f>
        <x:v>53%</x:v>
      </x:c>
      <x:c r="M129" s="2" t="str">
        <x:f>IF(C312="","",C312)</x:f>
      </x:c>
      <x:c r="N129" s="2" t="str">
        <x:f>IF(D312="","",D312)</x:f>
      </x:c>
      <x:c r="O129" s="2" t="str">
        <x:f>IF(E312="","",E312)</x:f>
      </x:c>
      <x:c r="P129" s="2" t="str">
        <x:f>TEXT(B556,"0")&amp;"%"</x:f>
        <x:v>53%</x:v>
      </x:c>
      <x:c r="Q129" s="2" t="str">
        <x:f>IF(C556="","",C556)</x:f>
      </x:c>
      <x:c r="R129" s="2" t="str">
        <x:f>IF(D556="","",D556)</x:f>
      </x:c>
      <x:c r="S129" s="2" t="str">
        <x:f>IF(E556="","",E556)</x:f>
      </x:c>
    </x:row>
    <x:row r="130" ht="27" customHeight="1">
      <x:c r="A130" s="2" t="str">
        <x:v>S001</x:v>
      </x:c>
      <x:c r="B130" s="2" t="n">
        <x:v>54</x:v>
      </x:c>
      <x:c r="C130" s="40" t="n">
        <x:v>25</x:v>
      </x:c>
      <x:c r="D130" s="40" t="n">
        <x:v>30</x:v>
      </x:c>
      <x:c r="E130" s="40" t="n">
        <x:v>80</x:v>
      </x:c>
      <x:c r="F130" s="13" t="str"/>
      <x:c r="G130" s="2"/>
      <x:c r="H130" s="2" t="str">
        <x:f>TEXT(B130,"0")&amp;"%"</x:f>
        <x:v>54%</x:v>
      </x:c>
      <x:c r="I130" s="2" t="n">
        <x:f>IF(C130="","",C130)</x:f>
        <x:v>25</x:v>
      </x:c>
      <x:c r="J130" s="2" t="n">
        <x:f>IF(D130="","",D130)</x:f>
        <x:v>30</x:v>
      </x:c>
      <x:c r="K130" s="2" t="n">
        <x:f>IF(E130="","",E130)</x:f>
        <x:v>80</x:v>
      </x:c>
      <x:c r="L130" s="2" t="str">
        <x:f>TEXT(B313,"0")&amp;"%"</x:f>
        <x:v>54%</x:v>
      </x:c>
      <x:c r="M130" s="2" t="str">
        <x:f>IF(C313="","",C313)</x:f>
      </x:c>
      <x:c r="N130" s="2" t="str">
        <x:f>IF(D313="","",D313)</x:f>
      </x:c>
      <x:c r="O130" s="2" t="str">
        <x:f>IF(E313="","",E313)</x:f>
      </x:c>
      <x:c r="P130" s="2" t="str">
        <x:f>TEXT(B557,"0")&amp;"%"</x:f>
        <x:v>54%</x:v>
      </x:c>
      <x:c r="Q130" s="2" t="str">
        <x:f>IF(C557="","",C557)</x:f>
      </x:c>
      <x:c r="R130" s="2" t="str">
        <x:f>IF(D557="","",D557)</x:f>
      </x:c>
      <x:c r="S130" s="2" t="str">
        <x:f>IF(E557="","",E557)</x:f>
      </x:c>
    </x:row>
    <x:row r="131" ht="27" customHeight="1">
      <x:c r="A131" s="2" t="str">
        <x:v>S001</x:v>
      </x:c>
      <x:c r="B131" s="2" t="n">
        <x:v>55</x:v>
      </x:c>
      <x:c r="C131" s="40" t="n">
        <x:v>25</x:v>
      </x:c>
      <x:c r="D131" s="40" t="n">
        <x:v>30</x:v>
      </x:c>
      <x:c r="E131" s="40" t="n">
        <x:v>80</x:v>
      </x:c>
      <x:c r="F131" s="13" t="str"/>
      <x:c r="G131" s="2"/>
      <x:c r="H131" s="2" t="str">
        <x:f>TEXT(B131,"0")&amp;"%"</x:f>
        <x:v>55%</x:v>
      </x:c>
      <x:c r="I131" s="2" t="n">
        <x:f>IF(C131="","",C131)</x:f>
        <x:v>25</x:v>
      </x:c>
      <x:c r="J131" s="2" t="n">
        <x:f>IF(D131="","",D131)</x:f>
        <x:v>30</x:v>
      </x:c>
      <x:c r="K131" s="2" t="n">
        <x:f>IF(E131="","",E131)</x:f>
        <x:v>80</x:v>
      </x:c>
      <x:c r="L131" s="2" t="str">
        <x:f>TEXT(B314,"0")&amp;"%"</x:f>
        <x:v>55%</x:v>
      </x:c>
      <x:c r="M131" s="2" t="str">
        <x:f>IF(C314="","",C314)</x:f>
      </x:c>
      <x:c r="N131" s="2" t="str">
        <x:f>IF(D314="","",D314)</x:f>
      </x:c>
      <x:c r="O131" s="2" t="str">
        <x:f>IF(E314="","",E314)</x:f>
      </x:c>
      <x:c r="P131" s="2" t="str">
        <x:f>TEXT(B558,"0")&amp;"%"</x:f>
        <x:v>55%</x:v>
      </x:c>
      <x:c r="Q131" s="2" t="str">
        <x:f>IF(C558="","",C558)</x:f>
      </x:c>
      <x:c r="R131" s="2" t="str">
        <x:f>IF(D558="","",D558)</x:f>
      </x:c>
      <x:c r="S131" s="2" t="str">
        <x:f>IF(E558="","",E558)</x:f>
      </x:c>
    </x:row>
    <x:row r="132" ht="27" customHeight="1">
      <x:c r="A132" s="2" t="str">
        <x:v>S001</x:v>
      </x:c>
      <x:c r="B132" s="2" t="n">
        <x:v>56</x:v>
      </x:c>
      <x:c r="C132" s="40" t="n">
        <x:v>25</x:v>
      </x:c>
      <x:c r="D132" s="40" t="n">
        <x:v>30</x:v>
      </x:c>
      <x:c r="E132" s="40" t="n">
        <x:v>80</x:v>
      </x:c>
      <x:c r="F132" s="13" t="str"/>
      <x:c r="G132" s="2"/>
      <x:c r="H132" s="2" t="str">
        <x:f>TEXT(B132,"0")&amp;"%"</x:f>
        <x:v>56%</x:v>
      </x:c>
      <x:c r="I132" s="2" t="n">
        <x:f>IF(C132="","",C132)</x:f>
        <x:v>25</x:v>
      </x:c>
      <x:c r="J132" s="2" t="n">
        <x:f>IF(D132="","",D132)</x:f>
        <x:v>30</x:v>
      </x:c>
      <x:c r="K132" s="2" t="n">
        <x:f>IF(E132="","",E132)</x:f>
        <x:v>80</x:v>
      </x:c>
      <x:c r="L132" s="2" t="str">
        <x:f>TEXT(B315,"0")&amp;"%"</x:f>
        <x:v>56%</x:v>
      </x:c>
      <x:c r="M132" s="2" t="str">
        <x:f>IF(C315="","",C315)</x:f>
      </x:c>
      <x:c r="N132" s="2" t="str">
        <x:f>IF(D315="","",D315)</x:f>
      </x:c>
      <x:c r="O132" s="2" t="str">
        <x:f>IF(E315="","",E315)</x:f>
      </x:c>
      <x:c r="P132" s="2" t="str">
        <x:f>TEXT(B559,"0")&amp;"%"</x:f>
        <x:v>56%</x:v>
      </x:c>
      <x:c r="Q132" s="2" t="str">
        <x:f>IF(C559="","",C559)</x:f>
      </x:c>
      <x:c r="R132" s="2" t="str">
        <x:f>IF(D559="","",D559)</x:f>
      </x:c>
      <x:c r="S132" s="2" t="str">
        <x:f>IF(E559="","",E559)</x:f>
      </x:c>
    </x:row>
    <x:row r="133" ht="27" customHeight="1">
      <x:c r="A133" s="2" t="str">
        <x:v>S001</x:v>
      </x:c>
      <x:c r="B133" s="2" t="n">
        <x:v>57</x:v>
      </x:c>
      <x:c r="C133" s="40" t="n">
        <x:v>25</x:v>
      </x:c>
      <x:c r="D133" s="40" t="n">
        <x:v>30</x:v>
      </x:c>
      <x:c r="E133" s="40" t="n">
        <x:v>80</x:v>
      </x:c>
      <x:c r="F133" s="13" t="str"/>
      <x:c r="G133" s="2"/>
      <x:c r="H133" s="2" t="str">
        <x:f>TEXT(B133,"0")&amp;"%"</x:f>
        <x:v>57%</x:v>
      </x:c>
      <x:c r="I133" s="2" t="n">
        <x:f>IF(C133="","",C133)</x:f>
        <x:v>25</x:v>
      </x:c>
      <x:c r="J133" s="2" t="n">
        <x:f>IF(D133="","",D133)</x:f>
        <x:v>30</x:v>
      </x:c>
      <x:c r="K133" s="2" t="n">
        <x:f>IF(E133="","",E133)</x:f>
        <x:v>80</x:v>
      </x:c>
      <x:c r="L133" s="2" t="str">
        <x:f>TEXT(B316,"0")&amp;"%"</x:f>
        <x:v>57%</x:v>
      </x:c>
      <x:c r="M133" s="2" t="str">
        <x:f>IF(C316="","",C316)</x:f>
      </x:c>
      <x:c r="N133" s="2" t="str">
        <x:f>IF(D316="","",D316)</x:f>
      </x:c>
      <x:c r="O133" s="2" t="str">
        <x:f>IF(E316="","",E316)</x:f>
      </x:c>
      <x:c r="P133" s="2" t="str">
        <x:f>TEXT(B560,"0")&amp;"%"</x:f>
        <x:v>57%</x:v>
      </x:c>
      <x:c r="Q133" s="2" t="str">
        <x:f>IF(C560="","",C560)</x:f>
      </x:c>
      <x:c r="R133" s="2" t="str">
        <x:f>IF(D560="","",D560)</x:f>
      </x:c>
      <x:c r="S133" s="2" t="str">
        <x:f>IF(E560="","",E560)</x:f>
      </x:c>
    </x:row>
    <x:row r="134" ht="27" customHeight="1">
      <x:c r="A134" s="2" t="str">
        <x:v>S001</x:v>
      </x:c>
      <x:c r="B134" s="2" t="n">
        <x:v>58</x:v>
      </x:c>
      <x:c r="C134" s="40" t="n">
        <x:v>25</x:v>
      </x:c>
      <x:c r="D134" s="40" t="n">
        <x:v>30</x:v>
      </x:c>
      <x:c r="E134" s="40" t="n">
        <x:v>80</x:v>
      </x:c>
      <x:c r="F134" s="13" t="str"/>
      <x:c r="G134" s="2"/>
      <x:c r="H134" s="2" t="str">
        <x:f>TEXT(B134,"0")&amp;"%"</x:f>
        <x:v>58%</x:v>
      </x:c>
      <x:c r="I134" s="2" t="n">
        <x:f>IF(C134="","",C134)</x:f>
        <x:v>25</x:v>
      </x:c>
      <x:c r="J134" s="2" t="n">
        <x:f>IF(D134="","",D134)</x:f>
        <x:v>30</x:v>
      </x:c>
      <x:c r="K134" s="2" t="n">
        <x:f>IF(E134="","",E134)</x:f>
        <x:v>80</x:v>
      </x:c>
      <x:c r="L134" s="2" t="str">
        <x:f>TEXT(B317,"0")&amp;"%"</x:f>
        <x:v>58%</x:v>
      </x:c>
      <x:c r="M134" s="2" t="str">
        <x:f>IF(C317="","",C317)</x:f>
      </x:c>
      <x:c r="N134" s="2" t="str">
        <x:f>IF(D317="","",D317)</x:f>
      </x:c>
      <x:c r="O134" s="2" t="str">
        <x:f>IF(E317="","",E317)</x:f>
      </x:c>
      <x:c r="P134" s="2" t="str">
        <x:f>TEXT(B561,"0")&amp;"%"</x:f>
        <x:v>58%</x:v>
      </x:c>
      <x:c r="Q134" s="2" t="str">
        <x:f>IF(C561="","",C561)</x:f>
      </x:c>
      <x:c r="R134" s="2" t="str">
        <x:f>IF(D561="","",D561)</x:f>
      </x:c>
      <x:c r="S134" s="2" t="str">
        <x:f>IF(E561="","",E561)</x:f>
      </x:c>
    </x:row>
    <x:row r="135" ht="27" customHeight="1">
      <x:c r="A135" s="2" t="str">
        <x:v>S001</x:v>
      </x:c>
      <x:c r="B135" s="2" t="n">
        <x:v>59</x:v>
      </x:c>
      <x:c r="C135" s="40" t="n">
        <x:v>25</x:v>
      </x:c>
      <x:c r="D135" s="40" t="n">
        <x:v>30</x:v>
      </x:c>
      <x:c r="E135" s="40" t="n">
        <x:v>80</x:v>
      </x:c>
      <x:c r="F135" s="13" t="str"/>
      <x:c r="G135" s="2"/>
      <x:c r="H135" s="2" t="str">
        <x:f>TEXT(B135,"0")&amp;"%"</x:f>
        <x:v>59%</x:v>
      </x:c>
      <x:c r="I135" s="2" t="n">
        <x:f>IF(C135="","",C135)</x:f>
        <x:v>25</x:v>
      </x:c>
      <x:c r="J135" s="2" t="n">
        <x:f>IF(D135="","",D135)</x:f>
        <x:v>30</x:v>
      </x:c>
      <x:c r="K135" s="2" t="n">
        <x:f>IF(E135="","",E135)</x:f>
        <x:v>80</x:v>
      </x:c>
      <x:c r="L135" s="2" t="str">
        <x:f>TEXT(B318,"0")&amp;"%"</x:f>
        <x:v>59%</x:v>
      </x:c>
      <x:c r="M135" s="2" t="str">
        <x:f>IF(C318="","",C318)</x:f>
      </x:c>
      <x:c r="N135" s="2" t="str">
        <x:f>IF(D318="","",D318)</x:f>
      </x:c>
      <x:c r="O135" s="2" t="str">
        <x:f>IF(E318="","",E318)</x:f>
      </x:c>
      <x:c r="P135" s="2" t="str">
        <x:f>TEXT(B562,"0")&amp;"%"</x:f>
        <x:v>59%</x:v>
      </x:c>
      <x:c r="Q135" s="2" t="str">
        <x:f>IF(C562="","",C562)</x:f>
      </x:c>
      <x:c r="R135" s="2" t="str">
        <x:f>IF(D562="","",D562)</x:f>
      </x:c>
      <x:c r="S135" s="2" t="str">
        <x:f>IF(E562="","",E562)</x:f>
      </x:c>
    </x:row>
    <x:row r="136" ht="27" customHeight="1">
      <x:c r="A136" s="2" t="str">
        <x:v>S001</x:v>
      </x:c>
      <x:c r="B136" s="2" t="n">
        <x:v>60</x:v>
      </x:c>
      <x:c r="C136" s="40" t="n">
        <x:v>25</x:v>
      </x:c>
      <x:c r="D136" s="40" t="n">
        <x:v>30</x:v>
      </x:c>
      <x:c r="E136" s="40" t="n">
        <x:v>80</x:v>
      </x:c>
      <x:c r="F136" s="13" t="str"/>
      <x:c r="G136" s="2"/>
      <x:c r="H136" s="2" t="str">
        <x:f>TEXT(B136,"0")&amp;"%"</x:f>
        <x:v>60%</x:v>
      </x:c>
      <x:c r="I136" s="2" t="n">
        <x:f>IF(C136="","",C136)</x:f>
        <x:v>25</x:v>
      </x:c>
      <x:c r="J136" s="2" t="n">
        <x:f>IF(D136="","",D136)</x:f>
        <x:v>30</x:v>
      </x:c>
      <x:c r="K136" s="2" t="n">
        <x:f>IF(E136="","",E136)</x:f>
        <x:v>80</x:v>
      </x:c>
      <x:c r="L136" s="2" t="str">
        <x:f>TEXT(B319,"0")&amp;"%"</x:f>
        <x:v>60%</x:v>
      </x:c>
      <x:c r="M136" s="2" t="str">
        <x:f>IF(C319="","",C319)</x:f>
      </x:c>
      <x:c r="N136" s="2" t="str">
        <x:f>IF(D319="","",D319)</x:f>
      </x:c>
      <x:c r="O136" s="2" t="str">
        <x:f>IF(E319="","",E319)</x:f>
      </x:c>
      <x:c r="P136" s="2" t="str">
        <x:f>TEXT(B563,"0")&amp;"%"</x:f>
        <x:v>60%</x:v>
      </x:c>
      <x:c r="Q136" s="2" t="str">
        <x:f>IF(C563="","",C563)</x:f>
      </x:c>
      <x:c r="R136" s="2" t="str">
        <x:f>IF(D563="","",D563)</x:f>
      </x:c>
      <x:c r="S136" s="2" t="str">
        <x:f>IF(E563="","",E563)</x:f>
      </x:c>
    </x:row>
    <x:row r="137" ht="27" customHeight="1">
      <x:c r="A137" s="2" t="str">
        <x:v>S002</x:v>
      </x:c>
      <x:c r="B137" s="2" t="n">
        <x:v>0</x:v>
      </x:c>
      <x:c r="C137" s="40" t="n">
        <x:v>25</x:v>
      </x:c>
      <x:c r="D137" s="40" t="n">
        <x:v>30</x:v>
      </x:c>
      <x:c r="E137" s="40" t="n">
        <x:v>80</x:v>
      </x:c>
      <x:c r="F137" s="13" t="str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</x:row>
    <x:row r="138" ht="27" customHeight="1">
      <x:c r="A138" s="2" t="str">
        <x:v>S002</x:v>
      </x:c>
      <x:c r="B138" s="2" t="n">
        <x:v>1</x:v>
      </x:c>
      <x:c r="C138" s="40" t="n">
        <x:v>25</x:v>
      </x:c>
      <x:c r="D138" s="40" t="n">
        <x:v>30</x:v>
      </x:c>
      <x:c r="E138" s="40" t="n">
        <x:v>80</x:v>
      </x:c>
      <x:c r="F138" s="13" t="str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</x:row>
    <x:row r="139" ht="27" customHeight="1">
      <x:c r="A139" s="2" t="str">
        <x:v>S002</x:v>
      </x:c>
      <x:c r="B139" s="2" t="n">
        <x:v>2</x:v>
      </x:c>
      <x:c r="C139" s="40" t="n">
        <x:v>25</x:v>
      </x:c>
      <x:c r="D139" s="40" t="n">
        <x:v>30</x:v>
      </x:c>
      <x:c r="E139" s="40" t="n">
        <x:v>80</x:v>
      </x:c>
      <x:c r="F139" s="13" t="str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</x:row>
    <x:row r="140" ht="27" customHeight="1">
      <x:c r="A140" s="2" t="str">
        <x:v>S002</x:v>
      </x:c>
      <x:c r="B140" s="2" t="n">
        <x:v>3</x:v>
      </x:c>
      <x:c r="C140" s="40" t="n">
        <x:v>25</x:v>
      </x:c>
      <x:c r="D140" s="40" t="n">
        <x:v>30</x:v>
      </x:c>
      <x:c r="E140" s="40" t="n">
        <x:v>80</x:v>
      </x:c>
      <x:c r="F140" s="13" t="str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</x:row>
    <x:row r="141" ht="27" customHeight="1">
      <x:c r="A141" s="2" t="str">
        <x:v>S002</x:v>
      </x:c>
      <x:c r="B141" s="2" t="n">
        <x:v>4</x:v>
      </x:c>
      <x:c r="C141" s="40" t="n">
        <x:v>25</x:v>
      </x:c>
      <x:c r="D141" s="40" t="n">
        <x:v>30</x:v>
      </x:c>
      <x:c r="E141" s="40" t="n">
        <x:v>80</x:v>
      </x:c>
      <x:c r="F141" s="13" t="str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</x:row>
    <x:row r="142" ht="27" customHeight="1">
      <x:c r="A142" s="2" t="str">
        <x:v>S002</x:v>
      </x:c>
      <x:c r="B142" s="2" t="n">
        <x:v>5</x:v>
      </x:c>
      <x:c r="C142" s="40" t="n">
        <x:v>25</x:v>
      </x:c>
      <x:c r="D142" s="40" t="n">
        <x:v>30</x:v>
      </x:c>
      <x:c r="E142" s="40" t="n">
        <x:v>80</x:v>
      </x:c>
      <x:c r="F142" s="13" t="str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</x:row>
    <x:row r="143" ht="27" customHeight="1">
      <x:c r="A143" s="2" t="str">
        <x:v>S002</x:v>
      </x:c>
      <x:c r="B143" s="2" t="n">
        <x:v>6</x:v>
      </x:c>
      <x:c r="C143" s="40" t="n">
        <x:v>25</x:v>
      </x:c>
      <x:c r="D143" s="40" t="n">
        <x:v>30</x:v>
      </x:c>
      <x:c r="E143" s="40" t="n">
        <x:v>80</x:v>
      </x:c>
      <x:c r="F143" s="13" t="str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</x:row>
    <x:row r="144" ht="27" customHeight="1">
      <x:c r="A144" s="2" t="str">
        <x:v>S002</x:v>
      </x:c>
      <x:c r="B144" s="2" t="n">
        <x:v>7</x:v>
      </x:c>
      <x:c r="C144" s="40" t="n">
        <x:v>25</x:v>
      </x:c>
      <x:c r="D144" s="40" t="n">
        <x:v>30</x:v>
      </x:c>
      <x:c r="E144" s="40" t="n">
        <x:v>80</x:v>
      </x:c>
      <x:c r="F144" s="13" t="str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</x:row>
    <x:row r="145" ht="27" customHeight="1">
      <x:c r="A145" s="2" t="str">
        <x:v>S002</x:v>
      </x:c>
      <x:c r="B145" s="2" t="n">
        <x:v>8</x:v>
      </x:c>
      <x:c r="C145" s="40" t="n">
        <x:v>25</x:v>
      </x:c>
      <x:c r="D145" s="40" t="n">
        <x:v>30</x:v>
      </x:c>
      <x:c r="E145" s="40" t="n">
        <x:v>80</x:v>
      </x:c>
      <x:c r="F145" s="13" t="str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</x:row>
    <x:row r="146" ht="27" customHeight="1">
      <x:c r="A146" s="2" t="str">
        <x:v>S002</x:v>
      </x:c>
      <x:c r="B146" s="2" t="n">
        <x:v>9</x:v>
      </x:c>
      <x:c r="C146" s="40" t="n">
        <x:v>25</x:v>
      </x:c>
      <x:c r="D146" s="40" t="n">
        <x:v>30</x:v>
      </x:c>
      <x:c r="E146" s="40" t="n">
        <x:v>79.36546266078949</x:v>
      </x:c>
      <x:c r="F146" s="13" t="str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</x:row>
    <x:row r="147" ht="27" customHeight="1">
      <x:c r="A147" s="2" t="str">
        <x:v>S002</x:v>
      </x:c>
      <x:c r="B147" s="2" t="n">
        <x:v>10</x:v>
      </x:c>
      <x:c r="C147" s="40" t="n">
        <x:v>25</x:v>
      </x:c>
      <x:c r="D147" s="40" t="n">
        <x:v>30</x:v>
      </x:c>
      <x:c r="E147" s="40" t="n">
        <x:v>78.59221816062927</x:v>
      </x:c>
      <x:c r="F147" s="13" t="str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</x:row>
    <x:row r="148" ht="27" customHeight="1">
      <x:c r="A148" s="2" t="str">
        <x:v>S002</x:v>
      </x:c>
      <x:c r="B148" s="2" t="n">
        <x:v>11</x:v>
      </x:c>
      <x:c r="C148" s="40" t="n">
        <x:v>25</x:v>
      </x:c>
      <x:c r="D148" s="40" t="n">
        <x:v>30</x:v>
      </x:c>
      <x:c r="E148" s="40" t="n">
        <x:v>77.78909742832184</x:v>
      </x:c>
      <x:c r="F148" s="13" t="str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</x:row>
    <x:row r="149" ht="27" customHeight="1">
      <x:c r="A149" s="2" t="str">
        <x:v>S002</x:v>
      </x:c>
      <x:c r="B149" s="2" t="n">
        <x:v>12</x:v>
      </x:c>
      <x:c r="C149" s="40" t="n">
        <x:v>25</x:v>
      </x:c>
      <x:c r="D149" s="40" t="n">
        <x:v>30</x:v>
      </x:c>
      <x:c r="E149" s="40" t="n">
        <x:v>76.9542920589447</x:v>
      </x:c>
      <x:c r="F149" s="13" t="str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</x:row>
    <x:row r="150" ht="27" customHeight="1">
      <x:c r="A150" s="2" t="str">
        <x:v>S002</x:v>
      </x:c>
      <x:c r="B150" s="2" t="n">
        <x:v>13</x:v>
      </x:c>
      <x:c r="C150" s="40" t="n">
        <x:v>25</x:v>
      </x:c>
      <x:c r="D150" s="40" t="n">
        <x:v>30</x:v>
      </x:c>
      <x:c r="E150" s="40" t="n">
        <x:v>76.0858404636383</x:v>
      </x:c>
      <x:c r="F150" s="13" t="str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</x:row>
    <x:row r="151" ht="27" customHeight="1">
      <x:c r="A151" s="2" t="str">
        <x:v>S002</x:v>
      </x:c>
      <x:c r="B151" s="2" t="n">
        <x:v>14</x:v>
      </x:c>
      <x:c r="C151" s="40" t="n">
        <x:v>25</x:v>
      </x:c>
      <x:c r="D151" s="40" t="n">
        <x:v>30</x:v>
      </x:c>
      <x:c r="E151" s="40" t="n">
        <x:v>75.18160879611969</x:v>
      </x:c>
      <x:c r="F151" s="13" t="str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</x:row>
    <x:row r="152" ht="27" customHeight="1">
      <x:c r="A152" s="2" t="str">
        <x:v>S002</x:v>
      </x:c>
      <x:c r="B152" s="2" t="n">
        <x:v>15</x:v>
      </x:c>
      <x:c r="C152" s="40" t="n">
        <x:v>25</x:v>
      </x:c>
      <x:c r="D152" s="40" t="n">
        <x:v>30</x:v>
      </x:c>
      <x:c r="E152" s="40" t="n">
        <x:v>74.23927307128906</x:v>
      </x:c>
      <x:c r="F152" s="13" t="str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</x:row>
    <x:row r="153" ht="27" customHeight="1">
      <x:c r="A153" s="2" t="str">
        <x:v>S002</x:v>
      </x:c>
      <x:c r="B153" s="2" t="n">
        <x:v>16</x:v>
      </x:c>
      <x:c r="C153" s="40" t="n">
        <x:v>25</x:v>
      </x:c>
      <x:c r="D153" s="40" t="n">
        <x:v>30</x:v>
      </x:c>
      <x:c r="E153" s="40" t="n">
        <x:v>73.25629532337189</x:v>
      </x:c>
      <x:c r="F153" s="13" t="str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</x:row>
    <x:row r="154" ht="27" customHeight="1">
      <x:c r="A154" s="2" t="str">
        <x:v>S002</x:v>
      </x:c>
      <x:c r="B154" s="2" t="n">
        <x:v>17</x:v>
      </x:c>
      <x:c r="C154" s="40" t="n">
        <x:v>25</x:v>
      </x:c>
      <x:c r="D154" s="40" t="n">
        <x:v>30</x:v>
      </x:c>
      <x:c r="E154" s="40" t="n">
        <x:v>72.22989678382874</x:v>
      </x:c>
      <x:c r="F154" s="13" t="str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</x:row>
    <x:row r="155" ht="27" customHeight="1">
      <x:c r="A155" s="2" t="str">
        <x:v>S002</x:v>
      </x:c>
      <x:c r="B155" s="2" t="n">
        <x:v>18</x:v>
      </x:c>
      <x:c r="C155" s="40" t="n">
        <x:v>25</x:v>
      </x:c>
      <x:c r="D155" s="40" t="n">
        <x:v>30</x:v>
      </x:c>
      <x:c r="E155" s="40" t="n">
        <x:v>71.15702748298645</x:v>
      </x:c>
      <x:c r="F155" s="13" t="str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</x:row>
    <x:row r="156" ht="27" customHeight="1">
      <x:c r="A156" s="2" t="str">
        <x:v>S002</x:v>
      </x:c>
      <x:c r="B156" s="2" t="n">
        <x:v>19</x:v>
      </x:c>
      <x:c r="C156" s="40" t="n">
        <x:v>25</x:v>
      </x:c>
      <x:c r="D156" s="40" t="n">
        <x:v>30</x:v>
      </x:c>
      <x:c r="E156" s="40" t="n">
        <x:v>70.03433167934418</x:v>
      </x:c>
      <x:c r="F156" s="13" t="str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</x:row>
    <x:row r="157" ht="27" customHeight="1">
      <x:c r="A157" s="2" t="str">
        <x:v>S002</x:v>
      </x:c>
      <x:c r="B157" s="2" t="n">
        <x:v>20</x:v>
      </x:c>
      <x:c r="C157" s="40" t="n">
        <x:v>25</x:v>
      </x:c>
      <x:c r="D157" s="40" t="n">
        <x:v>30</x:v>
      </x:c>
      <x:c r="E157" s="40" t="n">
        <x:v>68.85810375213623</x:v>
      </x:c>
      <x:c r="F157" s="13" t="str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</x:row>
    <x:row r="158" ht="27" customHeight="1">
      <x:c r="A158" s="2" t="str">
        <x:v>S002</x:v>
      </x:c>
      <x:c r="B158" s="2" t="n">
        <x:v>21</x:v>
      </x:c>
      <x:c r="C158" s="40" t="n">
        <x:v>25</x:v>
      </x:c>
      <x:c r="D158" s="40" t="n">
        <x:v>30</x:v>
      </x:c>
      <x:c r="E158" s="40" t="n">
        <x:v>67.62423932552338</x:v>
      </x:c>
      <x:c r="F158" s="13" t="str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</x:row>
    <x:row r="159" ht="27" customHeight="1">
      <x:c r="A159" s="2" t="str">
        <x:v>S002</x:v>
      </x:c>
      <x:c r="B159" s="2" t="n">
        <x:v>22</x:v>
      </x:c>
      <x:c r="C159" s="40" t="n">
        <x:v>25</x:v>
      </x:c>
      <x:c r="D159" s="40" t="n">
        <x:v>30</x:v>
      </x:c>
      <x:c r="E159" s="40" t="n">
        <x:v>66.3281774520874</x:v>
      </x:c>
      <x:c r="F159" s="13" t="str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</x:row>
    <x:row r="160" ht="27" customHeight="1">
      <x:c r="A160" s="2" t="str">
        <x:v>S002</x:v>
      </x:c>
      <x:c r="B160" s="2" t="n">
        <x:v>23</x:v>
      </x:c>
      <x:c r="C160" s="40" t="n">
        <x:v>25</x:v>
      </x:c>
      <x:c r="D160" s="40" t="n">
        <x:v>30</x:v>
      </x:c>
      <x:c r="E160" s="40" t="n">
        <x:v>64.9648267030716</x:v>
      </x:c>
      <x:c r="F160" s="13" t="str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</x:row>
    <x:row r="161" ht="27" customHeight="1">
      <x:c r="A161" s="2" t="str">
        <x:v>S002</x:v>
      </x:c>
      <x:c r="B161" s="2" t="n">
        <x:v>24</x:v>
      </x:c>
      <x:c r="C161" s="40" t="n">
        <x:v>25</x:v>
      </x:c>
      <x:c r="D161" s="40" t="n">
        <x:v>30</x:v>
      </x:c>
      <x:c r="E161" s="40" t="n">
        <x:v>63.528483510017395</x:v>
      </x:c>
      <x:c r="F161" s="13" t="str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</x:row>
    <x:row r="162" ht="27" customHeight="1">
      <x:c r="A162" s="2" t="str">
        <x:v>S002</x:v>
      </x:c>
      <x:c r="B162" s="2" t="n">
        <x:v>25</x:v>
      </x:c>
      <x:c r="C162" s="40" t="n">
        <x:v>25</x:v>
      </x:c>
      <x:c r="D162" s="40" t="n">
        <x:v>30</x:v>
      </x:c>
      <x:c r="E162" s="40" t="n">
        <x:v>62.012723088264465</x:v>
      </x:c>
      <x:c r="F162" s="13" t="str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</x:row>
    <x:row r="163" ht="27" customHeight="1">
      <x:c r="A163" s="2" t="str">
        <x:v>S002</x:v>
      </x:c>
      <x:c r="B163" s="2" t="n">
        <x:v>26</x:v>
      </x:c>
      <x:c r="C163" s="40" t="n">
        <x:v>25</x:v>
      </x:c>
      <x:c r="D163" s="40" t="n">
        <x:v>29.432491958141327</x:v>
      </x:c>
      <x:c r="E163" s="40" t="n">
        <x:v>60.410276055336</x:v>
      </x:c>
      <x:c r="F163" s="13" t="str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</x:row>
    <x:row r="164" ht="27" customHeight="1">
      <x:c r="A164" s="2" t="str">
        <x:v>S002</x:v>
      </x:c>
      <x:c r="B164" s="2" t="n">
        <x:v>27</x:v>
      </x:c>
      <x:c r="C164" s="40" t="n">
        <x:v>25</x:v>
      </x:c>
      <x:c r="D164" s="40" t="n">
        <x:v>28.81620168685913</x:v>
      </x:c>
      <x:c r="E164" s="40" t="n">
        <x:v>58.71286153793335</x:v>
      </x:c>
      <x:c r="F164" s="13" t="str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</x:row>
    <x:row r="165" ht="27" customHeight="1">
      <x:c r="A165" s="2" t="str">
        <x:v>S002</x:v>
      </x:c>
      <x:c r="B165" s="2" t="n">
        <x:v>28</x:v>
      </x:c>
      <x:c r="C165" s="40" t="n">
        <x:v>25</x:v>
      </x:c>
      <x:c r="D165" s="40" t="n">
        <x:v>28.16507488489151</x:v>
      </x:c>
      <x:c r="E165" s="40" t="n">
        <x:v>56.910990476608276</x:v>
      </x:c>
      <x:c r="F165" s="13" t="str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</x:row>
    <x:row r="166" ht="27" customHeight="1">
      <x:c r="A166" s="2" t="str">
        <x:v>S002</x:v>
      </x:c>
      <x:c r="B166" s="2" t="n">
        <x:v>29</x:v>
      </x:c>
      <x:c r="C166" s="40" t="n">
        <x:v>25</x:v>
      </x:c>
      <x:c r="D166" s="40" t="n">
        <x:v>27.475878596305847</x:v>
      </x:c>
      <x:c r="E166" s="40" t="n">
        <x:v>54.9936980009079</x:v>
      </x:c>
      <x:c r="F166" s="13" t="str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</x:row>
    <x:row r="167" ht="27" customHeight="1">
      <x:c r="A167" s="2" t="str">
        <x:v>S002</x:v>
      </x:c>
      <x:c r="B167" s="2" t="n">
        <x:v>30</x:v>
      </x:c>
      <x:c r="C167" s="40" t="n">
        <x:v>25</x:v>
      </x:c>
      <x:c r="D167" s="40" t="n">
        <x:v>26.74493283033371</x:v>
      </x:c>
      <x:c r="E167" s="40" t="n">
        <x:v>52.94820785522461</x:v>
      </x:c>
      <x:c r="F167" s="13" t="str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</x:row>
    <x:row r="168" ht="27" customHeight="1">
      <x:c r="A168" s="2" t="str">
        <x:v>S002</x:v>
      </x:c>
      <x:c r="B168" s="2" t="n">
        <x:v>31</x:v>
      </x:c>
      <x:c r="C168" s="40" t="n">
        <x:v>25</x:v>
      </x:c>
      <x:c r="D168" s="40" t="n">
        <x:v>25.968019366264343</x:v>
      </x:c>
      <x:c r="E168" s="40" t="n">
        <x:v>50.759475231170654</x:v>
      </x:c>
      <x:c r="F168" s="13" t="str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</x:row>
    <x:row r="169" ht="27" customHeight="1">
      <x:c r="A169" s="2" t="str">
        <x:v>S002</x:v>
      </x:c>
      <x:c r="B169" s="2" t="n">
        <x:v>32</x:v>
      </x:c>
      <x:c r="C169" s="40" t="n">
        <x:v>23.777248710393906</x:v>
      </x:c>
      <x:c r="D169" s="40" t="n">
        <x:v>25.140268206596375</x:v>
      </x:c>
      <x:c r="E169" s="40" t="n">
        <x:v>48.40956449508667</x:v>
      </x:c>
      <x:c r="F169" s="13" t="str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</x:row>
    <x:row r="170" ht="27" customHeight="1">
      <x:c r="A170" s="2" t="str">
        <x:v>S002</x:v>
      </x:c>
      <x:c r="B170" s="2" t="n">
        <x:v>33</x:v>
      </x:c>
      <x:c r="C170" s="40" t="n">
        <x:v>21.830637753009796</x:v>
      </x:c>
      <x:c r="D170" s="40" t="n">
        <x:v>24.256010055541992</x:v>
      </x:c>
      <x:c r="E170" s="40" t="n">
        <x:v>45.87678074836731</x:v>
      </x:c>
      <x:c r="F170" s="13" t="str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</x:row>
    <x:row r="171" ht="27" customHeight="1">
      <x:c r="A171" s="2" t="str">
        <x:v>S002</x:v>
      </x:c>
      <x:c r="B171" s="2" t="n">
        <x:v>34</x:v>
      </x:c>
      <x:c r="C171" s="40" t="n">
        <x:v>19.682303816080093</x:v>
      </x:c>
      <x:c r="D171" s="40" t="n">
        <x:v>23.308577835559845</x:v>
      </x:c>
      <x:c r="E171" s="40" t="n">
        <x:v>43.13439607620239</x:v>
      </x:c>
      <x:c r="F171" s="13" t="str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</x:row>
    <x:row r="172" ht="27" customHeight="1">
      <x:c r="A172" s="2" t="str">
        <x:v>S002</x:v>
      </x:c>
      <x:c r="B172" s="2" t="n">
        <x:v>35</x:v>
      </x:c>
      <x:c r="C172" s="40" t="n">
        <x:v>17.283795028924942</x:v>
      </x:c>
      <x:c r="D172" s="40" t="n">
        <x:v>22.290045619010925</x:v>
      </x:c>
      <x:c r="E172" s="40" t="n">
        <x:v>40.14873266220093</x:v>
      </x:c>
      <x:c r="F172" s="13" t="str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</x:row>
    <x:row r="173" ht="27" customHeight="1">
      <x:c r="A173" s="2" t="str">
        <x:v>S002</x:v>
      </x:c>
      <x:c r="B173" s="2" t="n">
        <x:v>36</x:v>
      </x:c>
      <x:c r="C173" s="40" t="n">
        <x:v>14.560655504465103</x:v>
      </x:c>
      <x:c r="D173" s="40" t="n">
        <x:v>21.1908558011055</x:v>
      </x:c>
      <x:c r="E173" s="40" t="n">
        <x:v>36.876099705696106</x:v>
      </x:c>
      <x:c r="F173" s="13" t="str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</x:row>
    <x:row r="174" ht="27" customHeight="1">
      <x:c r="A174" s="2" t="str">
        <x:v>S002</x:v>
      </x:c>
      <x:c r="B174" s="2" t="n">
        <x:v>37</x:v>
      </x:c>
      <x:c r="C174" s="40" t="n">
        <x:v>11.38334795832634</x:v>
      </x:c>
      <x:c r="D174" s="40" t="n">
        <x:v>19.9992898106575</x:v>
      </x:c>
      <x:c r="E174" s="40" t="n">
        <x:v>33.25757920742035</x:v>
      </x:c>
      <x:c r="F174" s="13" t="str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</x:row>
    <x:row r="175" ht="27" customHeight="1">
      <x:c r="A175" s="2" t="str">
        <x:v>S002</x:v>
      </x:c>
      <x:c r="B175" s="2" t="n">
        <x:v>38</x:v>
      </x:c>
      <x:c r="C175" s="40" t="n">
        <x:v>7.467970997095108</x:v>
      </x:c>
      <x:c r="D175" s="40" t="n">
        <x:v>18.700679540634155</x:v>
      </x:c>
      <x:c r="E175" s="40" t="n">
        <x:v>29.209353923797607</x:v>
      </x:c>
      <x:c r="F175" s="13" t="str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</x:row>
    <x:row r="176" ht="27" customHeight="1">
      <x:c r="A176" s="2" t="str">
        <x:v>S002</x:v>
      </x:c>
      <x:c r="B176" s="2" t="n">
        <x:v>39</x:v>
      </x:c>
      <x:c r="C176" s="40" t="n">
        <x:v>1.541176438331604</x:v>
      </x:c>
      <x:c r="D176" s="40" t="n">
        <x:v>17.276169061660767</x:v>
      </x:c>
      <x:c r="E176" s="40" t="n">
        <x:v>24.602460265159607</x:v>
      </x:c>
      <x:c r="F176" s="13" t="str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</x:row>
    <x:row r="177" ht="27" customHeight="1">
      <x:c r="A177" s="2" t="str">
        <x:v>S002</x:v>
      </x:c>
      <x:c r="B177" s="2" t="n">
        <x:v>40</x:v>
      </x:c>
      <x:c r="C177" s="40"/>
      <x:c r="D177" s="40" t="n">
        <x:v>15.70065826177597</x:v>
      </x:c>
      <x:c r="E177" s="40" t="n">
        <x:v>19.212015867233276</x:v>
      </x:c>
      <x:c r="F177" s="13" t="str">
        <x:v>A型空载也不可行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</x:row>
    <x:row r="178" ht="27" customHeight="1">
      <x:c r="A178" s="2" t="str">
        <x:v>S002</x:v>
      </x:c>
      <x:c r="B178" s="2" t="n">
        <x:v>41</x:v>
      </x:c>
      <x:c r="C178" s="40"/>
      <x:c r="D178" s="40" t="n">
        <x:v>13.939105868339539</x:v>
      </x:c>
      <x:c r="E178" s="40" t="n">
        <x:v>12.542270421981812</x:v>
      </x:c>
      <x:c r="F178" s="13" t="str">
        <x:v>A型空载也不可行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</x:row>
    <x:row r="179" ht="27" customHeight="1">
      <x:c r="A179" s="2" t="str">
        <x:v>S002</x:v>
      </x:c>
      <x:c r="B179" s="2" t="n">
        <x:v>42</x:v>
      </x:c>
      <x:c r="C179" s="40"/>
      <x:c r="D179" s="40" t="n">
        <x:v>11.939111351966858</x:v>
      </x:c>
      <x:c r="E179" s="40" t="n">
        <x:v>2.2750115394592285</x:v>
      </x:c>
      <x:c r="F179" s="13" t="str">
        <x:v>A型空载也不可行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</x:row>
    <x:row r="180" ht="27" customHeight="1">
      <x:c r="A180" s="2" t="str">
        <x:v>S002</x:v>
      </x:c>
      <x:c r="B180" s="2" t="n">
        <x:v>43</x:v>
      </x:c>
      <x:c r="C180" s="40"/>
      <x:c r="D180" s="40" t="n">
        <x:v>9.613504707813263</x:v>
      </x:c>
      <x:c r="E180" s="40"/>
      <x:c r="F180" s="13" t="str">
        <x:v>A型空载也不可行；C型空载也不可行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</x:row>
    <x:row r="181" ht="27" customHeight="1">
      <x:c r="A181" s="2" t="str">
        <x:v>S002</x:v>
      </x:c>
      <x:c r="B181" s="2" t="n">
        <x:v>44</x:v>
      </x:c>
      <x:c r="C181" s="40"/>
      <x:c r="D181" s="40" t="n">
        <x:v>6.787211000919342</x:v>
      </x:c>
      <x:c r="E181" s="40"/>
      <x:c r="F181" s="13" t="str">
        <x:v>A型空载也不可行；C型空载也不可行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</x:row>
    <x:row r="182" ht="27" customHeight="1">
      <x:c r="A182" s="2" t="str">
        <x:v>S002</x:v>
      </x:c>
      <x:c r="B182" s="2" t="n">
        <x:v>45</x:v>
      </x:c>
      <x:c r="C182" s="40"/>
      <x:c r="D182" s="40" t="n">
        <x:v>2.9051560163497925</x:v>
      </x:c>
      <x:c r="E182" s="40"/>
      <x:c r="F182" s="13" t="str">
        <x:v>A型空载也不可行；C型空载也不可行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</x:row>
    <x:row r="183" ht="27" customHeight="1">
      <x:c r="A183" s="2" t="str">
        <x:v>S002</x:v>
      </x:c>
      <x:c r="B183" s="2" t="n">
        <x:v>46</x:v>
      </x:c>
      <x:c r="C183" s="40"/>
      <x:c r="D183" s="40"/>
      <x:c r="E183" s="40"/>
      <x:c r="F183" s="13" t="str">
        <x:v>A型空载也不可行；B型空载也不可行；C型空载也不可行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</x:row>
    <x:row r="184" ht="27" customHeight="1">
      <x:c r="A184" s="2" t="str">
        <x:v>S002</x:v>
      </x:c>
      <x:c r="B184" s="2" t="n">
        <x:v>47</x:v>
      </x:c>
      <x:c r="C184" s="40"/>
      <x:c r="D184" s="40"/>
      <x:c r="E184" s="40"/>
      <x:c r="F184" s="13" t="str">
        <x:v>A型空载也不可行；B型空载也不可行；C型空载也不可行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</x:row>
    <x:row r="185" ht="27" customHeight="1">
      <x:c r="A185" s="2" t="str">
        <x:v>S002</x:v>
      </x:c>
      <x:c r="B185" s="2" t="n">
        <x:v>48</x:v>
      </x:c>
      <x:c r="C185" s="40"/>
      <x:c r="D185" s="40"/>
      <x:c r="E185" s="40"/>
      <x:c r="F185" s="13" t="str">
        <x:v>A型空载也不可行；B型空载也不可行；C型空载也不可行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</x:row>
    <x:row r="186" ht="27" customHeight="1">
      <x:c r="A186" s="2" t="str">
        <x:v>S002</x:v>
      </x:c>
      <x:c r="B186" s="2" t="n">
        <x:v>49</x:v>
      </x:c>
      <x:c r="C186" s="40"/>
      <x:c r="D186" s="40"/>
      <x:c r="E186" s="40"/>
      <x:c r="F186" s="13" t="str">
        <x:v>A型空载也不可行；B型空载也不可行；C型空载也不可行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</x:row>
    <x:row r="187" ht="27" customHeight="1">
      <x:c r="A187" s="2" t="str">
        <x:v>S002</x:v>
      </x:c>
      <x:c r="B187" s="2" t="n">
        <x:v>50</x:v>
      </x:c>
      <x:c r="C187" s="40"/>
      <x:c r="D187" s="40"/>
      <x:c r="E187" s="40"/>
      <x:c r="F187" s="13" t="str">
        <x:v>A型空载也不可行；B型空载也不可行；C型空载也不可行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</x:row>
    <x:row r="188" ht="27" customHeight="1">
      <x:c r="A188" s="2" t="str">
        <x:v>S002</x:v>
      </x:c>
      <x:c r="B188" s="2" t="n">
        <x:v>51</x:v>
      </x:c>
      <x:c r="C188" s="40"/>
      <x:c r="D188" s="40"/>
      <x:c r="E188" s="40"/>
      <x:c r="F188" s="13" t="str">
        <x:v>A型空载也不可行；B型空载也不可行；C型空载也不可行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</x:row>
    <x:row r="189" ht="27" customHeight="1">
      <x:c r="A189" s="2" t="str">
        <x:v>S002</x:v>
      </x:c>
      <x:c r="B189" s="2" t="n">
        <x:v>52</x:v>
      </x:c>
      <x:c r="C189" s="40"/>
      <x:c r="D189" s="40"/>
      <x:c r="E189" s="40"/>
      <x:c r="F189" s="13" t="str">
        <x:v>A型空载也不可行；B型空载也不可行；C型空载也不可行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</x:row>
    <x:row r="190" ht="27" customHeight="1">
      <x:c r="A190" s="2" t="str">
        <x:v>S002</x:v>
      </x:c>
      <x:c r="B190" s="2" t="n">
        <x:v>53</x:v>
      </x:c>
      <x:c r="C190" s="40"/>
      <x:c r="D190" s="40"/>
      <x:c r="E190" s="40"/>
      <x:c r="F190" s="13" t="str">
        <x:v>A型空载也不可行；B型空载也不可行；C型空载也不可行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</x:row>
    <x:row r="191" ht="27" customHeight="1">
      <x:c r="A191" s="2" t="str">
        <x:v>S002</x:v>
      </x:c>
      <x:c r="B191" s="2" t="n">
        <x:v>54</x:v>
      </x:c>
      <x:c r="C191" s="40"/>
      <x:c r="D191" s="40"/>
      <x:c r="E191" s="40"/>
      <x:c r="F191" s="13" t="str">
        <x:v>A型空载也不可行；B型空载也不可行；C型空载也不可行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</x:row>
    <x:row r="192" ht="27" customHeight="1">
      <x:c r="A192" s="2" t="str">
        <x:v>S002</x:v>
      </x:c>
      <x:c r="B192" s="2" t="n">
        <x:v>55</x:v>
      </x:c>
      <x:c r="C192" s="40"/>
      <x:c r="D192" s="40"/>
      <x:c r="E192" s="40"/>
      <x:c r="F192" s="13" t="str">
        <x:v>A型空载也不可行；B型空载也不可行；C型空载也不可行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</x:row>
    <x:row r="193" ht="27" customHeight="1">
      <x:c r="A193" s="2" t="str">
        <x:v>S002</x:v>
      </x:c>
      <x:c r="B193" s="2" t="n">
        <x:v>56</x:v>
      </x:c>
      <x:c r="C193" s="40"/>
      <x:c r="D193" s="40"/>
      <x:c r="E193" s="40"/>
      <x:c r="F193" s="13" t="str">
        <x:v>A型空载也不可行；B型空载也不可行；C型空载也不可行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</x:row>
    <x:row r="194" ht="27" customHeight="1">
      <x:c r="A194" s="2" t="str">
        <x:v>S002</x:v>
      </x:c>
      <x:c r="B194" s="2" t="n">
        <x:v>57</x:v>
      </x:c>
      <x:c r="C194" s="40"/>
      <x:c r="D194" s="40"/>
      <x:c r="E194" s="40"/>
      <x:c r="F194" s="13" t="str">
        <x:v>A型空载也不可行；B型空载也不可行；C型空载也不可行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</x:row>
    <x:row r="195" ht="27" customHeight="1">
      <x:c r="A195" s="2" t="str">
        <x:v>S002</x:v>
      </x:c>
      <x:c r="B195" s="2" t="n">
        <x:v>58</x:v>
      </x:c>
      <x:c r="C195" s="40"/>
      <x:c r="D195" s="40"/>
      <x:c r="E195" s="40"/>
      <x:c r="F195" s="13" t="str">
        <x:v>A型空载也不可行；B型空载也不可行；C型空载也不可行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</x:row>
    <x:row r="196" ht="27" customHeight="1">
      <x:c r="A196" s="2" t="str">
        <x:v>S002</x:v>
      </x:c>
      <x:c r="B196" s="2" t="n">
        <x:v>59</x:v>
      </x:c>
      <x:c r="C196" s="40"/>
      <x:c r="D196" s="40"/>
      <x:c r="E196" s="40"/>
      <x:c r="F196" s="13" t="str">
        <x:v>A型空载也不可行；B型空载也不可行；C型空载也不可行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</x:row>
    <x:row r="197" ht="27" customHeight="1">
      <x:c r="A197" s="2" t="str">
        <x:v>S002</x:v>
      </x:c>
      <x:c r="B197" s="2" t="n">
        <x:v>60</x:v>
      </x:c>
      <x:c r="C197" s="40"/>
      <x:c r="D197" s="40"/>
      <x:c r="E197" s="40"/>
      <x:c r="F197" s="13" t="str">
        <x:v>A型空载也不可行；B型空载也不可行；C型空载也不可行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</x:row>
    <x:row r="198" ht="27" customHeight="1">
      <x:c r="A198" s="2" t="str">
        <x:v>S003</x:v>
      </x:c>
      <x:c r="B198" s="2" t="n">
        <x:v>0</x:v>
      </x:c>
      <x:c r="C198" s="40" t="n">
        <x:v>25</x:v>
      </x:c>
      <x:c r="D198" s="40" t="n">
        <x:v>30</x:v>
      </x:c>
      <x:c r="E198" s="40" t="n">
        <x:v>80</x:v>
      </x:c>
      <x:c r="F198" s="13" t="str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</x:row>
    <x:row r="199" ht="27" customHeight="1">
      <x:c r="A199" s="2" t="str">
        <x:v>S003</x:v>
      </x:c>
      <x:c r="B199" s="2" t="n">
        <x:v>1</x:v>
      </x:c>
      <x:c r="C199" s="40" t="n">
        <x:v>25</x:v>
      </x:c>
      <x:c r="D199" s="40" t="n">
        <x:v>30</x:v>
      </x:c>
      <x:c r="E199" s="40" t="n">
        <x:v>80</x:v>
      </x:c>
      <x:c r="F199" s="13" t="str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</x:row>
    <x:row r="200" ht="27" customHeight="1">
      <x:c r="A200" s="2" t="str">
        <x:v>S003</x:v>
      </x:c>
      <x:c r="B200" s="2" t="n">
        <x:v>2</x:v>
      </x:c>
      <x:c r="C200" s="40" t="n">
        <x:v>25</x:v>
      </x:c>
      <x:c r="D200" s="40" t="n">
        <x:v>30</x:v>
      </x:c>
      <x:c r="E200" s="40" t="n">
        <x:v>80</x:v>
      </x:c>
      <x:c r="F200" s="13" t="str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</x:row>
    <x:row r="201" ht="27" customHeight="1">
      <x:c r="A201" s="2" t="str">
        <x:v>S003</x:v>
      </x:c>
      <x:c r="B201" s="2" t="n">
        <x:v>3</x:v>
      </x:c>
      <x:c r="C201" s="40" t="n">
        <x:v>25</x:v>
      </x:c>
      <x:c r="D201" s="40" t="n">
        <x:v>30</x:v>
      </x:c>
      <x:c r="E201" s="40" t="n">
        <x:v>80</x:v>
      </x:c>
      <x:c r="F201" s="13" t="str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</x:row>
    <x:row r="202" ht="27" customHeight="1">
      <x:c r="A202" s="2" t="str">
        <x:v>S003</x:v>
      </x:c>
      <x:c r="B202" s="2" t="n">
        <x:v>4</x:v>
      </x:c>
      <x:c r="C202" s="40" t="n">
        <x:v>25</x:v>
      </x:c>
      <x:c r="D202" s="40" t="n">
        <x:v>30</x:v>
      </x:c>
      <x:c r="E202" s="40" t="n">
        <x:v>80</x:v>
      </x:c>
      <x:c r="F202" s="13" t="str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</x:row>
    <x:row r="203" ht="27" customHeight="1">
      <x:c r="A203" s="2" t="str">
        <x:v>S003</x:v>
      </x:c>
      <x:c r="B203" s="2" t="n">
        <x:v>5</x:v>
      </x:c>
      <x:c r="C203" s="40" t="n">
        <x:v>25</x:v>
      </x:c>
      <x:c r="D203" s="40" t="n">
        <x:v>30</x:v>
      </x:c>
      <x:c r="E203" s="40" t="n">
        <x:v>80</x:v>
      </x:c>
      <x:c r="F203" s="13" t="str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</x:row>
    <x:row r="204" ht="27" customHeight="1">
      <x:c r="A204" s="2" t="str">
        <x:v>S003</x:v>
      </x:c>
      <x:c r="B204" s="2" t="n">
        <x:v>6</x:v>
      </x:c>
      <x:c r="C204" s="40" t="n">
        <x:v>25</x:v>
      </x:c>
      <x:c r="D204" s="40" t="n">
        <x:v>30</x:v>
      </x:c>
      <x:c r="E204" s="40" t="n">
        <x:v>80</x:v>
      </x:c>
      <x:c r="F204" s="13" t="str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</x:row>
    <x:row r="205" ht="27" customHeight="1">
      <x:c r="A205" s="2" t="str">
        <x:v>S003</x:v>
      </x:c>
      <x:c r="B205" s="2" t="n">
        <x:v>7</x:v>
      </x:c>
      <x:c r="C205" s="40" t="n">
        <x:v>25</x:v>
      </x:c>
      <x:c r="D205" s="40" t="n">
        <x:v>30</x:v>
      </x:c>
      <x:c r="E205" s="40" t="n">
        <x:v>80</x:v>
      </x:c>
      <x:c r="F205" s="13" t="str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</x:row>
    <x:row r="206" ht="27" customHeight="1">
      <x:c r="A206" s="2" t="str">
        <x:v>S003</x:v>
      </x:c>
      <x:c r="B206" s="2" t="n">
        <x:v>8</x:v>
      </x:c>
      <x:c r="C206" s="40" t="n">
        <x:v>25</x:v>
      </x:c>
      <x:c r="D206" s="40" t="n">
        <x:v>30</x:v>
      </x:c>
      <x:c r="E206" s="40" t="n">
        <x:v>79.78668987751007</x:v>
      </x:c>
      <x:c r="F206" s="13" t="str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</x:row>
    <x:row r="207" ht="27" customHeight="1">
      <x:c r="A207" s="2" t="str">
        <x:v>S003</x:v>
      </x:c>
      <x:c r="B207" s="2" t="n">
        <x:v>9</x:v>
      </x:c>
      <x:c r="C207" s="40" t="n">
        <x:v>25</x:v>
      </x:c>
      <x:c r="D207" s="40" t="n">
        <x:v>30</x:v>
      </x:c>
      <x:c r="E207" s="40" t="n">
        <x:v>79.02108252048492</x:v>
      </x:c>
      <x:c r="F207" s="13" t="str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</x:row>
    <x:row r="208" ht="27" customHeight="1">
      <x:c r="A208" s="2" t="str">
        <x:v>S003</x:v>
      </x:c>
      <x:c r="B208" s="2" t="n">
        <x:v>10</x:v>
      </x:c>
      <x:c r="C208" s="40" t="n">
        <x:v>25</x:v>
      </x:c>
      <x:c r="D208" s="40" t="n">
        <x:v>30</x:v>
      </x:c>
      <x:c r="E208" s="40" t="n">
        <x:v>78.22619259357452</x:v>
      </x:c>
      <x:c r="F208" s="13" t="str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</x:row>
    <x:row r="209" ht="27" customHeight="1">
      <x:c r="A209" s="2" t="str">
        <x:v>S003</x:v>
      </x:c>
      <x:c r="B209" s="2" t="n">
        <x:v>11</x:v>
      </x:c>
      <x:c r="C209" s="40" t="n">
        <x:v>25</x:v>
      </x:c>
      <x:c r="D209" s="40" t="n">
        <x:v>30</x:v>
      </x:c>
      <x:c r="E209" s="40" t="n">
        <x:v>77.40028381347656</x:v>
      </x:c>
      <x:c r="F209" s="13" t="str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</x:row>
    <x:row r="210" ht="27" customHeight="1">
      <x:c r="A210" s="2" t="str">
        <x:v>S003</x:v>
      </x:c>
      <x:c r="B210" s="2" t="n">
        <x:v>12</x:v>
      </x:c>
      <x:c r="C210" s="40" t="n">
        <x:v>25</x:v>
      </x:c>
      <x:c r="D210" s="40" t="n">
        <x:v>30</x:v>
      </x:c>
      <x:c r="E210" s="40" t="n">
        <x:v>76.54147803783417</x:v>
      </x:c>
      <x:c r="F210" s="13" t="str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</x:row>
    <x:row r="211" ht="27" customHeight="1">
      <x:c r="A211" s="2" t="str">
        <x:v>S003</x:v>
      </x:c>
      <x:c r="B211" s="2" t="n">
        <x:v>13</x:v>
      </x:c>
      <x:c r="C211" s="40" t="n">
        <x:v>25</x:v>
      </x:c>
      <x:c r="D211" s="40" t="n">
        <x:v>30</x:v>
      </x:c>
      <x:c r="E211" s="40" t="n">
        <x:v>75.64773738384247</x:v>
      </x:c>
      <x:c r="F211" s="13" t="str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</x:row>
    <x:row r="212" ht="27" customHeight="1">
      <x:c r="A212" s="2" t="str">
        <x:v>S003</x:v>
      </x:c>
      <x:c r="B212" s="2" t="n">
        <x:v>14</x:v>
      </x:c>
      <x:c r="C212" s="40" t="n">
        <x:v>25</x:v>
      </x:c>
      <x:c r="D212" s="40" t="n">
        <x:v>30</x:v>
      </x:c>
      <x:c r="E212" s="40" t="n">
        <x:v>74.7168505191803</x:v>
      </x:c>
      <x:c r="F212" s="13" t="str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</x:row>
    <x:row r="213" ht="27" customHeight="1">
      <x:c r="A213" s="2" t="str">
        <x:v>S003</x:v>
      </x:c>
      <x:c r="B213" s="2" t="n">
        <x:v>15</x:v>
      </x:c>
      <x:c r="C213" s="40" t="n">
        <x:v>25</x:v>
      </x:c>
      <x:c r="D213" s="40" t="n">
        <x:v>30</x:v>
      </x:c>
      <x:c r="E213" s="40" t="n">
        <x:v>73.74640643596649</x:v>
      </x:c>
      <x:c r="F213" s="13" t="str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</x:row>
    <x:row r="214" ht="27" customHeight="1">
      <x:c r="A214" s="2" t="str">
        <x:v>S003</x:v>
      </x:c>
      <x:c r="B214" s="2" t="n">
        <x:v>16</x:v>
      </x:c>
      <x:c r="C214" s="40" t="n">
        <x:v>25</x:v>
      </x:c>
      <x:c r="D214" s="40" t="n">
        <x:v>30</x:v>
      </x:c>
      <x:c r="E214" s="40" t="n">
        <x:v>72.7337771654129</x:v>
      </x:c>
      <x:c r="F214" s="13" t="str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</x:row>
    <x:row r="215" ht="27" customHeight="1">
      <x:c r="A215" s="2" t="str">
        <x:v>S003</x:v>
      </x:c>
      <x:c r="B215" s="2" t="n">
        <x:v>17</x:v>
      </x:c>
      <x:c r="C215" s="40" t="n">
        <x:v>25</x:v>
      </x:c>
      <x:c r="D215" s="40" t="n">
        <x:v>30</x:v>
      </x:c>
      <x:c r="E215" s="40" t="n">
        <x:v>71.67608857154846</x:v>
      </x:c>
      <x:c r="F215" s="13" t="str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</x:row>
    <x:row r="216" ht="27" customHeight="1">
      <x:c r="A216" s="2" t="str">
        <x:v>S003</x:v>
      </x:c>
      <x:c r="B216" s="2" t="n">
        <x:v>18</x:v>
      </x:c>
      <x:c r="C216" s="40" t="n">
        <x:v>25</x:v>
      </x:c>
      <x:c r="D216" s="40" t="n">
        <x:v>30</x:v>
      </x:c>
      <x:c r="E216" s="40" t="n">
        <x:v>70.570188164711</x:v>
      </x:c>
      <x:c r="F216" s="13" t="str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</x:row>
    <x:row r="217" ht="27" customHeight="1">
      <x:c r="A217" s="2" t="str">
        <x:v>S003</x:v>
      </x:c>
      <x:c r="B217" s="2" t="n">
        <x:v>19</x:v>
      </x:c>
      <x:c r="C217" s="40" t="n">
        <x:v>25</x:v>
      </x:c>
      <x:c r="D217" s="40" t="n">
        <x:v>30</x:v>
      </x:c>
      <x:c r="E217" s="40" t="n">
        <x:v>69.41261231899261</x:v>
      </x:c>
      <x:c r="F217" s="13" t="str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</x:row>
    <x:row r="218" ht="27" customHeight="1">
      <x:c r="A218" s="2" t="str">
        <x:v>S003</x:v>
      </x:c>
      <x:c r="B218" s="2" t="n">
        <x:v>20</x:v>
      </x:c>
      <x:c r="C218" s="40" t="n">
        <x:v>25</x:v>
      </x:c>
      <x:c r="D218" s="40" t="n">
        <x:v>30</x:v>
      </x:c>
      <x:c r="E218" s="40" t="n">
        <x:v>68.1995415687561</x:v>
      </x:c>
      <x:c r="F218" s="13" t="str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</x:row>
    <x:row r="219" ht="27" customHeight="1">
      <x:c r="A219" s="2" t="str">
        <x:v>S003</x:v>
      </x:c>
      <x:c r="B219" s="2" t="n">
        <x:v>21</x:v>
      </x:c>
      <x:c r="C219" s="40" t="n">
        <x:v>25</x:v>
      </x:c>
      <x:c r="D219" s="40" t="n">
        <x:v>30</x:v>
      </x:c>
      <x:c r="E219" s="40" t="n">
        <x:v>66.92675173282623</x:v>
      </x:c>
      <x:c r="F219" s="13" t="str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</x:row>
    <x:row r="220" ht="27" customHeight="1">
      <x:c r="A220" s="2" t="str">
        <x:v>S003</x:v>
      </x:c>
      <x:c r="B220" s="2" t="n">
        <x:v>22</x:v>
      </x:c>
      <x:c r="C220" s="40" t="n">
        <x:v>25</x:v>
      </x:c>
      <x:c r="D220" s="40" t="n">
        <x:v>30</x:v>
      </x:c>
      <x:c r="E220" s="40" t="n">
        <x:v>65.58955609798431</x:v>
      </x:c>
      <x:c r="F220" s="13" t="str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</x:row>
    <x:row r="221" ht="27" customHeight="1">
      <x:c r="A221" s="2" t="str">
        <x:v>S003</x:v>
      </x:c>
      <x:c r="B221" s="2" t="n">
        <x:v>23</x:v>
      </x:c>
      <x:c r="C221" s="40" t="n">
        <x:v>25</x:v>
      </x:c>
      <x:c r="D221" s="40" t="n">
        <x:v>30</x:v>
      </x:c>
      <x:c r="E221" s="40" t="n">
        <x:v>64.18273389339447</x:v>
      </x:c>
      <x:c r="F221" s="13" t="str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</x:row>
    <x:row r="222" ht="27" customHeight="1">
      <x:c r="A222" s="2" t="str">
        <x:v>S003</x:v>
      </x:c>
      <x:c r="B222" s="2" t="n">
        <x:v>24</x:v>
      </x:c>
      <x:c r="C222" s="40" t="n">
        <x:v>25</x:v>
      </x:c>
      <x:c r="D222" s="40" t="n">
        <x:v>29.6417498588562</x:v>
      </x:c>
      <x:c r="E222" s="40" t="n">
        <x:v>62.7004474401474</x:v>
      </x:c>
      <x:c r="F222" s="13" t="str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</x:row>
    <x:row r="223" ht="27" customHeight="1">
      <x:c r="A223" s="2" t="str">
        <x:v>S003</x:v>
      </x:c>
      <x:c r="B223" s="2" t="n">
        <x:v>25</x:v>
      </x:c>
      <x:c r="C223" s="40" t="n">
        <x:v>25</x:v>
      </x:c>
      <x:c r="D223" s="40" t="n">
        <x:v>29.03374582529068</x:v>
      </x:c>
      <x:c r="E223" s="40" t="n">
        <x:v>61.136136054992676</x:v>
      </x:c>
      <x:c r="F223" s="13" t="str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</x:row>
    <x:row r="224" ht="27" customHeight="1">
      <x:c r="A224" s="2" t="str">
        <x:v>S003</x:v>
      </x:c>
      <x:c r="B224" s="2" t="n">
        <x:v>26</x:v>
      </x:c>
      <x:c r="C224" s="40" t="n">
        <x:v>25</x:v>
      </x:c>
      <x:c r="D224" s="40" t="n">
        <x:v>28.392122089862823</x:v>
      </x:c>
      <x:c r="E224" s="40" t="n">
        <x:v>59.48239326477051</x:v>
      </x:c>
      <x:c r="F224" s="13" t="str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</x:row>
    <x:row r="225" ht="27" customHeight="1">
      <x:c r="A225" s="2" t="str">
        <x:v>S003</x:v>
      </x:c>
      <x:c r="B225" s="2" t="n">
        <x:v>27</x:v>
      </x:c>
      <x:c r="C225" s="40" t="n">
        <x:v>25</x:v>
      </x:c>
      <x:c r="D225" s="40" t="n">
        <x:v>27.71388351917267</x:v>
      </x:c>
      <x:c r="E225" s="40" t="n">
        <x:v>57.73080587387085</x:v>
      </x:c>
      <x:c r="F225" s="13" t="str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</x:row>
    <x:row r="226" ht="27" customHeight="1">
      <x:c r="A226" s="2" t="str">
        <x:v>S003</x:v>
      </x:c>
      <x:c r="B226" s="2" t="n">
        <x:v>28</x:v>
      </x:c>
      <x:c r="C226" s="40" t="n">
        <x:v>25</x:v>
      </x:c>
      <x:c r="D226" s="40" t="n">
        <x:v>26.99563980102539</x:v>
      </x:c>
      <x:c r="E226" s="40" t="n">
        <x:v>55.871758460998535</x:v>
      </x:c>
      <x:c r="F226" s="13" t="str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</x:row>
    <x:row r="227" ht="27" customHeight="1">
      <x:c r="A227" s="2" t="str">
        <x:v>S003</x:v>
      </x:c>
      <x:c r="B227" s="2" t="n">
        <x:v>29</x:v>
      </x:c>
      <x:c r="C227" s="40" t="n">
        <x:v>25</x:v>
      </x:c>
      <x:c r="D227" s="40" t="n">
        <x:v>26.233538389205933</x:v>
      </x:c>
      <x:c r="E227" s="40" t="n">
        <x:v>53.894177079200745</x:v>
      </x:c>
      <x:c r="F227" s="13" t="str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</x:row>
    <x:row r="228" ht="27" customHeight="1">
      <x:c r="A228" s="2" t="str">
        <x:v>S003</x:v>
      </x:c>
      <x:c r="B228" s="2" t="n">
        <x:v>30</x:v>
      </x:c>
      <x:c r="C228" s="40" t="n">
        <x:v>24.730003625154495</x:v>
      </x:c>
      <x:c r="D228" s="40" t="n">
        <x:v>25.42316436767578</x:v>
      </x:c>
      <x:c r="E228" s="40" t="n">
        <x:v>51.78519666194916</x:v>
      </x:c>
      <x:c r="F228" s="13" t="str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</x:row>
    <x:row r="229" ht="27" customHeight="1">
      <x:c r="A229" s="2" t="str">
        <x:v>S003</x:v>
      </x:c>
      <x:c r="B229" s="2" t="n">
        <x:v>31</x:v>
      </x:c>
      <x:c r="C229" s="40" t="n">
        <x:v>22.913051396608353</x:v>
      </x:c>
      <x:c r="D229" s="40" t="n">
        <x:v>24.559429585933685</x:v>
      </x:c>
      <x:c r="E229" s="40" t="n">
        <x:v>49.529722929000854</x:v>
      </x:c>
      <x:c r="F229" s="13" t="str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</x:row>
    <x:row r="230" ht="27" customHeight="1">
      <x:c r="A230" s="2" t="str">
        <x:v>S003</x:v>
      </x:c>
      <x:c r="B230" s="2" t="n">
        <x:v>32</x:v>
      </x:c>
      <x:c r="C230" s="40" t="n">
        <x:v>20.929209887981415</x:v>
      </x:c>
      <x:c r="D230" s="40" t="n">
        <x:v>23.63641709089279</x:v>
      </x:c>
      <x:c r="E230" s="40" t="n">
        <x:v>47.10982322692871</x:v>
      </x:c>
      <x:c r="F230" s="13" t="str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</x:row>
    <x:row r="231" ht="27" customHeight="1">
      <x:c r="A231" s="2" t="str">
        <x:v>S003</x:v>
      </x:c>
      <x:c r="B231" s="2" t="n">
        <x:v>33</x:v>
      </x:c>
      <x:c r="C231" s="40" t="n">
        <x:v>18.745579570531845</x:v>
      </x:c>
      <x:c r="D231" s="40" t="n">
        <x:v>22.647177278995514</x:v>
      </x:c>
      <x:c r="E231" s="40" t="n">
        <x:v>44.503886103630066</x:v>
      </x:c>
      <x:c r="F231" s="13" t="str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</x:row>
    <x:row r="232" ht="27" customHeight="1">
      <x:c r="A232" s="2" t="str">
        <x:v>S003</x:v>
      </x:c>
      <x:c r="B232" s="2" t="n">
        <x:v>34</x:v>
      </x:c>
      <x:c r="C232" s="40" t="n">
        <x:v>16.315528005361557</x:v>
      </x:c>
      <x:c r="D232" s="40" t="n">
        <x:v>21.58345341682434</x:v>
      </x:c>
      <x:c r="E232" s="40" t="n">
        <x:v>41.6853803396225</x:v>
      </x:c>
      <x:c r="F232" s="13" t="str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</x:row>
    <x:row r="233" ht="27" customHeight="1">
      <x:c r="A233" s="2" t="str">
        <x:v>S003</x:v>
      </x:c>
      <x:c r="B233" s="2" t="n">
        <x:v>35</x:v>
      </x:c>
      <x:c r="C233" s="40" t="n">
        <x:v>13.567428290843964</x:v>
      </x:c>
      <x:c r="D233" s="40" t="n">
        <x:v>20.435295403003693</x:v>
      </x:c>
      <x:c r="E233" s="40" t="n">
        <x:v>38.62098932266235</x:v>
      </x:c>
      <x:c r="F233" s="13" t="str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</x:row>
    <x:row r="234" ht="27" customHeight="1">
      <x:c r="A234" s="2" t="str">
        <x:v>S003</x:v>
      </x:c>
      <x:c r="B234" s="2" t="n">
        <x:v>36</x:v>
      </x:c>
      <x:c r="C234" s="40" t="n">
        <x:v>10.376159101724625</x:v>
      </x:c>
      <x:c r="D234" s="40" t="n">
        <x:v>19.190501868724823</x:v>
      </x:c>
      <x:c r="E234" s="40" t="n">
        <x:v>35.26760399341583</x:v>
      </x:c>
      <x:c r="F234" s="13" t="str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</x:row>
    <x:row r="235" ht="27" customHeight="1">
      <x:c r="A235" s="2" t="str">
        <x:v>S003</x:v>
      </x:c>
      <x:c r="B235" s="2" t="n">
        <x:v>37</x:v>
      </x:c>
      <x:c r="C235" s="40" t="n">
        <x:v>6.4629025757312775</x:v>
      </x:c>
      <x:c r="D235" s="40" t="n">
        <x:v>17.833783328533173</x:v>
      </x:c>
      <x:c r="E235" s="40" t="n">
        <x:v>31.56718671321869</x:v>
      </x:c>
      <x:c r="F235" s="13" t="str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</x:row>
    <x:row r="236" ht="27" customHeight="1">
      <x:c r="A236" s="2" t="str">
        <x:v>S003</x:v>
      </x:c>
      <x:c r="B236" s="2" t="n">
        <x:v>38</x:v>
      </x:c>
      <x:c r="C236" s="40" t="n">
        <x:v>0.3228805959224701</x:v>
      </x:c>
      <x:c r="D236" s="40" t="n">
        <x:v>16.34542465209961</x:v>
      </x:c>
      <x:c r="E236" s="40" t="n">
        <x:v>27.43712842464447</x:v>
      </x:c>
      <x:c r="F236" s="13" t="str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</x:row>
    <x:row r="237" ht="27" customHeight="1">
      <x:c r="A237" s="2" t="str">
        <x:v>S003</x:v>
      </x:c>
      <x:c r="B237" s="2" t="n">
        <x:v>39</x:v>
      </x:c>
      <x:c r="C237" s="40"/>
      <x:c r="D237" s="40" t="n">
        <x:v>14.699030220508575</x:v>
      </x:c>
      <x:c r="E237" s="40" t="n">
        <x:v>22.749757766723633</x:v>
      </x:c>
      <x:c r="F237" s="13" t="str">
        <x:v>A型空载也不可行</x:v>
      </x:c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</x:row>
    <x:row r="238" ht="27" customHeight="1">
      <x:c r="A238" s="2" t="str">
        <x:v>S003</x:v>
      </x:c>
      <x:c r="B238" s="2" t="n">
        <x:v>40</x:v>
      </x:c>
      <x:c r="C238" s="40"/>
      <x:c r="D238" s="40" t="n">
        <x:v>12.85735309123993</x:v>
      </x:c>
      <x:c r="E238" s="40" t="n">
        <x:v>17.27960705757141</x:v>
      </x:c>
      <x:c r="F238" s="13" t="str">
        <x:v>A型空载也不可行</x:v>
      </x:c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</x:row>
    <x:row r="239" ht="27" customHeight="1">
      <x:c r="A239" s="2" t="str">
        <x:v>S003</x:v>
      </x:c>
      <x:c r="B239" s="2" t="n">
        <x:v>41</x:v>
      </x:c>
      <x:c r="C239" s="40"/>
      <x:c r="D239" s="40" t="n">
        <x:v>10.763593018054962</x:v>
      </x:c>
      <x:c r="E239" s="40" t="n">
        <x:v>10.511642098426819</x:v>
      </x:c>
      <x:c r="F239" s="13" t="str">
        <x:v>A型空载也不可行</x:v>
      </x:c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</x:row>
    <x:row r="240" ht="27" customHeight="1">
      <x:c r="A240" s="2" t="str">
        <x:v>S003</x:v>
      </x:c>
      <x:c r="B240" s="2" t="n">
        <x:v>42</x:v>
      </x:c>
      <x:c r="C240" s="40"/>
      <x:c r="D240" s="40" t="n">
        <x:v>8.31967145204544</x:v>
      </x:c>
      <x:c r="E240" s="40"/>
      <x:c r="F240" s="13" t="str">
        <x:v>A型空载也不可行；C型空载也不可行</x:v>
      </x:c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</x:row>
    <x:row r="241" ht="27" customHeight="1">
      <x:c r="A241" s="2" t="str">
        <x:v>S003</x:v>
      </x:c>
      <x:c r="B241" s="2" t="n">
        <x:v>43</x:v>
      </x:c>
      <x:c r="C241" s="40"/>
      <x:c r="D241" s="40" t="n">
        <x:v>5.3116536140441895</x:v>
      </x:c>
      <x:c r="E241" s="40"/>
      <x:c r="F241" s="13" t="str">
        <x:v>A型空载也不可行；C型空载也不可行</x:v>
      </x:c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</x:row>
    <x:row r="242" ht="27" customHeight="1">
      <x:c r="A242" s="2" t="str">
        <x:v>S003</x:v>
      </x:c>
      <x:c r="B242" s="2" t="n">
        <x:v>44</x:v>
      </x:c>
      <x:c r="C242" s="40"/>
      <x:c r="D242" s="40" t="n">
        <x:v>0.7415467500686646</x:v>
      </x:c>
      <x:c r="E242" s="40"/>
      <x:c r="F242" s="13" t="str">
        <x:v>A型空载也不可行；C型空载也不可行</x:v>
      </x:c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</x:row>
    <x:row r="243" ht="27" customHeight="1">
      <x:c r="A243" s="2" t="str">
        <x:v>S003</x:v>
      </x:c>
      <x:c r="B243" s="2" t="n">
        <x:v>45</x:v>
      </x:c>
      <x:c r="C243" s="40"/>
      <x:c r="D243" s="40"/>
      <x:c r="E243" s="40"/>
      <x:c r="F243" s="13" t="str">
        <x:v>A型空载也不可行；B型空载也不可行；C型空载也不可行</x:v>
      </x:c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</x:row>
    <x:row r="244" ht="27" customHeight="1">
      <x:c r="A244" s="2" t="str">
        <x:v>S003</x:v>
      </x:c>
      <x:c r="B244" s="2" t="n">
        <x:v>46</x:v>
      </x:c>
      <x:c r="C244" s="40"/>
      <x:c r="D244" s="40"/>
      <x:c r="E244" s="40"/>
      <x:c r="F244" s="13" t="str">
        <x:v>A型空载也不可行；B型空载也不可行；C型空载也不可行</x:v>
      </x:c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</x:row>
    <x:row r="245" ht="27" customHeight="1">
      <x:c r="A245" s="2" t="str">
        <x:v>S003</x:v>
      </x:c>
      <x:c r="B245" s="2" t="n">
        <x:v>47</x:v>
      </x:c>
      <x:c r="C245" s="40"/>
      <x:c r="D245" s="40"/>
      <x:c r="E245" s="40"/>
      <x:c r="F245" s="13" t="str">
        <x:v>A型空载也不可行；B型空载也不可行；C型空载也不可行</x:v>
      </x:c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</x:row>
    <x:row r="246" ht="27" customHeight="1">
      <x:c r="A246" s="2" t="str">
        <x:v>S003</x:v>
      </x:c>
      <x:c r="B246" s="2" t="n">
        <x:v>48</x:v>
      </x:c>
      <x:c r="C246" s="40"/>
      <x:c r="D246" s="40"/>
      <x:c r="E246" s="40"/>
      <x:c r="F246" s="13" t="str">
        <x:v>A型空载也不可行；B型空载也不可行；C型空载也不可行</x:v>
      </x:c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</x:row>
    <x:row r="247" ht="27" customHeight="1">
      <x:c r="A247" s="2" t="str">
        <x:v>S003</x:v>
      </x:c>
      <x:c r="B247" s="2" t="n">
        <x:v>49</x:v>
      </x:c>
      <x:c r="C247" s="40"/>
      <x:c r="D247" s="40"/>
      <x:c r="E247" s="40"/>
      <x:c r="F247" s="13" t="str">
        <x:v>A型空载也不可行；B型空载也不可行；C型空载也不可行</x:v>
      </x:c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</x:row>
    <x:row r="248" ht="27" customHeight="1">
      <x:c r="A248" s="2" t="str">
        <x:v>S003</x:v>
      </x:c>
      <x:c r="B248" s="2" t="n">
        <x:v>50</x:v>
      </x:c>
      <x:c r="C248" s="40"/>
      <x:c r="D248" s="40"/>
      <x:c r="E248" s="40"/>
      <x:c r="F248" s="13" t="str">
        <x:v>A型空载也不可行；B型空载也不可行；C型空载也不可行</x:v>
      </x:c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</x:row>
    <x:row r="249" ht="27" customHeight="1">
      <x:c r="A249" s="2" t="str">
        <x:v>S003</x:v>
      </x:c>
      <x:c r="B249" s="2" t="n">
        <x:v>51</x:v>
      </x:c>
      <x:c r="C249" s="40"/>
      <x:c r="D249" s="40"/>
      <x:c r="E249" s="40"/>
      <x:c r="F249" s="13" t="str">
        <x:v>A型空载也不可行；B型空载也不可行；C型空载也不可行</x:v>
      </x:c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</x:row>
    <x:row r="250" ht="27" customHeight="1">
      <x:c r="A250" s="2" t="str">
        <x:v>S003</x:v>
      </x:c>
      <x:c r="B250" s="2" t="n">
        <x:v>52</x:v>
      </x:c>
      <x:c r="C250" s="40"/>
      <x:c r="D250" s="40"/>
      <x:c r="E250" s="40"/>
      <x:c r="F250" s="13" t="str">
        <x:v>A型空载也不可行；B型空载也不可行；C型空载也不可行</x:v>
      </x:c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</x:row>
    <x:row r="251" ht="27" customHeight="1">
      <x:c r="A251" s="2" t="str">
        <x:v>S003</x:v>
      </x:c>
      <x:c r="B251" s="2" t="n">
        <x:v>53</x:v>
      </x:c>
      <x:c r="C251" s="40"/>
      <x:c r="D251" s="40"/>
      <x:c r="E251" s="40"/>
      <x:c r="F251" s="13" t="str">
        <x:v>A型空载也不可行；B型空载也不可行；C型空载也不可行</x:v>
      </x:c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</x:row>
    <x:row r="252" ht="27" customHeight="1">
      <x:c r="A252" s="2" t="str">
        <x:v>S003</x:v>
      </x:c>
      <x:c r="B252" s="2" t="n">
        <x:v>54</x:v>
      </x:c>
      <x:c r="C252" s="40"/>
      <x:c r="D252" s="40"/>
      <x:c r="E252" s="40"/>
      <x:c r="F252" s="13" t="str">
        <x:v>A型空载也不可行；B型空载也不可行；C型空载也不可行</x:v>
      </x:c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</x:row>
    <x:row r="253" ht="27" customHeight="1">
      <x:c r="A253" s="2" t="str">
        <x:v>S003</x:v>
      </x:c>
      <x:c r="B253" s="2" t="n">
        <x:v>55</x:v>
      </x:c>
      <x:c r="C253" s="40"/>
      <x:c r="D253" s="40"/>
      <x:c r="E253" s="40"/>
      <x:c r="F253" s="13" t="str">
        <x:v>A型空载也不可行；B型空载也不可行；C型空载也不可行</x:v>
      </x:c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</x:row>
    <x:row r="254" ht="27" customHeight="1">
      <x:c r="A254" s="2" t="str">
        <x:v>S003</x:v>
      </x:c>
      <x:c r="B254" s="2" t="n">
        <x:v>56</x:v>
      </x:c>
      <x:c r="C254" s="40"/>
      <x:c r="D254" s="40"/>
      <x:c r="E254" s="40"/>
      <x:c r="F254" s="13" t="str">
        <x:v>A型空载也不可行；B型空载也不可行；C型空载也不可行</x:v>
      </x:c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</x:row>
    <x:row r="255" ht="27" customHeight="1">
      <x:c r="A255" s="2" t="str">
        <x:v>S003</x:v>
      </x:c>
      <x:c r="B255" s="2" t="n">
        <x:v>57</x:v>
      </x:c>
      <x:c r="C255" s="40"/>
      <x:c r="D255" s="40"/>
      <x:c r="E255" s="40"/>
      <x:c r="F255" s="13" t="str">
        <x:v>A型空载也不可行；B型空载也不可行；C型空载也不可行</x:v>
      </x:c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</x:row>
    <x:row r="256" ht="27" customHeight="1">
      <x:c r="A256" s="2" t="str">
        <x:v>S003</x:v>
      </x:c>
      <x:c r="B256" s="2" t="n">
        <x:v>58</x:v>
      </x:c>
      <x:c r="C256" s="40"/>
      <x:c r="D256" s="40"/>
      <x:c r="E256" s="40"/>
      <x:c r="F256" s="13" t="str">
        <x:v>A型空载也不可行；B型空载也不可行；C型空载也不可行</x:v>
      </x:c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</x:row>
    <x:row r="257" ht="27" customHeight="1">
      <x:c r="A257" s="2" t="str">
        <x:v>S003</x:v>
      </x:c>
      <x:c r="B257" s="2" t="n">
        <x:v>59</x:v>
      </x:c>
      <x:c r="C257" s="40"/>
      <x:c r="D257" s="40"/>
      <x:c r="E257" s="40"/>
      <x:c r="F257" s="13" t="str">
        <x:v>A型空载也不可行；B型空载也不可行；C型空载也不可行</x:v>
      </x:c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</x:row>
    <x:row r="258" ht="27" customHeight="1">
      <x:c r="A258" s="2" t="str">
        <x:v>S003</x:v>
      </x:c>
      <x:c r="B258" s="2" t="n">
        <x:v>60</x:v>
      </x:c>
      <x:c r="C258" s="40"/>
      <x:c r="D258" s="40"/>
      <x:c r="E258" s="40"/>
      <x:c r="F258" s="13" t="str">
        <x:v>A型空载也不可行；B型空载也不可行；C型空载也不可行</x:v>
      </x:c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</x:row>
    <x:row r="259" ht="27" customHeight="1">
      <x:c r="A259" s="2" t="str">
        <x:v>S004</x:v>
      </x:c>
      <x:c r="B259" s="2" t="n">
        <x:v>0</x:v>
      </x:c>
      <x:c r="C259" s="40" t="n">
        <x:v>25</x:v>
      </x:c>
      <x:c r="D259" s="40" t="n">
        <x:v>30</x:v>
      </x:c>
      <x:c r="E259" s="40" t="n">
        <x:v>80</x:v>
      </x:c>
      <x:c r="F259" s="13" t="str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</x:row>
    <x:row r="260" ht="27" customHeight="1">
      <x:c r="A260" s="2" t="str">
        <x:v>S004</x:v>
      </x:c>
      <x:c r="B260" s="2" t="n">
        <x:v>1</x:v>
      </x:c>
      <x:c r="C260" s="40" t="n">
        <x:v>25</x:v>
      </x:c>
      <x:c r="D260" s="40" t="n">
        <x:v>30</x:v>
      </x:c>
      <x:c r="E260" s="40" t="n">
        <x:v>80</x:v>
      </x:c>
      <x:c r="F260" s="13" t="str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</x:row>
    <x:row r="261" ht="27" customHeight="1">
      <x:c r="A261" s="2" t="str">
        <x:v>S004</x:v>
      </x:c>
      <x:c r="B261" s="2" t="n">
        <x:v>2</x:v>
      </x:c>
      <x:c r="C261" s="40" t="n">
        <x:v>25</x:v>
      </x:c>
      <x:c r="D261" s="40" t="n">
        <x:v>30</x:v>
      </x:c>
      <x:c r="E261" s="40" t="n">
        <x:v>80</x:v>
      </x:c>
      <x:c r="F261" s="13" t="str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</x:row>
    <x:row r="262" ht="27" customHeight="1">
      <x:c r="A262" s="2" t="str">
        <x:v>S004</x:v>
      </x:c>
      <x:c r="B262" s="2" t="n">
        <x:v>3</x:v>
      </x:c>
      <x:c r="C262" s="40" t="n">
        <x:v>25</x:v>
      </x:c>
      <x:c r="D262" s="40" t="n">
        <x:v>30</x:v>
      </x:c>
      <x:c r="E262" s="40" t="n">
        <x:v>80</x:v>
      </x:c>
      <x:c r="F262" s="13" t="str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</x:row>
    <x:row r="263" ht="27" customHeight="1">
      <x:c r="A263" s="2" t="str">
        <x:v>S004</x:v>
      </x:c>
      <x:c r="B263" s="2" t="n">
        <x:v>4</x:v>
      </x:c>
      <x:c r="C263" s="40" t="n">
        <x:v>25</x:v>
      </x:c>
      <x:c r="D263" s="40" t="n">
        <x:v>30</x:v>
      </x:c>
      <x:c r="E263" s="40" t="n">
        <x:v>79.68715131282806</x:v>
      </x:c>
      <x:c r="F263" s="13" t="str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</x:row>
    <x:row r="264" ht="27" customHeight="1">
      <x:c r="A264" s="2" t="str">
        <x:v>S004</x:v>
      </x:c>
      <x:c r="B264" s="2" t="n">
        <x:v>5</x:v>
      </x:c>
      <x:c r="C264" s="40" t="n">
        <x:v>25</x:v>
      </x:c>
      <x:c r="D264" s="40" t="n">
        <x:v>30</x:v>
      </x:c>
      <x:c r="E264" s="40" t="n">
        <x:v>78.95869493484497</x:v>
      </x:c>
      <x:c r="F264" s="13" t="str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</x:row>
    <x:row r="265" ht="27" customHeight="1">
      <x:c r="A265" s="2" t="str">
        <x:v>S004</x:v>
      </x:c>
      <x:c r="B265" s="2" t="n">
        <x:v>6</x:v>
      </x:c>
      <x:c r="C265" s="40" t="n">
        <x:v>25</x:v>
      </x:c>
      <x:c r="D265" s="40" t="n">
        <x:v>30</x:v>
      </x:c>
      <x:c r="E265" s="40" t="n">
        <x:v>78.20363402366638</x:v>
      </x:c>
      <x:c r="F265" s="13" t="str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</x:row>
    <x:row r="266" ht="27" customHeight="1">
      <x:c r="A266" s="2" t="str">
        <x:v>S004</x:v>
      </x:c>
      <x:c r="B266" s="2" t="n">
        <x:v>7</x:v>
      </x:c>
      <x:c r="C266" s="40" t="n">
        <x:v>25</x:v>
      </x:c>
      <x:c r="D266" s="40" t="n">
        <x:v>30</x:v>
      </x:c>
      <x:c r="E266" s="40" t="n">
        <x:v>77.42045402526855</x:v>
      </x:c>
      <x:c r="F266" s="13" t="str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</x:row>
    <x:row r="267" ht="27" customHeight="1">
      <x:c r="A267" s="2" t="str">
        <x:v>S004</x:v>
      </x:c>
      <x:c r="B267" s="2" t="n">
        <x:v>8</x:v>
      </x:c>
      <x:c r="C267" s="40" t="n">
        <x:v>25</x:v>
      </x:c>
      <x:c r="D267" s="40" t="n">
        <x:v>30</x:v>
      </x:c>
      <x:c r="E267" s="40" t="n">
        <x:v>76.60751938819885</x:v>
      </x:c>
      <x:c r="F267" s="13" t="str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</x:row>
    <x:row r="268" ht="27" customHeight="1">
      <x:c r="A268" s="2" t="str">
        <x:v>S004</x:v>
      </x:c>
      <x:c r="B268" s="2" t="n">
        <x:v>9</x:v>
      </x:c>
      <x:c r="C268" s="40" t="n">
        <x:v>25</x:v>
      </x:c>
      <x:c r="D268" s="40" t="n">
        <x:v>30</x:v>
      </x:c>
      <x:c r="E268" s="40" t="n">
        <x:v>75.76306164264679</x:v>
      </x:c>
      <x:c r="F268" s="13" t="str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</x:row>
    <x:row r="269" ht="27" customHeight="1">
      <x:c r="A269" s="2" t="str">
        <x:v>S004</x:v>
      </x:c>
      <x:c r="B269" s="2" t="n">
        <x:v>10</x:v>
      </x:c>
      <x:c r="C269" s="40" t="n">
        <x:v>25</x:v>
      </x:c>
      <x:c r="D269" s="40" t="n">
        <x:v>30</x:v>
      </x:c>
      <x:c r="E269" s="40" t="n">
        <x:v>74.88516449928284</x:v>
      </x:c>
      <x:c r="F269" s="13" t="str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</x:row>
    <x:row r="270" ht="27" customHeight="1">
      <x:c r="A270" s="2" t="str">
        <x:v>S004</x:v>
      </x:c>
      <x:c r="B270" s="2" t="n">
        <x:v>11</x:v>
      </x:c>
      <x:c r="C270" s="40" t="n">
        <x:v>25</x:v>
      </x:c>
      <x:c r="D270" s="40" t="n">
        <x:v>30</x:v>
      </x:c>
      <x:c r="E270" s="40" t="n">
        <x:v>73.97174715995789</x:v>
      </x:c>
      <x:c r="F270" s="13" t="str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</x:row>
    <x:row r="271" ht="27" customHeight="1">
      <x:c r="A271" s="2" t="str">
        <x:v>S004</x:v>
      </x:c>
      <x:c r="B271" s="2" t="n">
        <x:v>12</x:v>
      </x:c>
      <x:c r="C271" s="40" t="n">
        <x:v>25</x:v>
      </x:c>
      <x:c r="D271" s="40" t="n">
        <x:v>30</x:v>
      </x:c>
      <x:c r="E271" s="40" t="n">
        <x:v>73.02054762840271</x:v>
      </x:c>
      <x:c r="F271" s="13" t="str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</x:row>
    <x:row r="272" ht="27" customHeight="1">
      <x:c r="A272" s="2" t="str">
        <x:v>S004</x:v>
      </x:c>
      <x:c r="B272" s="2" t="n">
        <x:v>13</x:v>
      </x:c>
      <x:c r="C272" s="40" t="n">
        <x:v>25</x:v>
      </x:c>
      <x:c r="D272" s="40" t="n">
        <x:v>30</x:v>
      </x:c>
      <x:c r="E272" s="40" t="n">
        <x:v>72.02909827232361</x:v>
      </x:c>
      <x:c r="F272" s="13" t="str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</x:row>
    <x:row r="273" ht="27" customHeight="1">
      <x:c r="A273" s="2" t="str">
        <x:v>S004</x:v>
      </x:c>
      <x:c r="B273" s="2" t="n">
        <x:v>14</x:v>
      </x:c>
      <x:c r="C273" s="40" t="n">
        <x:v>25</x:v>
      </x:c>
      <x:c r="D273" s="40" t="n">
        <x:v>30</x:v>
      </x:c>
      <x:c r="E273" s="40" t="n">
        <x:v>70.99470257759094</x:v>
      </x:c>
      <x:c r="F273" s="13" t="str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</x:row>
    <x:row r="274" ht="27" customHeight="1">
      <x:c r="A274" s="2" t="str">
        <x:v>S004</x:v>
      </x:c>
      <x:c r="B274" s="2" t="n">
        <x:v>15</x:v>
      </x:c>
      <x:c r="C274" s="40" t="n">
        <x:v>25</x:v>
      </x:c>
      <x:c r="D274" s="40" t="n">
        <x:v>30</x:v>
      </x:c>
      <x:c r="E274" s="40" t="n">
        <x:v>69.91440713405609</x:v>
      </x:c>
      <x:c r="F274" s="13" t="str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</x:row>
    <x:row r="275" ht="27" customHeight="1">
      <x:c r="A275" s="2" t="str">
        <x:v>S004</x:v>
      </x:c>
      <x:c r="B275" s="2" t="n">
        <x:v>16</x:v>
      </x:c>
      <x:c r="C275" s="40" t="n">
        <x:v>25</x:v>
      </x:c>
      <x:c r="D275" s="40" t="n">
        <x:v>30</x:v>
      </x:c>
      <x:c r="E275" s="40" t="n">
        <x:v>68.78496646881104</x:v>
      </x:c>
      <x:c r="F275" s="13" t="str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</x:row>
    <x:row r="276" ht="27" customHeight="1">
      <x:c r="A276" s="2" t="str">
        <x:v>S004</x:v>
      </x:c>
      <x:c r="B276" s="2" t="n">
        <x:v>17</x:v>
      </x:c>
      <x:c r="C276" s="40" t="n">
        <x:v>25</x:v>
      </x:c>
      <x:c r="D276" s="40" t="n">
        <x:v>30</x:v>
      </x:c>
      <x:c r="E276" s="40" t="n">
        <x:v>67.60280549526215</x:v>
      </x:c>
      <x:c r="F276" s="13" t="str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</x:row>
    <x:row r="277" ht="27" customHeight="1">
      <x:c r="A277" s="2" t="str">
        <x:v>S004</x:v>
      </x:c>
      <x:c r="B277" s="2" t="n">
        <x:v>18</x:v>
      </x:c>
      <x:c r="C277" s="40" t="n">
        <x:v>25</x:v>
      </x:c>
      <x:c r="D277" s="40" t="n">
        <x:v>30</x:v>
      </x:c>
      <x:c r="E277" s="40" t="n">
        <x:v>66.36397063732147</x:v>
      </x:c>
      <x:c r="F277" s="13" t="str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</x:row>
    <x:row r="278" ht="27" customHeight="1">
      <x:c r="A278" s="2" t="str">
        <x:v>S004</x:v>
      </x:c>
      <x:c r="B278" s="2" t="n">
        <x:v>19</x:v>
      </x:c>
      <x:c r="C278" s="40" t="n">
        <x:v>25</x:v>
      </x:c>
      <x:c r="D278" s="40" t="n">
        <x:v>30</x:v>
      </x:c>
      <x:c r="E278" s="40" t="n">
        <x:v>65.06407976150513</x:v>
      </x:c>
      <x:c r="F278" s="13" t="str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</x:row>
    <x:row r="279" ht="27" customHeight="1">
      <x:c r="A279" s="2" t="str">
        <x:v>S004</x:v>
      </x:c>
      <x:c r="B279" s="2" t="n">
        <x:v>20</x:v>
      </x:c>
      <x:c r="C279" s="40" t="n">
        <x:v>25</x:v>
      </x:c>
      <x:c r="D279" s="40" t="n">
        <x:v>30</x:v>
      </x:c>
      <x:c r="E279" s="40" t="n">
        <x:v>63.69825065135956</x:v>
      </x:c>
      <x:c r="F279" s="13" t="str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</x:row>
    <x:row r="280" ht="27" customHeight="1">
      <x:c r="A280" s="2" t="str">
        <x:v>S004</x:v>
      </x:c>
      <x:c r="B280" s="2" t="n">
        <x:v>21</x:v>
      </x:c>
      <x:c r="C280" s="40" t="n">
        <x:v>25</x:v>
      </x:c>
      <x:c r="D280" s="40" t="n">
        <x:v>29.865599870681763</x:v>
      </x:c>
      <x:c r="E280" s="40" t="n">
        <x:v>62.261027097702026</x:v>
      </x:c>
      <x:c r="F280" s="13" t="str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</x:row>
    <x:row r="281" ht="27" customHeight="1">
      <x:c r="A281" s="2" t="str">
        <x:v>S004</x:v>
      </x:c>
      <x:c r="B281" s="2" t="n">
        <x:v>22</x:v>
      </x:c>
      <x:c r="C281" s="40" t="n">
        <x:v>25</x:v>
      </x:c>
      <x:c r="D281" s="40" t="n">
        <x:v>29.29955095052719</x:v>
      </x:c>
      <x:c r="E281" s="40" t="n">
        <x:v>60.74627935886383</x:v>
      </x:c>
      <x:c r="F281" s="13" t="str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</x:row>
    <x:row r="282" ht="27" customHeight="1">
      <x:c r="A282" s="2" t="str">
        <x:v>S004</x:v>
      </x:c>
      <x:c r="B282" s="2" t="n">
        <x:v>23</x:v>
      </x:c>
      <x:c r="C282" s="40" t="n">
        <x:v>25</x:v>
      </x:c>
      <x:c r="D282" s="40" t="n">
        <x:v>28.703835010528564</x:v>
      </x:c>
      <x:c r="E282" s="40" t="n">
        <x:v>59.14708733558655</x:v>
      </x:c>
      <x:c r="F282" s="13" t="str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</x:row>
    <x:row r="283" ht="27" customHeight="1">
      <x:c r="A283" s="2" t="str">
        <x:v>S004</x:v>
      </x:c>
      <x:c r="B283" s="2" t="n">
        <x:v>24</x:v>
      </x:c>
      <x:c r="C283" s="40" t="n">
        <x:v>25</x:v>
      </x:c>
      <x:c r="D283" s="40" t="n">
        <x:v>28.075931668281555</x:v>
      </x:c>
      <x:c r="E283" s="40" t="n">
        <x:v>57.45559275150299</x:v>
      </x:c>
      <x:c r="F283" s="13" t="str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</x:row>
    <x:row r="284" ht="27" customHeight="1">
      <x:c r="A284" s="2" t="str">
        <x:v>S004</x:v>
      </x:c>
      <x:c r="B284" s="2" t="n">
        <x:v>25</x:v>
      </x:c>
      <x:c r="C284" s="40" t="n">
        <x:v>25</x:v>
      </x:c>
      <x:c r="D284" s="40" t="n">
        <x:v>27.413001358509064</x:v>
      </x:c>
      <x:c r="E284" s="40" t="n">
        <x:v>55.66281259059906</x:v>
      </x:c>
      <x:c r="F284" s="13" t="str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</x:row>
    <x:row r="285" ht="27" customHeight="1">
      <x:c r="A285" s="2" t="str">
        <x:v>S004</x:v>
      </x:c>
      <x:c r="B285" s="2" t="n">
        <x:v>26</x:v>
      </x:c>
      <x:c r="C285" s="40" t="n">
        <x:v>25</x:v>
      </x:c>
      <x:c r="D285" s="40" t="n">
        <x:v>26.71183079481125</x:v>
      </x:c>
      <x:c r="E285" s="40" t="n">
        <x:v>53.75840246677399</x:v>
      </x:c>
      <x:c r="F285" s="13" t="str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</x:row>
    <x:row r="286" ht="27" customHeight="1">
      <x:c r="A286" s="2" t="str">
        <x:v>S004</x:v>
      </x:c>
      <x:c r="B286" s="2" t="n">
        <x:v>27</x:v>
      </x:c>
      <x:c r="C286" s="40" t="n">
        <x:v>25</x:v>
      </x:c>
      <x:c r="D286" s="40" t="n">
        <x:v>25.968765914440155</x:v>
      </x:c>
      <x:c r="E286" s="40" t="n">
        <x:v>51.730345487594604</x:v>
      </x:c>
      <x:c r="F286" s="13" t="str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</x:row>
    <x:row r="287" ht="27" customHeight="1">
      <x:c r="A287" s="2" t="str">
        <x:v>S004</x:v>
      </x:c>
      <x:c r="B287" s="2" t="n">
        <x:v>28</x:v>
      </x:c>
      <x:c r="C287" s="40" t="n">
        <x:v>23.989522457122803</x:v>
      </x:c>
      <x:c r="D287" s="40" t="n">
        <x:v>25.179620683193207</x:v>
      </x:c>
      <x:c r="E287" s="40" t="n">
        <x:v>49.5645397901535</x:v>
      </x:c>
      <x:c r="F287" s="13" t="str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</x:row>
    <x:row r="288" ht="27" customHeight="1">
      <x:c r="A288" s="2" t="str">
        <x:v>S004</x:v>
      </x:c>
      <x:c r="B288" s="2" t="n">
        <x:v>29</x:v>
      </x:c>
      <x:c r="C288" s="40" t="n">
        <x:v>22.167056053876877</x:v>
      </x:c>
      <x:c r="D288" s="40" t="n">
        <x:v>24.339565336704254</x:v>
      </x:c>
      <x:c r="E288" s="40" t="n">
        <x:v>47.24423706531525</x:v>
      </x:c>
      <x:c r="F288" s="13" t="str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</x:row>
    <x:row r="289" ht="27" customHeight="1">
      <x:c r="A289" s="2" t="str">
        <x:v>S004</x:v>
      </x:c>
      <x:c r="B289" s="2" t="n">
        <x:v>30</x:v>
      </x:c>
      <x:c r="C289" s="40" t="n">
        <x:v>20.1714925467968</x:v>
      </x:c>
      <x:c r="D289" s="40" t="n">
        <x:v>23.44297617673874</x:v>
      </x:c>
      <x:c r="E289" s="40" t="n">
        <x:v>44.749258160591125</x:v>
      </x:c>
      <x:c r="F289" s="13" t="str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</x:row>
    <x:row r="290" ht="27" customHeight="1">
      <x:c r="A290" s="2" t="str">
        <x:v>S004</x:v>
      </x:c>
      <x:c r="B290" s="2" t="n">
        <x:v>31</x:v>
      </x:c>
      <x:c r="C290" s="40" t="n">
        <x:v>17.965923994779587</x:v>
      </x:c>
      <x:c r="D290" s="40" t="n">
        <x:v>22.48324602842331</x:v>
      </x:c>
      <x:c r="E290" s="40" t="n">
        <x:v>42.054851055145264</x:v>
      </x:c>
      <x:c r="F290" s="13" t="str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</x:row>
    <x:row r="291" ht="27" customHeight="1">
      <x:c r="A291" s="2" t="str">
        <x:v>S004</x:v>
      </x:c>
      <x:c r="B291" s="2" t="n">
        <x:v>32</x:v>
      </x:c>
      <x:c r="C291" s="40" t="n">
        <x:v>15.496419370174408</x:v>
      </x:c>
      <x:c r="D291" s="40" t="n">
        <x:v>21.45251154899597</x:v>
      </x:c>
      <x:c r="E291" s="40" t="n">
        <x:v>39.129979610443115</x:v>
      </x:c>
      <x:c r="F291" s="13" t="str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</x:row>
    <x:row r="292" ht="27" customHeight="1">
      <x:c r="A292" s="2" t="str">
        <x:v>S004</x:v>
      </x:c>
      <x:c r="B292" s="2" t="n">
        <x:v>33</x:v>
      </x:c>
      <x:c r="C292" s="40" t="n">
        <x:v>12.676433473825455</x:v>
      </x:c>
      <x:c r="D292" s="40" t="n">
        <x:v>20.341283977031708</x:v>
      </x:c>
      <x:c r="E292" s="40" t="n">
        <x:v>35.934603810310364</x:v>
      </x:c>
      <x:c r="F292" s="13" t="str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</x:row>
    <x:row r="293" ht="27" customHeight="1">
      <x:c r="A293" s="2" t="str">
        <x:v>S004</x:v>
      </x:c>
      <x:c r="B293" s="2" t="n">
        <x:v>34</x:v>
      </x:c>
      <x:c r="C293" s="40" t="n">
        <x:v>9.343473613262177</x:v>
      </x:c>
      <x:c r="D293" s="40" t="n">
        <x:v>19.137913584709167</x:v>
      </x:c>
      <x:c r="E293" s="40" t="n">
        <x:v>32.41508662700653</x:v>
      </x:c>
      <x:c r="F293" s="13" t="str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</x:row>
    <x:row r="294" ht="27" customHeight="1">
      <x:c r="A294" s="2" t="str">
        <x:v>S004</x:v>
      </x:c>
      <x:c r="B294" s="2" t="n">
        <x:v>35</x:v>
      </x:c>
      <x:c r="C294" s="40" t="n">
        <x:v>5.073702335357666</x:v>
      </x:c>
      <x:c r="D294" s="40" t="n">
        <x:v>17.82777339220047</x:v>
      </x:c>
      <x:c r="E294" s="40" t="n">
        <x:v>28.49576473236084</x:v>
      </x:c>
      <x:c r="F294" s="13" t="str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</x:row>
    <x:row r="295" ht="27" customHeight="1">
      <x:c r="A295" s="2" t="str">
        <x:v>S004</x:v>
      </x:c>
      <x:c r="B295" s="2" t="n">
        <x:v>36</x:v>
      </x:c>
      <x:c r="C295" s="40"/>
      <x:c r="D295" s="40" t="n">
        <x:v>16.39198064804077</x:v>
      </x:c>
      <x:c r="E295" s="40" t="n">
        <x:v>24.06157612800598</x:v>
      </x:c>
      <x:c r="F295" s="13" t="str">
        <x:v>A型空载也不可行</x:v>
      </x:c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</x:row>
    <x:row r="296" ht="27" customHeight="1">
      <x:c r="A296" s="2" t="str">
        <x:v>S004</x:v>
      </x:c>
      <x:c r="B296" s="2" t="n">
        <x:v>37</x:v>
      </x:c>
      <x:c r="C296" s="40"/>
      <x:c r="D296" s="40" t="n">
        <x:v>14.805234968662262</x:v>
      </x:c>
      <x:c r="E296" s="40" t="n">
        <x:v>18.915554881095886</x:v>
      </x:c>
      <x:c r="F296" s="13" t="str">
        <x:v>A型空载也不可行</x:v>
      </x:c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</x:row>
    <x:row r="297" ht="27" customHeight="1">
      <x:c r="A297" s="2" t="str">
        <x:v>S004</x:v>
      </x:c>
      <x:c r="B297" s="2" t="n">
        <x:v>38</x:v>
      </x:c>
      <x:c r="C297" s="40"/>
      <x:c r="D297" s="40" t="n">
        <x:v>13.03184062242508</x:v>
      </x:c>
      <x:c r="E297" s="40" t="n">
        <x:v>12.639320492744446</x:v>
      </x:c>
      <x:c r="F297" s="13" t="str">
        <x:v>A型空载也不可行</x:v>
      </x:c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</x:row>
    <x:row r="298" ht="27" customHeight="1">
      <x:c r="A298" s="2" t="str">
        <x:v>S004</x:v>
      </x:c>
      <x:c r="B298" s="2" t="n">
        <x:v>39</x:v>
      </x:c>
      <x:c r="C298" s="40"/>
      <x:c r="D298" s="40" t="n">
        <x:v>11.017526686191559</x:v>
      </x:c>
      <x:c r="E298" s="40" t="n">
        <x:v>3.6104965209960938</x:v>
      </x:c>
      <x:c r="F298" s="13" t="str">
        <x:v>A型空载也不可行</x:v>
      </x:c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</x:row>
    <x:row r="299" ht="27" customHeight="1">
      <x:c r="A299" s="2" t="str">
        <x:v>S004</x:v>
      </x:c>
      <x:c r="B299" s="2" t="n">
        <x:v>40</x:v>
      </x:c>
      <x:c r="C299" s="40"/>
      <x:c r="D299" s="40" t="n">
        <x:v>8.66939127445221</x:v>
      </x:c>
      <x:c r="E299" s="40"/>
      <x:c r="F299" s="13" t="str">
        <x:v>A型空载也不可行；C型空载也不可行</x:v>
      </x:c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</x:row>
    <x:row r="300" ht="27" customHeight="1">
      <x:c r="A300" s="2" t="str">
        <x:v>S004</x:v>
      </x:c>
      <x:c r="B300" s="2" t="n">
        <x:v>41</x:v>
      </x:c>
      <x:c r="C300" s="40"/>
      <x:c r="D300" s="40" t="n">
        <x:v>5.78976184129715</x:v>
      </x:c>
      <x:c r="E300" s="40"/>
      <x:c r="F300" s="13" t="str">
        <x:v>A型空载也不可行；C型空载也不可行</x:v>
      </x:c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</x:row>
    <x:row r="301" ht="27" customHeight="1">
      <x:c r="A301" s="2" t="str">
        <x:v>S004</x:v>
      </x:c>
      <x:c r="B301" s="2" t="n">
        <x:v>42</x:v>
      </x:c>
      <x:c r="C301" s="40"/>
      <x:c r="D301" s="40" t="n">
        <x:v>1.5992921590805054</x:v>
      </x:c>
      <x:c r="E301" s="40"/>
      <x:c r="F301" s="13" t="str">
        <x:v>A型空载也不可行；C型空载也不可行</x:v>
      </x:c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</x:row>
    <x:row r="302" ht="27" customHeight="1">
      <x:c r="A302" s="2" t="str">
        <x:v>S004</x:v>
      </x:c>
      <x:c r="B302" s="2" t="n">
        <x:v>43</x:v>
      </x:c>
      <x:c r="C302" s="40"/>
      <x:c r="D302" s="40"/>
      <x:c r="E302" s="40"/>
      <x:c r="F302" s="13" t="str">
        <x:v>A型空载也不可行；B型空载也不可行；C型空载也不可行</x:v>
      </x:c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</x:row>
    <x:row r="303" ht="27" customHeight="1">
      <x:c r="A303" s="2" t="str">
        <x:v>S004</x:v>
      </x:c>
      <x:c r="B303" s="2" t="n">
        <x:v>44</x:v>
      </x:c>
      <x:c r="C303" s="40"/>
      <x:c r="D303" s="40"/>
      <x:c r="E303" s="40"/>
      <x:c r="F303" s="13" t="str">
        <x:v>A型空载也不可行；B型空载也不可行；C型空载也不可行</x:v>
      </x:c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</x:row>
    <x:row r="304" ht="27" customHeight="1">
      <x:c r="A304" s="2" t="str">
        <x:v>S004</x:v>
      </x:c>
      <x:c r="B304" s="2" t="n">
        <x:v>45</x:v>
      </x:c>
      <x:c r="C304" s="40"/>
      <x:c r="D304" s="40"/>
      <x:c r="E304" s="40"/>
      <x:c r="F304" s="13" t="str">
        <x:v>A型空载也不可行；B型空载也不可行；C型空载也不可行</x:v>
      </x:c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</x:row>
    <x:row r="305" ht="27" customHeight="1">
      <x:c r="A305" s="2" t="str">
        <x:v>S004</x:v>
      </x:c>
      <x:c r="B305" s="2" t="n">
        <x:v>46</x:v>
      </x:c>
      <x:c r="C305" s="40"/>
      <x:c r="D305" s="40"/>
      <x:c r="E305" s="40"/>
      <x:c r="F305" s="13" t="str">
        <x:v>A型空载也不可行；B型空载也不可行；C型空载也不可行</x:v>
      </x:c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</x:row>
    <x:row r="306" ht="27" customHeight="1">
      <x:c r="A306" s="2" t="str">
        <x:v>S004</x:v>
      </x:c>
      <x:c r="B306" s="2" t="n">
        <x:v>47</x:v>
      </x:c>
      <x:c r="C306" s="40"/>
      <x:c r="D306" s="40"/>
      <x:c r="E306" s="40"/>
      <x:c r="F306" s="13" t="str">
        <x:v>A型空载也不可行；B型空载也不可行；C型空载也不可行</x:v>
      </x:c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</x:row>
    <x:row r="307" ht="27" customHeight="1">
      <x:c r="A307" s="2" t="str">
        <x:v>S004</x:v>
      </x:c>
      <x:c r="B307" s="2" t="n">
        <x:v>48</x:v>
      </x:c>
      <x:c r="C307" s="40"/>
      <x:c r="D307" s="40"/>
      <x:c r="E307" s="40"/>
      <x:c r="F307" s="13" t="str">
        <x:v>A型空载也不可行；B型空载也不可行；C型空载也不可行</x:v>
      </x:c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</x:row>
    <x:row r="308" ht="27" customHeight="1">
      <x:c r="A308" s="2" t="str">
        <x:v>S004</x:v>
      </x:c>
      <x:c r="B308" s="2" t="n">
        <x:v>49</x:v>
      </x:c>
      <x:c r="C308" s="40"/>
      <x:c r="D308" s="40"/>
      <x:c r="E308" s="40"/>
      <x:c r="F308" s="13" t="str">
        <x:v>A型空载也不可行；B型空载也不可行；C型空载也不可行</x:v>
      </x:c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</x:row>
    <x:row r="309" ht="27" customHeight="1">
      <x:c r="A309" s="2" t="str">
        <x:v>S004</x:v>
      </x:c>
      <x:c r="B309" s="2" t="n">
        <x:v>50</x:v>
      </x:c>
      <x:c r="C309" s="40"/>
      <x:c r="D309" s="40"/>
      <x:c r="E309" s="40"/>
      <x:c r="F309" s="13" t="str">
        <x:v>A型空载也不可行；B型空载也不可行；C型空载也不可行</x:v>
      </x:c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</x:row>
    <x:row r="310" ht="27" customHeight="1">
      <x:c r="A310" s="2" t="str">
        <x:v>S004</x:v>
      </x:c>
      <x:c r="B310" s="2" t="n">
        <x:v>51</x:v>
      </x:c>
      <x:c r="C310" s="40"/>
      <x:c r="D310" s="40"/>
      <x:c r="E310" s="40"/>
      <x:c r="F310" s="13" t="str">
        <x:v>A型空载也不可行；B型空载也不可行；C型空载也不可行</x:v>
      </x:c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</x:row>
    <x:row r="311" ht="27" customHeight="1">
      <x:c r="A311" s="2" t="str">
        <x:v>S004</x:v>
      </x:c>
      <x:c r="B311" s="2" t="n">
        <x:v>52</x:v>
      </x:c>
      <x:c r="C311" s="40"/>
      <x:c r="D311" s="40"/>
      <x:c r="E311" s="40"/>
      <x:c r="F311" s="13" t="str">
        <x:v>A型空载也不可行；B型空载也不可行；C型空载也不可行</x:v>
      </x:c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</x:row>
    <x:row r="312" ht="27" customHeight="1">
      <x:c r="A312" s="2" t="str">
        <x:v>S004</x:v>
      </x:c>
      <x:c r="B312" s="2" t="n">
        <x:v>53</x:v>
      </x:c>
      <x:c r="C312" s="40"/>
      <x:c r="D312" s="40"/>
      <x:c r="E312" s="40"/>
      <x:c r="F312" s="13" t="str">
        <x:v>A型空载也不可行；B型空载也不可行；C型空载也不可行</x:v>
      </x:c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</x:row>
    <x:row r="313" ht="27" customHeight="1">
      <x:c r="A313" s="2" t="str">
        <x:v>S004</x:v>
      </x:c>
      <x:c r="B313" s="2" t="n">
        <x:v>54</x:v>
      </x:c>
      <x:c r="C313" s="40"/>
      <x:c r="D313" s="40"/>
      <x:c r="E313" s="40"/>
      <x:c r="F313" s="13" t="str">
        <x:v>A型空载也不可行；B型空载也不可行；C型空载也不可行</x:v>
      </x:c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</x:row>
    <x:row r="314" ht="27" customHeight="1">
      <x:c r="A314" s="2" t="str">
        <x:v>S004</x:v>
      </x:c>
      <x:c r="B314" s="2" t="n">
        <x:v>55</x:v>
      </x:c>
      <x:c r="C314" s="40"/>
      <x:c r="D314" s="40"/>
      <x:c r="E314" s="40"/>
      <x:c r="F314" s="13" t="str">
        <x:v>A型空载也不可行；B型空载也不可行；C型空载也不可行</x:v>
      </x:c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</x:row>
    <x:row r="315" ht="27" customHeight="1">
      <x:c r="A315" s="2" t="str">
        <x:v>S004</x:v>
      </x:c>
      <x:c r="B315" s="2" t="n">
        <x:v>56</x:v>
      </x:c>
      <x:c r="C315" s="40"/>
      <x:c r="D315" s="40"/>
      <x:c r="E315" s="40"/>
      <x:c r="F315" s="13" t="str">
        <x:v>A型空载也不可行；B型空载也不可行；C型空载也不可行</x:v>
      </x:c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</x:row>
    <x:row r="316" ht="27" customHeight="1">
      <x:c r="A316" s="2" t="str">
        <x:v>S004</x:v>
      </x:c>
      <x:c r="B316" s="2" t="n">
        <x:v>57</x:v>
      </x:c>
      <x:c r="C316" s="40"/>
      <x:c r="D316" s="40"/>
      <x:c r="E316" s="40"/>
      <x:c r="F316" s="13" t="str">
        <x:v>A型空载也不可行；B型空载也不可行；C型空载也不可行</x:v>
      </x:c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</x:row>
    <x:row r="317" ht="27" customHeight="1">
      <x:c r="A317" s="2" t="str">
        <x:v>S004</x:v>
      </x:c>
      <x:c r="B317" s="2" t="n">
        <x:v>58</x:v>
      </x:c>
      <x:c r="C317" s="40"/>
      <x:c r="D317" s="40"/>
      <x:c r="E317" s="40"/>
      <x:c r="F317" s="13" t="str">
        <x:v>A型空载也不可行；B型空载也不可行；C型空载也不可行</x:v>
      </x:c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</x:row>
    <x:row r="318" ht="27" customHeight="1">
      <x:c r="A318" s="2" t="str">
        <x:v>S004</x:v>
      </x:c>
      <x:c r="B318" s="2" t="n">
        <x:v>59</x:v>
      </x:c>
      <x:c r="C318" s="40"/>
      <x:c r="D318" s="40"/>
      <x:c r="E318" s="40"/>
      <x:c r="F318" s="13" t="str">
        <x:v>A型空载也不可行；B型空载也不可行；C型空载也不可行</x:v>
      </x:c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</x:row>
    <x:row r="319" ht="27" customHeight="1">
      <x:c r="A319" s="2" t="str">
        <x:v>S004</x:v>
      </x:c>
      <x:c r="B319" s="2" t="n">
        <x:v>60</x:v>
      </x:c>
      <x:c r="C319" s="40"/>
      <x:c r="D319" s="40"/>
      <x:c r="E319" s="40"/>
      <x:c r="F319" s="13" t="str">
        <x:v>A型空载也不可行；B型空载也不可行；C型空载也不可行</x:v>
      </x:c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</x:row>
    <x:row r="320" ht="27" customHeight="1">
      <x:c r="A320" s="2" t="str">
        <x:v>S005</x:v>
      </x:c>
      <x:c r="B320" s="2" t="n">
        <x:v>0</x:v>
      </x:c>
      <x:c r="C320" s="40" t="n">
        <x:v>25</x:v>
      </x:c>
      <x:c r="D320" s="40" t="n">
        <x:v>30</x:v>
      </x:c>
      <x:c r="E320" s="40" t="n">
        <x:v>80</x:v>
      </x:c>
      <x:c r="F320" s="13" t="str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</x:row>
    <x:row r="321" ht="27" customHeight="1">
      <x:c r="A321" s="2" t="str">
        <x:v>S005</x:v>
      </x:c>
      <x:c r="B321" s="2" t="n">
        <x:v>1</x:v>
      </x:c>
      <x:c r="C321" s="40" t="n">
        <x:v>25</x:v>
      </x:c>
      <x:c r="D321" s="40" t="n">
        <x:v>30</x:v>
      </x:c>
      <x:c r="E321" s="40" t="n">
        <x:v>80</x:v>
      </x:c>
      <x:c r="F321" s="13" t="str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</x:row>
    <x:row r="322" ht="27" customHeight="1">
      <x:c r="A322" s="2" t="str">
        <x:v>S005</x:v>
      </x:c>
      <x:c r="B322" s="2" t="n">
        <x:v>2</x:v>
      </x:c>
      <x:c r="C322" s="40" t="n">
        <x:v>25</x:v>
      </x:c>
      <x:c r="D322" s="40" t="n">
        <x:v>30</x:v>
      </x:c>
      <x:c r="E322" s="40" t="n">
        <x:v>80</x:v>
      </x:c>
      <x:c r="F322" s="13" t="str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</x:row>
    <x:row r="323" ht="27" customHeight="1">
      <x:c r="A323" s="2" t="str">
        <x:v>S005</x:v>
      </x:c>
      <x:c r="B323" s="2" t="n">
        <x:v>3</x:v>
      </x:c>
      <x:c r="C323" s="40" t="n">
        <x:v>25</x:v>
      </x:c>
      <x:c r="D323" s="40" t="n">
        <x:v>30</x:v>
      </x:c>
      <x:c r="E323" s="40" t="n">
        <x:v>80</x:v>
      </x:c>
      <x:c r="F323" s="13" t="str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</x:row>
    <x:row r="324" ht="27" customHeight="1">
      <x:c r="A324" s="2" t="str">
        <x:v>S005</x:v>
      </x:c>
      <x:c r="B324" s="2" t="n">
        <x:v>4</x:v>
      </x:c>
      <x:c r="C324" s="40" t="n">
        <x:v>25</x:v>
      </x:c>
      <x:c r="D324" s="40" t="n">
        <x:v>30</x:v>
      </x:c>
      <x:c r="E324" s="40" t="n">
        <x:v>80</x:v>
      </x:c>
      <x:c r="F324" s="13" t="str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</x:row>
    <x:row r="325" ht="27" customHeight="1">
      <x:c r="A325" s="2" t="str">
        <x:v>S005</x:v>
      </x:c>
      <x:c r="B325" s="2" t="n">
        <x:v>5</x:v>
      </x:c>
      <x:c r="C325" s="40" t="n">
        <x:v>25</x:v>
      </x:c>
      <x:c r="D325" s="40" t="n">
        <x:v>30</x:v>
      </x:c>
      <x:c r="E325" s="40" t="n">
        <x:v>80</x:v>
      </x:c>
      <x:c r="F325" s="13" t="str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</x:row>
    <x:row r="326" ht="27" customHeight="1">
      <x:c r="A326" s="2" t="str">
        <x:v>S005</x:v>
      </x:c>
      <x:c r="B326" s="2" t="n">
        <x:v>6</x:v>
      </x:c>
      <x:c r="C326" s="40" t="n">
        <x:v>25</x:v>
      </x:c>
      <x:c r="D326" s="40" t="n">
        <x:v>30</x:v>
      </x:c>
      <x:c r="E326" s="40" t="n">
        <x:v>80</x:v>
      </x:c>
      <x:c r="F326" s="13" t="str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</x:row>
    <x:row r="327" ht="27" customHeight="1">
      <x:c r="A327" s="2" t="str">
        <x:v>S005</x:v>
      </x:c>
      <x:c r="B327" s="2" t="n">
        <x:v>7</x:v>
      </x:c>
      <x:c r="C327" s="40" t="n">
        <x:v>25</x:v>
      </x:c>
      <x:c r="D327" s="40" t="n">
        <x:v>30</x:v>
      </x:c>
      <x:c r="E327" s="40" t="n">
        <x:v>80</x:v>
      </x:c>
      <x:c r="F327" s="13" t="str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</x:row>
    <x:row r="328" ht="27" customHeight="1">
      <x:c r="A328" s="2" t="str">
        <x:v>S005</x:v>
      </x:c>
      <x:c r="B328" s="2" t="n">
        <x:v>8</x:v>
      </x:c>
      <x:c r="C328" s="40" t="n">
        <x:v>25</x:v>
      </x:c>
      <x:c r="D328" s="40" t="n">
        <x:v>30</x:v>
      </x:c>
      <x:c r="E328" s="40" t="n">
        <x:v>80</x:v>
      </x:c>
      <x:c r="F328" s="13" t="str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</x:row>
    <x:row r="329" ht="27" customHeight="1">
      <x:c r="A329" s="2" t="str">
        <x:v>S005</x:v>
      </x:c>
      <x:c r="B329" s="2" t="n">
        <x:v>9</x:v>
      </x:c>
      <x:c r="C329" s="40" t="n">
        <x:v>25</x:v>
      </x:c>
      <x:c r="D329" s="40" t="n">
        <x:v>30</x:v>
      </x:c>
      <x:c r="E329" s="40" t="n">
        <x:v>80</x:v>
      </x:c>
      <x:c r="F329" s="13" t="str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</x:row>
    <x:row r="330" ht="27" customHeight="1">
      <x:c r="A330" s="2" t="str">
        <x:v>S005</x:v>
      </x:c>
      <x:c r="B330" s="2" t="n">
        <x:v>10</x:v>
      </x:c>
      <x:c r="C330" s="40" t="n">
        <x:v>25</x:v>
      </x:c>
      <x:c r="D330" s="40" t="n">
        <x:v>30</x:v>
      </x:c>
      <x:c r="E330" s="40" t="n">
        <x:v>80</x:v>
      </x:c>
      <x:c r="F330" s="13" t="str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</x:row>
    <x:row r="331" ht="27" customHeight="1">
      <x:c r="A331" s="2" t="str">
        <x:v>S005</x:v>
      </x:c>
      <x:c r="B331" s="2" t="n">
        <x:v>11</x:v>
      </x:c>
      <x:c r="C331" s="40" t="n">
        <x:v>25</x:v>
      </x:c>
      <x:c r="D331" s="40" t="n">
        <x:v>30</x:v>
      </x:c>
      <x:c r="E331" s="40" t="n">
        <x:v>80</x:v>
      </x:c>
      <x:c r="F331" s="13" t="str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</x:row>
    <x:row r="332" ht="27" customHeight="1">
      <x:c r="A332" s="2" t="str">
        <x:v>S005</x:v>
      </x:c>
      <x:c r="B332" s="2" t="n">
        <x:v>12</x:v>
      </x:c>
      <x:c r="C332" s="40" t="n">
        <x:v>25</x:v>
      </x:c>
      <x:c r="D332" s="40" t="n">
        <x:v>30</x:v>
      </x:c>
      <x:c r="E332" s="40" t="n">
        <x:v>80</x:v>
      </x:c>
      <x:c r="F332" s="13" t="str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</x:row>
    <x:row r="333" ht="27" customHeight="1">
      <x:c r="A333" s="2" t="str">
        <x:v>S005</x:v>
      </x:c>
      <x:c r="B333" s="2" t="n">
        <x:v>13</x:v>
      </x:c>
      <x:c r="C333" s="40" t="n">
        <x:v>25</x:v>
      </x:c>
      <x:c r="D333" s="40" t="n">
        <x:v>30</x:v>
      </x:c>
      <x:c r="E333" s="40" t="n">
        <x:v>80</x:v>
      </x:c>
      <x:c r="F333" s="13" t="str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</x:row>
    <x:row r="334" ht="27" customHeight="1">
      <x:c r="A334" s="2" t="str">
        <x:v>S005</x:v>
      </x:c>
      <x:c r="B334" s="2" t="n">
        <x:v>14</x:v>
      </x:c>
      <x:c r="C334" s="40" t="n">
        <x:v>25</x:v>
      </x:c>
      <x:c r="D334" s="40" t="n">
        <x:v>30</x:v>
      </x:c>
      <x:c r="E334" s="40" t="n">
        <x:v>80</x:v>
      </x:c>
      <x:c r="F334" s="13" t="str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</x:row>
    <x:row r="335" ht="27" customHeight="1">
      <x:c r="A335" s="2" t="str">
        <x:v>S005</x:v>
      </x:c>
      <x:c r="B335" s="2" t="n">
        <x:v>15</x:v>
      </x:c>
      <x:c r="C335" s="40" t="n">
        <x:v>25</x:v>
      </x:c>
      <x:c r="D335" s="40" t="n">
        <x:v>30</x:v>
      </x:c>
      <x:c r="E335" s="40" t="n">
        <x:v>80</x:v>
      </x:c>
      <x:c r="F335" s="13" t="str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</x:row>
    <x:row r="336" ht="27" customHeight="1">
      <x:c r="A336" s="2" t="str">
        <x:v>S005</x:v>
      </x:c>
      <x:c r="B336" s="2" t="n">
        <x:v>16</x:v>
      </x:c>
      <x:c r="C336" s="40" t="n">
        <x:v>25</x:v>
      </x:c>
      <x:c r="D336" s="40" t="n">
        <x:v>30</x:v>
      </x:c>
      <x:c r="E336" s="40" t="n">
        <x:v>80</x:v>
      </x:c>
      <x:c r="F336" s="13" t="str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</x:row>
    <x:row r="337" ht="27" customHeight="1">
      <x:c r="A337" s="2" t="str">
        <x:v>S005</x:v>
      </x:c>
      <x:c r="B337" s="2" t="n">
        <x:v>17</x:v>
      </x:c>
      <x:c r="C337" s="40" t="n">
        <x:v>25</x:v>
      </x:c>
      <x:c r="D337" s="40" t="n">
        <x:v>30</x:v>
      </x:c>
      <x:c r="E337" s="40" t="n">
        <x:v>80</x:v>
      </x:c>
      <x:c r="F337" s="13" t="str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</x:row>
    <x:row r="338" ht="27" customHeight="1">
      <x:c r="A338" s="2" t="str">
        <x:v>S005</x:v>
      </x:c>
      <x:c r="B338" s="2" t="n">
        <x:v>18</x:v>
      </x:c>
      <x:c r="C338" s="40" t="n">
        <x:v>25</x:v>
      </x:c>
      <x:c r="D338" s="40" t="n">
        <x:v>30</x:v>
      </x:c>
      <x:c r="E338" s="40" t="n">
        <x:v>80</x:v>
      </x:c>
      <x:c r="F338" s="13" t="str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</x:row>
    <x:row r="339" ht="27" customHeight="1">
      <x:c r="A339" s="2" t="str">
        <x:v>S005</x:v>
      </x:c>
      <x:c r="B339" s="2" t="n">
        <x:v>19</x:v>
      </x:c>
      <x:c r="C339" s="40" t="n">
        <x:v>25</x:v>
      </x:c>
      <x:c r="D339" s="40" t="n">
        <x:v>30</x:v>
      </x:c>
      <x:c r="E339" s="40" t="n">
        <x:v>80</x:v>
      </x:c>
      <x:c r="F339" s="13" t="str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</x:row>
    <x:row r="340" ht="27" customHeight="1">
      <x:c r="A340" s="2" t="str">
        <x:v>S005</x:v>
      </x:c>
      <x:c r="B340" s="2" t="n">
        <x:v>20</x:v>
      </x:c>
      <x:c r="C340" s="40" t="n">
        <x:v>25</x:v>
      </x:c>
      <x:c r="D340" s="40" t="n">
        <x:v>30</x:v>
      </x:c>
      <x:c r="E340" s="40" t="n">
        <x:v>80</x:v>
      </x:c>
      <x:c r="F340" s="13" t="str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</x:row>
    <x:row r="341" ht="27" customHeight="1">
      <x:c r="A341" s="2" t="str">
        <x:v>S005</x:v>
      </x:c>
      <x:c r="B341" s="2" t="n">
        <x:v>21</x:v>
      </x:c>
      <x:c r="C341" s="40" t="n">
        <x:v>25</x:v>
      </x:c>
      <x:c r="D341" s="40" t="n">
        <x:v>30</x:v>
      </x:c>
      <x:c r="E341" s="40" t="n">
        <x:v>80</x:v>
      </x:c>
      <x:c r="F341" s="13" t="str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</x:row>
    <x:row r="342" ht="27" customHeight="1">
      <x:c r="A342" s="2" t="str">
        <x:v>S005</x:v>
      </x:c>
      <x:c r="B342" s="2" t="n">
        <x:v>22</x:v>
      </x:c>
      <x:c r="C342" s="40" t="n">
        <x:v>25</x:v>
      </x:c>
      <x:c r="D342" s="40" t="n">
        <x:v>30</x:v>
      </x:c>
      <x:c r="E342" s="40" t="n">
        <x:v>80</x:v>
      </x:c>
      <x:c r="F342" s="13" t="str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</x:row>
    <x:row r="343" ht="27" customHeight="1">
      <x:c r="A343" s="2" t="str">
        <x:v>S005</x:v>
      </x:c>
      <x:c r="B343" s="2" t="n">
        <x:v>23</x:v>
      </x:c>
      <x:c r="C343" s="40" t="n">
        <x:v>25</x:v>
      </x:c>
      <x:c r="D343" s="40" t="n">
        <x:v>30</x:v>
      </x:c>
      <x:c r="E343" s="40" t="n">
        <x:v>80</x:v>
      </x:c>
      <x:c r="F343" s="13" t="str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</x:row>
    <x:row r="344" ht="27" customHeight="1">
      <x:c r="A344" s="2" t="str">
        <x:v>S005</x:v>
      </x:c>
      <x:c r="B344" s="2" t="n">
        <x:v>24</x:v>
      </x:c>
      <x:c r="C344" s="40" t="n">
        <x:v>25</x:v>
      </x:c>
      <x:c r="D344" s="40" t="n">
        <x:v>30</x:v>
      </x:c>
      <x:c r="E344" s="40" t="n">
        <x:v>80</x:v>
      </x:c>
      <x:c r="F344" s="13" t="str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</x:row>
    <x:row r="345" ht="27" customHeight="1">
      <x:c r="A345" s="2" t="str">
        <x:v>S005</x:v>
      </x:c>
      <x:c r="B345" s="2" t="n">
        <x:v>25</x:v>
      </x:c>
      <x:c r="C345" s="40" t="n">
        <x:v>25</x:v>
      </x:c>
      <x:c r="D345" s="40" t="n">
        <x:v>30</x:v>
      </x:c>
      <x:c r="E345" s="40" t="n">
        <x:v>80</x:v>
      </x:c>
      <x:c r="F345" s="13" t="str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</x:row>
    <x:row r="346" ht="27" customHeight="1">
      <x:c r="A346" s="2" t="str">
        <x:v>S005</x:v>
      </x:c>
      <x:c r="B346" s="2" t="n">
        <x:v>26</x:v>
      </x:c>
      <x:c r="C346" s="40" t="n">
        <x:v>25</x:v>
      </x:c>
      <x:c r="D346" s="40" t="n">
        <x:v>30</x:v>
      </x:c>
      <x:c r="E346" s="40" t="n">
        <x:v>80</x:v>
      </x:c>
      <x:c r="F346" s="13" t="str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</x:row>
    <x:row r="347" ht="27" customHeight="1">
      <x:c r="A347" s="2" t="str">
        <x:v>S005</x:v>
      </x:c>
      <x:c r="B347" s="2" t="n">
        <x:v>27</x:v>
      </x:c>
      <x:c r="C347" s="40" t="n">
        <x:v>25</x:v>
      </x:c>
      <x:c r="D347" s="40" t="n">
        <x:v>30</x:v>
      </x:c>
      <x:c r="E347" s="40" t="n">
        <x:v>80</x:v>
      </x:c>
      <x:c r="F347" s="13" t="str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</x:row>
    <x:row r="348" ht="27" customHeight="1">
      <x:c r="A348" s="2" t="str">
        <x:v>S005</x:v>
      </x:c>
      <x:c r="B348" s="2" t="n">
        <x:v>28</x:v>
      </x:c>
      <x:c r="C348" s="40" t="n">
        <x:v>25</x:v>
      </x:c>
      <x:c r="D348" s="40" t="n">
        <x:v>30</x:v>
      </x:c>
      <x:c r="E348" s="40" t="n">
        <x:v>80</x:v>
      </x:c>
      <x:c r="F348" s="13" t="str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</x:row>
    <x:row r="349" ht="27" customHeight="1">
      <x:c r="A349" s="2" t="str">
        <x:v>S005</x:v>
      </x:c>
      <x:c r="B349" s="2" t="n">
        <x:v>29</x:v>
      </x:c>
      <x:c r="C349" s="40" t="n">
        <x:v>25</x:v>
      </x:c>
      <x:c r="D349" s="40" t="n">
        <x:v>30</x:v>
      </x:c>
      <x:c r="E349" s="40" t="n">
        <x:v>80</x:v>
      </x:c>
      <x:c r="F349" s="13" t="str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</x:row>
    <x:row r="350" ht="27" customHeight="1">
      <x:c r="A350" s="2" t="str">
        <x:v>S005</x:v>
      </x:c>
      <x:c r="B350" s="2" t="n">
        <x:v>30</x:v>
      </x:c>
      <x:c r="C350" s="40" t="n">
        <x:v>25</x:v>
      </x:c>
      <x:c r="D350" s="40" t="n">
        <x:v>30</x:v>
      </x:c>
      <x:c r="E350" s="40" t="n">
        <x:v>80</x:v>
      </x:c>
      <x:c r="F350" s="13" t="str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</x:row>
    <x:row r="351" ht="27" customHeight="1">
      <x:c r="A351" s="2" t="str">
        <x:v>S005</x:v>
      </x:c>
      <x:c r="B351" s="2" t="n">
        <x:v>31</x:v>
      </x:c>
      <x:c r="C351" s="40" t="n">
        <x:v>25</x:v>
      </x:c>
      <x:c r="D351" s="40" t="n">
        <x:v>30</x:v>
      </x:c>
      <x:c r="E351" s="40" t="n">
        <x:v>80</x:v>
      </x:c>
      <x:c r="F351" s="13" t="str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</x:row>
    <x:row r="352" ht="27" customHeight="1">
      <x:c r="A352" s="2" t="str">
        <x:v>S005</x:v>
      </x:c>
      <x:c r="B352" s="2" t="n">
        <x:v>32</x:v>
      </x:c>
      <x:c r="C352" s="40" t="n">
        <x:v>25</x:v>
      </x:c>
      <x:c r="D352" s="40" t="n">
        <x:v>30</x:v>
      </x:c>
      <x:c r="E352" s="40" t="n">
        <x:v>80</x:v>
      </x:c>
      <x:c r="F352" s="13" t="str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</x:row>
    <x:row r="353" ht="27" customHeight="1">
      <x:c r="A353" s="2" t="str">
        <x:v>S005</x:v>
      </x:c>
      <x:c r="B353" s="2" t="n">
        <x:v>33</x:v>
      </x:c>
      <x:c r="C353" s="40" t="n">
        <x:v>25</x:v>
      </x:c>
      <x:c r="D353" s="40" t="n">
        <x:v>30</x:v>
      </x:c>
      <x:c r="E353" s="40" t="n">
        <x:v>80</x:v>
      </x:c>
      <x:c r="F353" s="13" t="str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</x:row>
    <x:row r="354" ht="27" customHeight="1">
      <x:c r="A354" s="2" t="str">
        <x:v>S005</x:v>
      </x:c>
      <x:c r="B354" s="2" t="n">
        <x:v>34</x:v>
      </x:c>
      <x:c r="C354" s="40" t="n">
        <x:v>25</x:v>
      </x:c>
      <x:c r="D354" s="40" t="n">
        <x:v>30</x:v>
      </x:c>
      <x:c r="E354" s="40" t="n">
        <x:v>79.83675599098206</x:v>
      </x:c>
      <x:c r="F354" s="13" t="str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</x:row>
    <x:row r="355" ht="27" customHeight="1">
      <x:c r="A355" s="2" t="str">
        <x:v>S005</x:v>
      </x:c>
      <x:c r="B355" s="2" t="n">
        <x:v>35</x:v>
      </x:c>
      <x:c r="C355" s="40" t="n">
        <x:v>25</x:v>
      </x:c>
      <x:c r="D355" s="40" t="n">
        <x:v>30</x:v>
      </x:c>
      <x:c r="E355" s="40" t="n">
        <x:v>78.7723833322525</x:v>
      </x:c>
      <x:c r="F355" s="13" t="str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</x:row>
    <x:row r="356" ht="27" customHeight="1">
      <x:c r="A356" s="2" t="str">
        <x:v>S005</x:v>
      </x:c>
      <x:c r="B356" s="2" t="n">
        <x:v>36</x:v>
      </x:c>
      <x:c r="C356" s="40" t="n">
        <x:v>25</x:v>
      </x:c>
      <x:c r="D356" s="40" t="n">
        <x:v>30</x:v>
      </x:c>
      <x:c r="E356" s="40" t="n">
        <x:v>77.65053987503052</x:v>
      </x:c>
      <x:c r="F356" s="13" t="str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</x:row>
    <x:row r="357" ht="27" customHeight="1">
      <x:c r="A357" s="2" t="str">
        <x:v>S005</x:v>
      </x:c>
      <x:c r="B357" s="2" t="n">
        <x:v>37</x:v>
      </x:c>
      <x:c r="C357" s="40" t="n">
        <x:v>25</x:v>
      </x:c>
      <x:c r="D357" s="40" t="n">
        <x:v>30</x:v>
      </x:c>
      <x:c r="E357" s="40" t="n">
        <x:v>76.46634101867676</x:v>
      </x:c>
      <x:c r="F357" s="13" t="str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</x:row>
    <x:row r="358" ht="27" customHeight="1">
      <x:c r="A358" s="2" t="str">
        <x:v>S005</x:v>
      </x:c>
      <x:c r="B358" s="2" t="n">
        <x:v>38</x:v>
      </x:c>
      <x:c r="C358" s="40" t="n">
        <x:v>25</x:v>
      </x:c>
      <x:c r="D358" s="40" t="n">
        <x:v>30</x:v>
      </x:c>
      <x:c r="E358" s="40" t="n">
        <x:v>75.21431744098663</x:v>
      </x:c>
      <x:c r="F358" s="13" t="str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</x:row>
    <x:row r="359" ht="27" customHeight="1">
      <x:c r="A359" s="2" t="str">
        <x:v>S005</x:v>
      </x:c>
      <x:c r="B359" s="2" t="n">
        <x:v>39</x:v>
      </x:c>
      <x:c r="C359" s="40" t="n">
        <x:v>25</x:v>
      </x:c>
      <x:c r="D359" s="40" t="n">
        <x:v>30</x:v>
      </x:c>
      <x:c r="E359" s="40" t="n">
        <x:v>73.88831675052643</x:v>
      </x:c>
      <x:c r="F359" s="13" t="str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</x:row>
    <x:row r="360" ht="27" customHeight="1">
      <x:c r="A360" s="2" t="str">
        <x:v>S005</x:v>
      </x:c>
      <x:c r="B360" s="2" t="n">
        <x:v>40</x:v>
      </x:c>
      <x:c r="C360" s="40" t="n">
        <x:v>25</x:v>
      </x:c>
      <x:c r="D360" s="40" t="n">
        <x:v>30</x:v>
      </x:c>
      <x:c r="E360" s="40" t="n">
        <x:v>72.48139321804047</x:v>
      </x:c>
      <x:c r="F360" s="13" t="str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</x:row>
    <x:row r="361" ht="27" customHeight="1">
      <x:c r="A361" s="2" t="str">
        <x:v>S005</x:v>
      </x:c>
      <x:c r="B361" s="2" t="n">
        <x:v>41</x:v>
      </x:c>
      <x:c r="C361" s="40" t="n">
        <x:v>25</x:v>
      </x:c>
      <x:c r="D361" s="40" t="n">
        <x:v>30</x:v>
      </x:c>
      <x:c r="E361" s="40" t="n">
        <x:v>70.9856653213501</x:v>
      </x:c>
      <x:c r="F361" s="13" t="str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</x:row>
    <x:row r="362" ht="27" customHeight="1">
      <x:c r="A362" s="2" t="str">
        <x:v>S005</x:v>
      </x:c>
      <x:c r="B362" s="2" t="n">
        <x:v>42</x:v>
      </x:c>
      <x:c r="C362" s="40" t="n">
        <x:v>25</x:v>
      </x:c>
      <x:c r="D362" s="40" t="n">
        <x:v>30</x:v>
      </x:c>
      <x:c r="E362" s="40" t="n">
        <x:v>69.39214587211609</x:v>
      </x:c>
      <x:c r="F362" s="13" t="str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</x:row>
    <x:row r="363" ht="27" customHeight="1">
      <x:c r="A363" s="2" t="str">
        <x:v>S005</x:v>
      </x:c>
      <x:c r="B363" s="2" t="n">
        <x:v>43</x:v>
      </x:c>
      <x:c r="C363" s="40" t="n">
        <x:v>25</x:v>
      </x:c>
      <x:c r="D363" s="40" t="n">
        <x:v>30</x:v>
      </x:c>
      <x:c r="E363" s="40" t="n">
        <x:v>67.69052565097809</x:v>
      </x:c>
      <x:c r="F363" s="13" t="str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</x:row>
    <x:row r="364" ht="27" customHeight="1">
      <x:c r="A364" s="2" t="str">
        <x:v>S005</x:v>
      </x:c>
      <x:c r="B364" s="2" t="n">
        <x:v>44</x:v>
      </x:c>
      <x:c r="C364" s="40" t="n">
        <x:v>25</x:v>
      </x:c>
      <x:c r="D364" s="40" t="n">
        <x:v>30</x:v>
      </x:c>
      <x:c r="E364" s="40" t="n">
        <x:v>65.86890816688538</x:v>
      </x:c>
      <x:c r="F364" s="13" t="str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</x:row>
    <x:row r="365" ht="27" customHeight="1">
      <x:c r="A365" s="2" t="str">
        <x:v>S005</x:v>
      </x:c>
      <x:c r="B365" s="2" t="n">
        <x:v>45</x:v>
      </x:c>
      <x:c r="C365" s="40" t="n">
        <x:v>25</x:v>
      </x:c>
      <x:c r="D365" s="40" t="n">
        <x:v>30</x:v>
      </x:c>
      <x:c r="E365" s="40" t="n">
        <x:v>63.91346037387848</x:v>
      </x:c>
      <x:c r="F365" s="13" t="str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</x:row>
    <x:row r="366" ht="27" customHeight="1">
      <x:c r="A366" s="2" t="str">
        <x:v>S005</x:v>
      </x:c>
      <x:c r="B366" s="2" t="n">
        <x:v>46</x:v>
      </x:c>
      <x:c r="C366" s="40" t="n">
        <x:v>25</x:v>
      </x:c>
      <x:c r="D366" s="40" t="n">
        <x:v>29.630655348300934</x:v>
      </x:c>
      <x:c r="E366" s="40" t="n">
        <x:v>61.80796980857849</x:v>
      </x:c>
      <x:c r="F366" s="13" t="str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</x:row>
    <x:row r="367" ht="27" customHeight="1">
      <x:c r="A367" s="2" t="str">
        <x:v>S005</x:v>
      </x:c>
      <x:c r="B367" s="2" t="n">
        <x:v>47</x:v>
      </x:c>
      <x:c r="C367" s="40" t="n">
        <x:v>25</x:v>
      </x:c>
      <x:c r="D367" s="40" t="n">
        <x:v>28.776642680168152</x:v>
      </x:c>
      <x:c r="E367" s="40" t="n">
        <x:v>59.53325271606445</x:v>
      </x:c>
      <x:c r="F367" s="13" t="str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</x:row>
    <x:row r="368" ht="27" customHeight="1">
      <x:c r="A368" s="2" t="str">
        <x:v>S005</x:v>
      </x:c>
      <x:c r="B368" s="2" t="n">
        <x:v>48</x:v>
      </x:c>
      <x:c r="C368" s="40" t="n">
        <x:v>25</x:v>
      </x:c>
      <x:c r="D368" s="40" t="n">
        <x:v>27.854774594306946</x:v>
      </x:c>
      <x:c r="E368" s="40" t="n">
        <x:v>57.06635594367981</x:v>
      </x:c>
      <x:c r="F368" s="13" t="str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</x:row>
    <x:row r="369" ht="27" customHeight="1">
      <x:c r="A369" s="2" t="str">
        <x:v>S005</x:v>
      </x:c>
      <x:c r="B369" s="2" t="n">
        <x:v>49</x:v>
      </x:c>
      <x:c r="C369" s="40" t="n">
        <x:v>25</x:v>
      </x:c>
      <x:c r="D369" s="40" t="n">
        <x:v>26.856115758419037</x:v>
      </x:c>
      <x:c r="E369" s="40" t="n">
        <x:v>54.37945365905762</x:v>
      </x:c>
      <x:c r="F369" s="13" t="str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</x:row>
    <x:row r="370" ht="27" customHeight="1">
      <x:c r="A370" s="2" t="str">
        <x:v>S005</x:v>
      </x:c>
      <x:c r="B370" s="2" t="n">
        <x:v>50</x:v>
      </x:c>
      <x:c r="C370" s="40" t="n">
        <x:v>25</x:v>
      </x:c>
      <x:c r="D370" s="40" t="n">
        <x:v>25.769942700862885</x:v>
      </x:c>
      <x:c r="E370" s="40" t="n">
        <x:v>51.43826365470886</x:v>
      </x:c>
      <x:c r="F370" s="13" t="str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</x:row>
    <x:row r="371" ht="27" customHeight="1">
      <x:c r="A371" s="2" t="str">
        <x:v>S005</x:v>
      </x:c>
      <x:c r="B371" s="2" t="n">
        <x:v>51</x:v>
      </x:c>
      <x:c r="C371" s="40" t="n">
        <x:v>22.735541313886642</x:v>
      </x:c>
      <x:c r="D371" s="40" t="n">
        <x:v>24.583206474781036</x:v>
      </x:c>
      <x:c r="E371" s="40" t="n">
        <x:v>48.199702501297</x:v>
      </x:c>
      <x:c r="F371" s="13" t="str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</x:row>
    <x:row r="372" ht="27" customHeight="1">
      <x:c r="A372" s="2" t="str">
        <x:v>S005</x:v>
      </x:c>
      <x:c r="B372" s="2" t="n">
        <x:v>52</x:v>
      </x:c>
      <x:c r="C372" s="40" t="n">
        <x:v>19.847724586725235</x:v>
      </x:c>
      <x:c r="D372" s="40" t="n">
        <x:v>23.279778957366943</x:v>
      </x:c>
      <x:c r="E372" s="40" t="n">
        <x:v>44.608222246170044</x:v>
      </x:c>
      <x:c r="F372" s="13" t="str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</x:row>
    <x:row r="373" ht="27" customHeight="1">
      <x:c r="A373" s="2" t="str">
        <x:v>S005</x:v>
      </x:c>
      <x:c r="B373" s="2" t="n">
        <x:v>53</x:v>
      </x:c>
      <x:c r="C373" s="40" t="n">
        <x:v>16.498272120952606</x:v>
      </x:c>
      <x:c r="D373" s="40" t="n">
        <x:v>21.83932363986969</x:v>
      </x:c>
      <x:c r="E373" s="40" t="n">
        <x:v>40.589749217033386</x:v>
      </x:c>
      <x:c r="F373" s="13" t="str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</x:row>
    <x:row r="374" ht="27" customHeight="1">
      <x:c r="A374" s="2" t="str">
        <x:v>S005</x:v>
      </x:c>
      <x:c r="B374" s="2" t="n">
        <x:v>54</x:v>
      </x:c>
      <x:c r="C374" s="40" t="n">
        <x:v>12.483558058738708</x:v>
      </x:c>
      <x:c r="D374" s="40" t="n">
        <x:v>20.23553431034088</x:v>
      </x:c>
      <x:c r="E374" s="40" t="n">
        <x:v>36.0407829284668</x:v>
      </x:c>
      <x:c r="F374" s="13" t="str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</x:row>
    <x:row r="375" ht="27" customHeight="1">
      <x:c r="A375" s="2" t="str">
        <x:v>S005</x:v>
      </x:c>
      <x:c r="B375" s="2" t="n">
        <x:v>55</x:v>
      </x:c>
      <x:c r="C375" s="40" t="n">
        <x:v>7.313037663698196</x:v>
      </x:c>
      <x:c r="D375" s="40" t="n">
        <x:v>18.43322217464447</x:v>
      </x:c>
      <x:c r="E375" s="40" t="n">
        <x:v>30.806493759155273</x:v>
      </x:c>
      <x:c r="F375" s="13" t="str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</x:row>
    <x:row r="376" ht="27" customHeight="1">
      <x:c r="A376" s="2" t="str">
        <x:v>S005</x:v>
      </x:c>
      <x:c r="B376" s="2" t="n">
        <x:v>56</x:v>
      </x:c>
      <x:c r="C376" s="40"/>
      <x:c r="D376" s="40" t="n">
        <x:v>16.383073925971985</x:v>
      </x:c>
      <x:c r="E376" s="40" t="n">
        <x:v>24.62874412536621</x:v>
      </x:c>
      <x:c r="F376" s="13" t="str">
        <x:v>A型空载也不可行</x:v>
      </x:c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</x:row>
    <x:row r="377" ht="27" customHeight="1">
      <x:c r="A377" s="2" t="str">
        <x:v>S005</x:v>
      </x:c>
      <x:c r="B377" s="2" t="n">
        <x:v>57</x:v>
      </x:c>
      <x:c r="C377" s="40"/>
      <x:c r="D377" s="40" t="n">
        <x:v>14.011085629463196</x:v>
      </x:c>
      <x:c r="E377" s="40" t="n">
        <x:v>16.98302686214447</x:v>
      </x:c>
      <x:c r="F377" s="13" t="str">
        <x:v>A型空载也不可行</x:v>
      </x:c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</x:row>
    <x:row r="378" ht="27" customHeight="1">
      <x:c r="A378" s="2" t="str">
        <x:v>S005</x:v>
      </x:c>
      <x:c r="B378" s="2" t="n">
        <x:v>58</x:v>
      </x:c>
      <x:c r="C378" s="40"/>
      <x:c r="D378" s="40" t="n">
        <x:v>11.193386614322662</x:v>
      </x:c>
      <x:c r="E378" s="40" t="n">
        <x:v>6.077924370765686</x:v>
      </x:c>
      <x:c r="F378" s="13" t="str">
        <x:v>A型空载也不可行</x:v>
      </x:c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</x:row>
    <x:row r="379" ht="27" customHeight="1">
      <x:c r="A379" s="2" t="str">
        <x:v>S005</x:v>
      </x:c>
      <x:c r="B379" s="2" t="n">
        <x:v>59</x:v>
      </x:c>
      <x:c r="C379" s="40"/>
      <x:c r="D379" s="40" t="n">
        <x:v>7.676282823085785</x:v>
      </x:c>
      <x:c r="E379" s="40"/>
      <x:c r="F379" s="13" t="str">
        <x:v>A型空载也不可行；C型空载也不可行</x:v>
      </x:c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</x:row>
    <x:row r="380" ht="27" customHeight="1">
      <x:c r="A380" s="2" t="str">
        <x:v>S005</x:v>
      </x:c>
      <x:c r="B380" s="2" t="n">
        <x:v>60</x:v>
      </x:c>
      <x:c r="C380" s="40"/>
      <x:c r="D380" s="40" t="n">
        <x:v>2.560676336288452</x:v>
      </x:c>
      <x:c r="E380" s="40"/>
      <x:c r="F380" s="13" t="str">
        <x:v>A型空载也不可行；C型空载也不可行</x:v>
      </x:c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</x:row>
    <x:row r="381" ht="27" customHeight="1">
      <x:c r="A381" s="2" t="str">
        <x:v>S006</x:v>
      </x:c>
      <x:c r="B381" s="2" t="n">
        <x:v>0</x:v>
      </x:c>
      <x:c r="C381" s="40" t="n">
        <x:v>25</x:v>
      </x:c>
      <x:c r="D381" s="40" t="n">
        <x:v>30</x:v>
      </x:c>
      <x:c r="E381" s="40" t="n">
        <x:v>80</x:v>
      </x:c>
      <x:c r="F381" s="13" t="str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</x:row>
    <x:row r="382" ht="27" customHeight="1">
      <x:c r="A382" s="2" t="str">
        <x:v>S006</x:v>
      </x:c>
      <x:c r="B382" s="2" t="n">
        <x:v>1</x:v>
      </x:c>
      <x:c r="C382" s="40" t="n">
        <x:v>25</x:v>
      </x:c>
      <x:c r="D382" s="40" t="n">
        <x:v>30</x:v>
      </x:c>
      <x:c r="E382" s="40" t="n">
        <x:v>80</x:v>
      </x:c>
      <x:c r="F382" s="13" t="str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</x:row>
    <x:row r="383" ht="27" customHeight="1">
      <x:c r="A383" s="2" t="str">
        <x:v>S006</x:v>
      </x:c>
      <x:c r="B383" s="2" t="n">
        <x:v>2</x:v>
      </x:c>
      <x:c r="C383" s="40" t="n">
        <x:v>25</x:v>
      </x:c>
      <x:c r="D383" s="40" t="n">
        <x:v>30</x:v>
      </x:c>
      <x:c r="E383" s="40" t="n">
        <x:v>80</x:v>
      </x:c>
      <x:c r="F383" s="13" t="str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</x:row>
    <x:row r="384" ht="27" customHeight="1">
      <x:c r="A384" s="2" t="str">
        <x:v>S006</x:v>
      </x:c>
      <x:c r="B384" s="2" t="n">
        <x:v>3</x:v>
      </x:c>
      <x:c r="C384" s="40" t="n">
        <x:v>25</x:v>
      </x:c>
      <x:c r="D384" s="40" t="n">
        <x:v>30</x:v>
      </x:c>
      <x:c r="E384" s="40" t="n">
        <x:v>80</x:v>
      </x:c>
      <x:c r="F384" s="13" t="str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</x:row>
    <x:row r="385" ht="27" customHeight="1">
      <x:c r="A385" s="2" t="str">
        <x:v>S006</x:v>
      </x:c>
      <x:c r="B385" s="2" t="n">
        <x:v>4</x:v>
      </x:c>
      <x:c r="C385" s="40" t="n">
        <x:v>25</x:v>
      </x:c>
      <x:c r="D385" s="40" t="n">
        <x:v>30</x:v>
      </x:c>
      <x:c r="E385" s="40" t="n">
        <x:v>80</x:v>
      </x:c>
      <x:c r="F385" s="13" t="str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</x:row>
    <x:row r="386" ht="27" customHeight="1">
      <x:c r="A386" s="2" t="str">
        <x:v>S006</x:v>
      </x:c>
      <x:c r="B386" s="2" t="n">
        <x:v>5</x:v>
      </x:c>
      <x:c r="C386" s="40" t="n">
        <x:v>25</x:v>
      </x:c>
      <x:c r="D386" s="40" t="n">
        <x:v>30</x:v>
      </x:c>
      <x:c r="E386" s="40" t="n">
        <x:v>80</x:v>
      </x:c>
      <x:c r="F386" s="13" t="str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</x:row>
    <x:row r="387" ht="27" customHeight="1">
      <x:c r="A387" s="2" t="str">
        <x:v>S006</x:v>
      </x:c>
      <x:c r="B387" s="2" t="n">
        <x:v>6</x:v>
      </x:c>
      <x:c r="C387" s="40" t="n">
        <x:v>25</x:v>
      </x:c>
      <x:c r="D387" s="40" t="n">
        <x:v>30</x:v>
      </x:c>
      <x:c r="E387" s="40" t="n">
        <x:v>80</x:v>
      </x:c>
      <x:c r="F387" s="13" t="str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</x:row>
    <x:row r="388" ht="27" customHeight="1">
      <x:c r="A388" s="2" t="str">
        <x:v>S006</x:v>
      </x:c>
      <x:c r="B388" s="2" t="n">
        <x:v>7</x:v>
      </x:c>
      <x:c r="C388" s="40" t="n">
        <x:v>25</x:v>
      </x:c>
      <x:c r="D388" s="40" t="n">
        <x:v>30</x:v>
      </x:c>
      <x:c r="E388" s="40" t="n">
        <x:v>80</x:v>
      </x:c>
      <x:c r="F388" s="13" t="str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</x:row>
    <x:row r="389" ht="27" customHeight="1">
      <x:c r="A389" s="2" t="str">
        <x:v>S006</x:v>
      </x:c>
      <x:c r="B389" s="2" t="n">
        <x:v>8</x:v>
      </x:c>
      <x:c r="C389" s="40" t="n">
        <x:v>25</x:v>
      </x:c>
      <x:c r="D389" s="40" t="n">
        <x:v>30</x:v>
      </x:c>
      <x:c r="E389" s="40" t="n">
        <x:v>80</x:v>
      </x:c>
      <x:c r="F389" s="13" t="str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</x:row>
    <x:row r="390" ht="27" customHeight="1">
      <x:c r="A390" s="2" t="str">
        <x:v>S006</x:v>
      </x:c>
      <x:c r="B390" s="2" t="n">
        <x:v>9</x:v>
      </x:c>
      <x:c r="C390" s="40" t="n">
        <x:v>25</x:v>
      </x:c>
      <x:c r="D390" s="40" t="n">
        <x:v>30</x:v>
      </x:c>
      <x:c r="E390" s="40" t="n">
        <x:v>80</x:v>
      </x:c>
      <x:c r="F390" s="13" t="str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</x:row>
    <x:row r="391" ht="27" customHeight="1">
      <x:c r="A391" s="2" t="str">
        <x:v>S006</x:v>
      </x:c>
      <x:c r="B391" s="2" t="n">
        <x:v>10</x:v>
      </x:c>
      <x:c r="C391" s="40" t="n">
        <x:v>25</x:v>
      </x:c>
      <x:c r="D391" s="40" t="n">
        <x:v>30</x:v>
      </x:c>
      <x:c r="E391" s="40" t="n">
        <x:v>80</x:v>
      </x:c>
      <x:c r="F391" s="13" t="str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</x:row>
    <x:row r="392" ht="27" customHeight="1">
      <x:c r="A392" s="2" t="str">
        <x:v>S006</x:v>
      </x:c>
      <x:c r="B392" s="2" t="n">
        <x:v>11</x:v>
      </x:c>
      <x:c r="C392" s="40" t="n">
        <x:v>25</x:v>
      </x:c>
      <x:c r="D392" s="40" t="n">
        <x:v>30</x:v>
      </x:c>
      <x:c r="E392" s="40" t="n">
        <x:v>80</x:v>
      </x:c>
      <x:c r="F392" s="13" t="str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</x:row>
    <x:row r="393" ht="27" customHeight="1">
      <x:c r="A393" s="2" t="str">
        <x:v>S006</x:v>
      </x:c>
      <x:c r="B393" s="2" t="n">
        <x:v>12</x:v>
      </x:c>
      <x:c r="C393" s="40" t="n">
        <x:v>25</x:v>
      </x:c>
      <x:c r="D393" s="40" t="n">
        <x:v>30</x:v>
      </x:c>
      <x:c r="E393" s="40" t="n">
        <x:v>80</x:v>
      </x:c>
      <x:c r="F393" s="13" t="str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</x:row>
    <x:row r="394" ht="27" customHeight="1">
      <x:c r="A394" s="2" t="str">
        <x:v>S006</x:v>
      </x:c>
      <x:c r="B394" s="2" t="n">
        <x:v>13</x:v>
      </x:c>
      <x:c r="C394" s="40" t="n">
        <x:v>25</x:v>
      </x:c>
      <x:c r="D394" s="40" t="n">
        <x:v>30</x:v>
      </x:c>
      <x:c r="E394" s="40" t="n">
        <x:v>80</x:v>
      </x:c>
      <x:c r="F394" s="13" t="str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</x:row>
    <x:row r="395" ht="27" customHeight="1">
      <x:c r="A395" s="2" t="str">
        <x:v>S006</x:v>
      </x:c>
      <x:c r="B395" s="2" t="n">
        <x:v>14</x:v>
      </x:c>
      <x:c r="C395" s="40" t="n">
        <x:v>25</x:v>
      </x:c>
      <x:c r="D395" s="40" t="n">
        <x:v>30</x:v>
      </x:c>
      <x:c r="E395" s="40" t="n">
        <x:v>80</x:v>
      </x:c>
      <x:c r="F395" s="13" t="str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</x:row>
    <x:row r="396" ht="27" customHeight="1">
      <x:c r="A396" s="2" t="str">
        <x:v>S006</x:v>
      </x:c>
      <x:c r="B396" s="2" t="n">
        <x:v>15</x:v>
      </x:c>
      <x:c r="C396" s="40" t="n">
        <x:v>25</x:v>
      </x:c>
      <x:c r="D396" s="40" t="n">
        <x:v>30</x:v>
      </x:c>
      <x:c r="E396" s="40" t="n">
        <x:v>80</x:v>
      </x:c>
      <x:c r="F396" s="13" t="str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</x:row>
    <x:row r="397" ht="27" customHeight="1">
      <x:c r="A397" s="2" t="str">
        <x:v>S006</x:v>
      </x:c>
      <x:c r="B397" s="2" t="n">
        <x:v>16</x:v>
      </x:c>
      <x:c r="C397" s="40" t="n">
        <x:v>25</x:v>
      </x:c>
      <x:c r="D397" s="40" t="n">
        <x:v>30</x:v>
      </x:c>
      <x:c r="E397" s="40" t="n">
        <x:v>80</x:v>
      </x:c>
      <x:c r="F397" s="13" t="str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</x:row>
    <x:row r="398" ht="27" customHeight="1">
      <x:c r="A398" s="2" t="str">
        <x:v>S006</x:v>
      </x:c>
      <x:c r="B398" s="2" t="n">
        <x:v>17</x:v>
      </x:c>
      <x:c r="C398" s="40" t="n">
        <x:v>25</x:v>
      </x:c>
      <x:c r="D398" s="40" t="n">
        <x:v>30</x:v>
      </x:c>
      <x:c r="E398" s="40" t="n">
        <x:v>80</x:v>
      </x:c>
      <x:c r="F398" s="13" t="str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</x:row>
    <x:row r="399" ht="27" customHeight="1">
      <x:c r="A399" s="2" t="str">
        <x:v>S006</x:v>
      </x:c>
      <x:c r="B399" s="2" t="n">
        <x:v>18</x:v>
      </x:c>
      <x:c r="C399" s="40" t="n">
        <x:v>25</x:v>
      </x:c>
      <x:c r="D399" s="40" t="n">
        <x:v>30</x:v>
      </x:c>
      <x:c r="E399" s="40" t="n">
        <x:v>80</x:v>
      </x:c>
      <x:c r="F399" s="13" t="str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</x:row>
    <x:row r="400" ht="27" customHeight="1">
      <x:c r="A400" s="2" t="str">
        <x:v>S006</x:v>
      </x:c>
      <x:c r="B400" s="2" t="n">
        <x:v>19</x:v>
      </x:c>
      <x:c r="C400" s="40" t="n">
        <x:v>25</x:v>
      </x:c>
      <x:c r="D400" s="40" t="n">
        <x:v>30</x:v>
      </x:c>
      <x:c r="E400" s="40" t="n">
        <x:v>80</x:v>
      </x:c>
      <x:c r="F400" s="13" t="str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</x:row>
    <x:row r="401" ht="27" customHeight="1">
      <x:c r="A401" s="2" t="str">
        <x:v>S006</x:v>
      </x:c>
      <x:c r="B401" s="2" t="n">
        <x:v>20</x:v>
      </x:c>
      <x:c r="C401" s="40" t="n">
        <x:v>25</x:v>
      </x:c>
      <x:c r="D401" s="40" t="n">
        <x:v>30</x:v>
      </x:c>
      <x:c r="E401" s="40" t="n">
        <x:v>80</x:v>
      </x:c>
      <x:c r="F401" s="13" t="str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</x:row>
    <x:row r="402" ht="27" customHeight="1">
      <x:c r="A402" s="2" t="str">
        <x:v>S006</x:v>
      </x:c>
      <x:c r="B402" s="2" t="n">
        <x:v>21</x:v>
      </x:c>
      <x:c r="C402" s="40" t="n">
        <x:v>25</x:v>
      </x:c>
      <x:c r="D402" s="40" t="n">
        <x:v>30</x:v>
      </x:c>
      <x:c r="E402" s="40" t="n">
        <x:v>80</x:v>
      </x:c>
      <x:c r="F402" s="13" t="str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</x:row>
    <x:row r="403" ht="27" customHeight="1">
      <x:c r="A403" s="2" t="str">
        <x:v>S006</x:v>
      </x:c>
      <x:c r="B403" s="2" t="n">
        <x:v>22</x:v>
      </x:c>
      <x:c r="C403" s="40" t="n">
        <x:v>25</x:v>
      </x:c>
      <x:c r="D403" s="40" t="n">
        <x:v>30</x:v>
      </x:c>
      <x:c r="E403" s="40" t="n">
        <x:v>80</x:v>
      </x:c>
      <x:c r="F403" s="13" t="str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</x:row>
    <x:row r="404" ht="27" customHeight="1">
      <x:c r="A404" s="2" t="str">
        <x:v>S006</x:v>
      </x:c>
      <x:c r="B404" s="2" t="n">
        <x:v>23</x:v>
      </x:c>
      <x:c r="C404" s="40" t="n">
        <x:v>25</x:v>
      </x:c>
      <x:c r="D404" s="40" t="n">
        <x:v>30</x:v>
      </x:c>
      <x:c r="E404" s="40" t="n">
        <x:v>80</x:v>
      </x:c>
      <x:c r="F404" s="13" t="str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</x:row>
    <x:row r="405" ht="27" customHeight="1">
      <x:c r="A405" s="2" t="str">
        <x:v>S006</x:v>
      </x:c>
      <x:c r="B405" s="2" t="n">
        <x:v>24</x:v>
      </x:c>
      <x:c r="C405" s="40" t="n">
        <x:v>25</x:v>
      </x:c>
      <x:c r="D405" s="40" t="n">
        <x:v>30</x:v>
      </x:c>
      <x:c r="E405" s="40" t="n">
        <x:v>80</x:v>
      </x:c>
      <x:c r="F405" s="13" t="str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</x:row>
    <x:row r="406" ht="27" customHeight="1">
      <x:c r="A406" s="2" t="str">
        <x:v>S006</x:v>
      </x:c>
      <x:c r="B406" s="2" t="n">
        <x:v>25</x:v>
      </x:c>
      <x:c r="C406" s="40" t="n">
        <x:v>25</x:v>
      </x:c>
      <x:c r="D406" s="40" t="n">
        <x:v>30</x:v>
      </x:c>
      <x:c r="E406" s="40" t="n">
        <x:v>80</x:v>
      </x:c>
      <x:c r="F406" s="13" t="str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</x:row>
    <x:row r="407" ht="27" customHeight="1">
      <x:c r="A407" s="2" t="str">
        <x:v>S006</x:v>
      </x:c>
      <x:c r="B407" s="2" t="n">
        <x:v>26</x:v>
      </x:c>
      <x:c r="C407" s="40" t="n">
        <x:v>25</x:v>
      </x:c>
      <x:c r="D407" s="40" t="n">
        <x:v>30</x:v>
      </x:c>
      <x:c r="E407" s="40" t="n">
        <x:v>80</x:v>
      </x:c>
      <x:c r="F407" s="13" t="str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</x:row>
    <x:row r="408" ht="27" customHeight="1">
      <x:c r="A408" s="2" t="str">
        <x:v>S006</x:v>
      </x:c>
      <x:c r="B408" s="2" t="n">
        <x:v>27</x:v>
      </x:c>
      <x:c r="C408" s="40" t="n">
        <x:v>25</x:v>
      </x:c>
      <x:c r="D408" s="40" t="n">
        <x:v>30</x:v>
      </x:c>
      <x:c r="E408" s="40" t="n">
        <x:v>80</x:v>
      </x:c>
      <x:c r="F408" s="13" t="str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</x:row>
    <x:row r="409" ht="27" customHeight="1">
      <x:c r="A409" s="2" t="str">
        <x:v>S006</x:v>
      </x:c>
      <x:c r="B409" s="2" t="n">
        <x:v>28</x:v>
      </x:c>
      <x:c r="C409" s="40" t="n">
        <x:v>25</x:v>
      </x:c>
      <x:c r="D409" s="40" t="n">
        <x:v>30</x:v>
      </x:c>
      <x:c r="E409" s="40" t="n">
        <x:v>80</x:v>
      </x:c>
      <x:c r="F409" s="13" t="str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</x:row>
    <x:row r="410" ht="27" customHeight="1">
      <x:c r="A410" s="2" t="str">
        <x:v>S006</x:v>
      </x:c>
      <x:c r="B410" s="2" t="n">
        <x:v>29</x:v>
      </x:c>
      <x:c r="C410" s="40" t="n">
        <x:v>25</x:v>
      </x:c>
      <x:c r="D410" s="40" t="n">
        <x:v>30</x:v>
      </x:c>
      <x:c r="E410" s="40" t="n">
        <x:v>80</x:v>
      </x:c>
      <x:c r="F410" s="13" t="str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</x:row>
    <x:row r="411" ht="27" customHeight="1">
      <x:c r="A411" s="2" t="str">
        <x:v>S006</x:v>
      </x:c>
      <x:c r="B411" s="2" t="n">
        <x:v>30</x:v>
      </x:c>
      <x:c r="C411" s="40" t="n">
        <x:v>25</x:v>
      </x:c>
      <x:c r="D411" s="40" t="n">
        <x:v>30</x:v>
      </x:c>
      <x:c r="E411" s="40" t="n">
        <x:v>80</x:v>
      </x:c>
      <x:c r="F411" s="13" t="str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</x:row>
    <x:row r="412" ht="27" customHeight="1">
      <x:c r="A412" s="2" t="str">
        <x:v>S006</x:v>
      </x:c>
      <x:c r="B412" s="2" t="n">
        <x:v>31</x:v>
      </x:c>
      <x:c r="C412" s="40" t="n">
        <x:v>25</x:v>
      </x:c>
      <x:c r="D412" s="40" t="n">
        <x:v>30</x:v>
      </x:c>
      <x:c r="E412" s="40" t="n">
        <x:v>80</x:v>
      </x:c>
      <x:c r="F412" s="13" t="str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</x:row>
    <x:row r="413" ht="27" customHeight="1">
      <x:c r="A413" s="2" t="str">
        <x:v>S006</x:v>
      </x:c>
      <x:c r="B413" s="2" t="n">
        <x:v>32</x:v>
      </x:c>
      <x:c r="C413" s="40" t="n">
        <x:v>25</x:v>
      </x:c>
      <x:c r="D413" s="40" t="n">
        <x:v>30</x:v>
      </x:c>
      <x:c r="E413" s="40" t="n">
        <x:v>80</x:v>
      </x:c>
      <x:c r="F413" s="13" t="str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</x:row>
    <x:row r="414" ht="27" customHeight="1">
      <x:c r="A414" s="2" t="str">
        <x:v>S006</x:v>
      </x:c>
      <x:c r="B414" s="2" t="n">
        <x:v>33</x:v>
      </x:c>
      <x:c r="C414" s="40" t="n">
        <x:v>25</x:v>
      </x:c>
      <x:c r="D414" s="40" t="n">
        <x:v>30</x:v>
      </x:c>
      <x:c r="E414" s="40" t="n">
        <x:v>80</x:v>
      </x:c>
      <x:c r="F414" s="13" t="str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</x:row>
    <x:row r="415" ht="27" customHeight="1">
      <x:c r="A415" s="2" t="str">
        <x:v>S006</x:v>
      </x:c>
      <x:c r="B415" s="2" t="n">
        <x:v>34</x:v>
      </x:c>
      <x:c r="C415" s="40" t="n">
        <x:v>25</x:v>
      </x:c>
      <x:c r="D415" s="40" t="n">
        <x:v>30</x:v>
      </x:c>
      <x:c r="E415" s="40" t="n">
        <x:v>80</x:v>
      </x:c>
      <x:c r="F415" s="13" t="str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</x:row>
    <x:row r="416" ht="27" customHeight="1">
      <x:c r="A416" s="2" t="str">
        <x:v>S006</x:v>
      </x:c>
      <x:c r="B416" s="2" t="n">
        <x:v>35</x:v>
      </x:c>
      <x:c r="C416" s="40" t="n">
        <x:v>25</x:v>
      </x:c>
      <x:c r="D416" s="40" t="n">
        <x:v>30</x:v>
      </x:c>
      <x:c r="E416" s="40" t="n">
        <x:v>80</x:v>
      </x:c>
      <x:c r="F416" s="13" t="str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</x:row>
    <x:row r="417" ht="27" customHeight="1">
      <x:c r="A417" s="2" t="str">
        <x:v>S006</x:v>
      </x:c>
      <x:c r="B417" s="2" t="n">
        <x:v>36</x:v>
      </x:c>
      <x:c r="C417" s="40" t="n">
        <x:v>25</x:v>
      </x:c>
      <x:c r="D417" s="40" t="n">
        <x:v>30</x:v>
      </x:c>
      <x:c r="E417" s="40" t="n">
        <x:v>80</x:v>
      </x:c>
      <x:c r="F417" s="13" t="str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</x:row>
    <x:row r="418" ht="27" customHeight="1">
      <x:c r="A418" s="2" t="str">
        <x:v>S006</x:v>
      </x:c>
      <x:c r="B418" s="2" t="n">
        <x:v>37</x:v>
      </x:c>
      <x:c r="C418" s="40" t="n">
        <x:v>25</x:v>
      </x:c>
      <x:c r="D418" s="40" t="n">
        <x:v>30</x:v>
      </x:c>
      <x:c r="E418" s="40" t="n">
        <x:v>80</x:v>
      </x:c>
      <x:c r="F418" s="13" t="str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</x:row>
    <x:row r="419" ht="27" customHeight="1">
      <x:c r="A419" s="2" t="str">
        <x:v>S006</x:v>
      </x:c>
      <x:c r="B419" s="2" t="n">
        <x:v>38</x:v>
      </x:c>
      <x:c r="C419" s="40" t="n">
        <x:v>25</x:v>
      </x:c>
      <x:c r="D419" s="40" t="n">
        <x:v>30</x:v>
      </x:c>
      <x:c r="E419" s="40" t="n">
        <x:v>80</x:v>
      </x:c>
      <x:c r="F419" s="13" t="str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</x:row>
    <x:row r="420" ht="27" customHeight="1">
      <x:c r="A420" s="2" t="str">
        <x:v>S006</x:v>
      </x:c>
      <x:c r="B420" s="2" t="n">
        <x:v>39</x:v>
      </x:c>
      <x:c r="C420" s="40" t="n">
        <x:v>25</x:v>
      </x:c>
      <x:c r="D420" s="40" t="n">
        <x:v>30</x:v>
      </x:c>
      <x:c r="E420" s="40" t="n">
        <x:v>80</x:v>
      </x:c>
      <x:c r="F420" s="13" t="str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</x:row>
    <x:row r="421" ht="27" customHeight="1">
      <x:c r="A421" s="2" t="str">
        <x:v>S006</x:v>
      </x:c>
      <x:c r="B421" s="2" t="n">
        <x:v>40</x:v>
      </x:c>
      <x:c r="C421" s="40" t="n">
        <x:v>25</x:v>
      </x:c>
      <x:c r="D421" s="40" t="n">
        <x:v>30</x:v>
      </x:c>
      <x:c r="E421" s="40" t="n">
        <x:v>80</x:v>
      </x:c>
      <x:c r="F421" s="13" t="str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</x:row>
    <x:row r="422" ht="27" customHeight="1">
      <x:c r="A422" s="2" t="str">
        <x:v>S006</x:v>
      </x:c>
      <x:c r="B422" s="2" t="n">
        <x:v>41</x:v>
      </x:c>
      <x:c r="C422" s="40" t="n">
        <x:v>25</x:v>
      </x:c>
      <x:c r="D422" s="40" t="n">
        <x:v>30</x:v>
      </x:c>
      <x:c r="E422" s="40" t="n">
        <x:v>80</x:v>
      </x:c>
      <x:c r="F422" s="13" t="str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</x:row>
    <x:row r="423" ht="27" customHeight="1">
      <x:c r="A423" s="2" t="str">
        <x:v>S006</x:v>
      </x:c>
      <x:c r="B423" s="2" t="n">
        <x:v>42</x:v>
      </x:c>
      <x:c r="C423" s="40" t="n">
        <x:v>25</x:v>
      </x:c>
      <x:c r="D423" s="40" t="n">
        <x:v>30</x:v>
      </x:c>
      <x:c r="E423" s="40" t="n">
        <x:v>80</x:v>
      </x:c>
      <x:c r="F423" s="13" t="str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</x:row>
    <x:row r="424" ht="27" customHeight="1">
      <x:c r="A424" s="2" t="str">
        <x:v>S006</x:v>
      </x:c>
      <x:c r="B424" s="2" t="n">
        <x:v>43</x:v>
      </x:c>
      <x:c r="C424" s="40" t="n">
        <x:v>25</x:v>
      </x:c>
      <x:c r="D424" s="40" t="n">
        <x:v>30</x:v>
      </x:c>
      <x:c r="E424" s="40" t="n">
        <x:v>80</x:v>
      </x:c>
      <x:c r="F424" s="13" t="str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</x:row>
    <x:row r="425" ht="27" customHeight="1">
      <x:c r="A425" s="2" t="str">
        <x:v>S006</x:v>
      </x:c>
      <x:c r="B425" s="2" t="n">
        <x:v>44</x:v>
      </x:c>
      <x:c r="C425" s="40" t="n">
        <x:v>25</x:v>
      </x:c>
      <x:c r="D425" s="40" t="n">
        <x:v>30</x:v>
      </x:c>
      <x:c r="E425" s="40" t="n">
        <x:v>80</x:v>
      </x:c>
      <x:c r="F425" s="13" t="str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</x:row>
    <x:row r="426" ht="27" customHeight="1">
      <x:c r="A426" s="2" t="str">
        <x:v>S006</x:v>
      </x:c>
      <x:c r="B426" s="2" t="n">
        <x:v>45</x:v>
      </x:c>
      <x:c r="C426" s="40" t="n">
        <x:v>25</x:v>
      </x:c>
      <x:c r="D426" s="40" t="n">
        <x:v>30</x:v>
      </x:c>
      <x:c r="E426" s="40" t="n">
        <x:v>80</x:v>
      </x:c>
      <x:c r="F426" s="13" t="str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</x:row>
    <x:row r="427" ht="27" customHeight="1">
      <x:c r="A427" s="2" t="str">
        <x:v>S006</x:v>
      </x:c>
      <x:c r="B427" s="2" t="n">
        <x:v>46</x:v>
      </x:c>
      <x:c r="C427" s="40" t="n">
        <x:v>25</x:v>
      </x:c>
      <x:c r="D427" s="40" t="n">
        <x:v>30</x:v>
      </x:c>
      <x:c r="E427" s="40" t="n">
        <x:v>80</x:v>
      </x:c>
      <x:c r="F427" s="13" t="str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</x:row>
    <x:row r="428" ht="27" customHeight="1">
      <x:c r="A428" s="2" t="str">
        <x:v>S006</x:v>
      </x:c>
      <x:c r="B428" s="2" t="n">
        <x:v>47</x:v>
      </x:c>
      <x:c r="C428" s="40" t="n">
        <x:v>25</x:v>
      </x:c>
      <x:c r="D428" s="40" t="n">
        <x:v>30</x:v>
      </x:c>
      <x:c r="E428" s="40" t="n">
        <x:v>80</x:v>
      </x:c>
      <x:c r="F428" s="13" t="str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</x:row>
    <x:row r="429" ht="27" customHeight="1">
      <x:c r="A429" s="2" t="str">
        <x:v>S006</x:v>
      </x:c>
      <x:c r="B429" s="2" t="n">
        <x:v>48</x:v>
      </x:c>
      <x:c r="C429" s="40" t="n">
        <x:v>25</x:v>
      </x:c>
      <x:c r="D429" s="40" t="n">
        <x:v>30</x:v>
      </x:c>
      <x:c r="E429" s="40" t="n">
        <x:v>80</x:v>
      </x:c>
      <x:c r="F429" s="13" t="str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</x:row>
    <x:row r="430" ht="27" customHeight="1">
      <x:c r="A430" s="2" t="str">
        <x:v>S006</x:v>
      </x:c>
      <x:c r="B430" s="2" t="n">
        <x:v>49</x:v>
      </x:c>
      <x:c r="C430" s="40" t="n">
        <x:v>25</x:v>
      </x:c>
      <x:c r="D430" s="40" t="n">
        <x:v>30</x:v>
      </x:c>
      <x:c r="E430" s="40" t="n">
        <x:v>80</x:v>
      </x:c>
      <x:c r="F430" s="13" t="str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</x:row>
    <x:row r="431" ht="27" customHeight="1">
      <x:c r="A431" s="2" t="str">
        <x:v>S006</x:v>
      </x:c>
      <x:c r="B431" s="2" t="n">
        <x:v>50</x:v>
      </x:c>
      <x:c r="C431" s="40" t="n">
        <x:v>25</x:v>
      </x:c>
      <x:c r="D431" s="40" t="n">
        <x:v>30</x:v>
      </x:c>
      <x:c r="E431" s="40" t="n">
        <x:v>80</x:v>
      </x:c>
      <x:c r="F431" s="13" t="str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</x:row>
    <x:row r="432" ht="27" customHeight="1">
      <x:c r="A432" s="2" t="str">
        <x:v>S006</x:v>
      </x:c>
      <x:c r="B432" s="2" t="n">
        <x:v>51</x:v>
      </x:c>
      <x:c r="C432" s="40" t="n">
        <x:v>25</x:v>
      </x:c>
      <x:c r="D432" s="40" t="n">
        <x:v>30</x:v>
      </x:c>
      <x:c r="E432" s="40" t="n">
        <x:v>80</x:v>
      </x:c>
      <x:c r="F432" s="13" t="str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</x:row>
    <x:row r="433" ht="27" customHeight="1">
      <x:c r="A433" s="2" t="str">
        <x:v>S006</x:v>
      </x:c>
      <x:c r="B433" s="2" t="n">
        <x:v>52</x:v>
      </x:c>
      <x:c r="C433" s="40" t="n">
        <x:v>25</x:v>
      </x:c>
      <x:c r="D433" s="40" t="n">
        <x:v>30</x:v>
      </x:c>
      <x:c r="E433" s="40" t="n">
        <x:v>80</x:v>
      </x:c>
      <x:c r="F433" s="13" t="str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</x:row>
    <x:row r="434" ht="27" customHeight="1">
      <x:c r="A434" s="2" t="str">
        <x:v>S006</x:v>
      </x:c>
      <x:c r="B434" s="2" t="n">
        <x:v>53</x:v>
      </x:c>
      <x:c r="C434" s="40" t="n">
        <x:v>25</x:v>
      </x:c>
      <x:c r="D434" s="40" t="n">
        <x:v>30</x:v>
      </x:c>
      <x:c r="E434" s="40" t="n">
        <x:v>80</x:v>
      </x:c>
      <x:c r="F434" s="13" t="str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</x:row>
    <x:row r="435" ht="27" customHeight="1">
      <x:c r="A435" s="2" t="str">
        <x:v>S006</x:v>
      </x:c>
      <x:c r="B435" s="2" t="n">
        <x:v>54</x:v>
      </x:c>
      <x:c r="C435" s="40" t="n">
        <x:v>25</x:v>
      </x:c>
      <x:c r="D435" s="40" t="n">
        <x:v>30</x:v>
      </x:c>
      <x:c r="E435" s="40" t="n">
        <x:v>80</x:v>
      </x:c>
      <x:c r="F435" s="13" t="str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</x:row>
    <x:row r="436" ht="27" customHeight="1">
      <x:c r="A436" s="2" t="str">
        <x:v>S006</x:v>
      </x:c>
      <x:c r="B436" s="2" t="n">
        <x:v>55</x:v>
      </x:c>
      <x:c r="C436" s="40" t="n">
        <x:v>25</x:v>
      </x:c>
      <x:c r="D436" s="40" t="n">
        <x:v>30</x:v>
      </x:c>
      <x:c r="E436" s="40" t="n">
        <x:v>80</x:v>
      </x:c>
      <x:c r="F436" s="13" t="str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</x:row>
    <x:row r="437" ht="27" customHeight="1">
      <x:c r="A437" s="2" t="str">
        <x:v>S006</x:v>
      </x:c>
      <x:c r="B437" s="2" t="n">
        <x:v>56</x:v>
      </x:c>
      <x:c r="C437" s="40" t="n">
        <x:v>25</x:v>
      </x:c>
      <x:c r="D437" s="40" t="n">
        <x:v>30</x:v>
      </x:c>
      <x:c r="E437" s="40" t="n">
        <x:v>80</x:v>
      </x:c>
      <x:c r="F437" s="13" t="str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</x:row>
    <x:row r="438" ht="27" customHeight="1">
      <x:c r="A438" s="2" t="str">
        <x:v>S006</x:v>
      </x:c>
      <x:c r="B438" s="2" t="n">
        <x:v>57</x:v>
      </x:c>
      <x:c r="C438" s="40" t="n">
        <x:v>25</x:v>
      </x:c>
      <x:c r="D438" s="40" t="n">
        <x:v>30</x:v>
      </x:c>
      <x:c r="E438" s="40" t="n">
        <x:v>80</x:v>
      </x:c>
      <x:c r="F438" s="13" t="str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</x:row>
    <x:row r="439" ht="27" customHeight="1">
      <x:c r="A439" s="2" t="str">
        <x:v>S006</x:v>
      </x:c>
      <x:c r="B439" s="2" t="n">
        <x:v>58</x:v>
      </x:c>
      <x:c r="C439" s="40" t="n">
        <x:v>25</x:v>
      </x:c>
      <x:c r="D439" s="40" t="n">
        <x:v>30</x:v>
      </x:c>
      <x:c r="E439" s="40" t="n">
        <x:v>80</x:v>
      </x:c>
      <x:c r="F439" s="13" t="str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</x:row>
    <x:row r="440" ht="27" customHeight="1">
      <x:c r="A440" s="2" t="str">
        <x:v>S006</x:v>
      </x:c>
      <x:c r="B440" s="2" t="n">
        <x:v>59</x:v>
      </x:c>
      <x:c r="C440" s="40" t="n">
        <x:v>25</x:v>
      </x:c>
      <x:c r="D440" s="40" t="n">
        <x:v>30</x:v>
      </x:c>
      <x:c r="E440" s="40" t="n">
        <x:v>80</x:v>
      </x:c>
      <x:c r="F440" s="13" t="str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</x:row>
    <x:row r="441" ht="27" customHeight="1">
      <x:c r="A441" s="2" t="str">
        <x:v>S006</x:v>
      </x:c>
      <x:c r="B441" s="2" t="n">
        <x:v>60</x:v>
      </x:c>
      <x:c r="C441" s="40" t="n">
        <x:v>25</x:v>
      </x:c>
      <x:c r="D441" s="40" t="n">
        <x:v>30</x:v>
      </x:c>
      <x:c r="E441" s="40" t="n">
        <x:v>78.84344220161438</x:v>
      </x:c>
      <x:c r="F441" s="13" t="str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</x:row>
    <x:row r="442" ht="27" customHeight="1">
      <x:c r="A442" s="2" t="str">
        <x:v>S007</x:v>
      </x:c>
      <x:c r="B442" s="2" t="n">
        <x:v>0</x:v>
      </x:c>
      <x:c r="C442" s="40" t="n">
        <x:v>25</x:v>
      </x:c>
      <x:c r="D442" s="40" t="n">
        <x:v>30</x:v>
      </x:c>
      <x:c r="E442" s="40" t="n">
        <x:v>80</x:v>
      </x:c>
      <x:c r="F442" s="13" t="str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</x:row>
    <x:row r="443" ht="27" customHeight="1">
      <x:c r="A443" s="2" t="str">
        <x:v>S007</x:v>
      </x:c>
      <x:c r="B443" s="2" t="n">
        <x:v>1</x:v>
      </x:c>
      <x:c r="C443" s="40" t="n">
        <x:v>25</x:v>
      </x:c>
      <x:c r="D443" s="40" t="n">
        <x:v>30</x:v>
      </x:c>
      <x:c r="E443" s="40" t="n">
        <x:v>80</x:v>
      </x:c>
      <x:c r="F443" s="13" t="str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</x:row>
    <x:row r="444" ht="27" customHeight="1">
      <x:c r="A444" s="2" t="str">
        <x:v>S007</x:v>
      </x:c>
      <x:c r="B444" s="2" t="n">
        <x:v>2</x:v>
      </x:c>
      <x:c r="C444" s="40" t="n">
        <x:v>25</x:v>
      </x:c>
      <x:c r="D444" s="40" t="n">
        <x:v>30</x:v>
      </x:c>
      <x:c r="E444" s="40" t="n">
        <x:v>80</x:v>
      </x:c>
      <x:c r="F444" s="13" t="str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</x:row>
    <x:row r="445" ht="27" customHeight="1">
      <x:c r="A445" s="2" t="str">
        <x:v>S007</x:v>
      </x:c>
      <x:c r="B445" s="2" t="n">
        <x:v>3</x:v>
      </x:c>
      <x:c r="C445" s="40" t="n">
        <x:v>25</x:v>
      </x:c>
      <x:c r="D445" s="40" t="n">
        <x:v>30</x:v>
      </x:c>
      <x:c r="E445" s="40" t="n">
        <x:v>80</x:v>
      </x:c>
      <x:c r="F445" s="13" t="str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</x:row>
    <x:row r="446" ht="27" customHeight="1">
      <x:c r="A446" s="2" t="str">
        <x:v>S007</x:v>
      </x:c>
      <x:c r="B446" s="2" t="n">
        <x:v>4</x:v>
      </x:c>
      <x:c r="C446" s="40" t="n">
        <x:v>25</x:v>
      </x:c>
      <x:c r="D446" s="40" t="n">
        <x:v>30</x:v>
      </x:c>
      <x:c r="E446" s="40" t="n">
        <x:v>80</x:v>
      </x:c>
      <x:c r="F446" s="13" t="str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</x:row>
    <x:row r="447" ht="27" customHeight="1">
      <x:c r="A447" s="2" t="str">
        <x:v>S007</x:v>
      </x:c>
      <x:c r="B447" s="2" t="n">
        <x:v>5</x:v>
      </x:c>
      <x:c r="C447" s="40" t="n">
        <x:v>25</x:v>
      </x:c>
      <x:c r="D447" s="40" t="n">
        <x:v>30</x:v>
      </x:c>
      <x:c r="E447" s="40" t="n">
        <x:v>80</x:v>
      </x:c>
      <x:c r="F447" s="13" t="str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</x:row>
    <x:row r="448" ht="27" customHeight="1">
      <x:c r="A448" s="2" t="str">
        <x:v>S007</x:v>
      </x:c>
      <x:c r="B448" s="2" t="n">
        <x:v>6</x:v>
      </x:c>
      <x:c r="C448" s="40" t="n">
        <x:v>25</x:v>
      </x:c>
      <x:c r="D448" s="40" t="n">
        <x:v>30</x:v>
      </x:c>
      <x:c r="E448" s="40" t="n">
        <x:v>80</x:v>
      </x:c>
      <x:c r="F448" s="13" t="str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</x:row>
    <x:row r="449" ht="27" customHeight="1">
      <x:c r="A449" s="2" t="str">
        <x:v>S007</x:v>
      </x:c>
      <x:c r="B449" s="2" t="n">
        <x:v>7</x:v>
      </x:c>
      <x:c r="C449" s="40" t="n">
        <x:v>25</x:v>
      </x:c>
      <x:c r="D449" s="40" t="n">
        <x:v>30</x:v>
      </x:c>
      <x:c r="E449" s="40" t="n">
        <x:v>80</x:v>
      </x:c>
      <x:c r="F449" s="13" t="str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</x:row>
    <x:row r="450" ht="27" customHeight="1">
      <x:c r="A450" s="2" t="str">
        <x:v>S007</x:v>
      </x:c>
      <x:c r="B450" s="2" t="n">
        <x:v>8</x:v>
      </x:c>
      <x:c r="C450" s="40" t="n">
        <x:v>25</x:v>
      </x:c>
      <x:c r="D450" s="40" t="n">
        <x:v>30</x:v>
      </x:c>
      <x:c r="E450" s="40" t="n">
        <x:v>80</x:v>
      </x:c>
      <x:c r="F450" s="13" t="str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</x:row>
    <x:row r="451" ht="27" customHeight="1">
      <x:c r="A451" s="2" t="str">
        <x:v>S007</x:v>
      </x:c>
      <x:c r="B451" s="2" t="n">
        <x:v>9</x:v>
      </x:c>
      <x:c r="C451" s="40" t="n">
        <x:v>25</x:v>
      </x:c>
      <x:c r="D451" s="40" t="n">
        <x:v>30</x:v>
      </x:c>
      <x:c r="E451" s="40" t="n">
        <x:v>80</x:v>
      </x:c>
      <x:c r="F451" s="13" t="str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</x:row>
    <x:row r="452" ht="27" customHeight="1">
      <x:c r="A452" s="2" t="str">
        <x:v>S007</x:v>
      </x:c>
      <x:c r="B452" s="2" t="n">
        <x:v>10</x:v>
      </x:c>
      <x:c r="C452" s="40" t="n">
        <x:v>25</x:v>
      </x:c>
      <x:c r="D452" s="40" t="n">
        <x:v>30</x:v>
      </x:c>
      <x:c r="E452" s="40" t="n">
        <x:v>80</x:v>
      </x:c>
      <x:c r="F452" s="13" t="str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</x:row>
    <x:row r="453" ht="27" customHeight="1">
      <x:c r="A453" s="2" t="str">
        <x:v>S007</x:v>
      </x:c>
      <x:c r="B453" s="2" t="n">
        <x:v>11</x:v>
      </x:c>
      <x:c r="C453" s="40" t="n">
        <x:v>25</x:v>
      </x:c>
      <x:c r="D453" s="40" t="n">
        <x:v>30</x:v>
      </x:c>
      <x:c r="E453" s="40" t="n">
        <x:v>80</x:v>
      </x:c>
      <x:c r="F453" s="13" t="str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</x:row>
    <x:row r="454" ht="27" customHeight="1">
      <x:c r="A454" s="2" t="str">
        <x:v>S007</x:v>
      </x:c>
      <x:c r="B454" s="2" t="n">
        <x:v>12</x:v>
      </x:c>
      <x:c r="C454" s="40" t="n">
        <x:v>25</x:v>
      </x:c>
      <x:c r="D454" s="40" t="n">
        <x:v>30</x:v>
      </x:c>
      <x:c r="E454" s="40" t="n">
        <x:v>80</x:v>
      </x:c>
      <x:c r="F454" s="13" t="str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</x:row>
    <x:row r="455" ht="27" customHeight="1">
      <x:c r="A455" s="2" t="str">
        <x:v>S007</x:v>
      </x:c>
      <x:c r="B455" s="2" t="n">
        <x:v>13</x:v>
      </x:c>
      <x:c r="C455" s="40" t="n">
        <x:v>25</x:v>
      </x:c>
      <x:c r="D455" s="40" t="n">
        <x:v>30</x:v>
      </x:c>
      <x:c r="E455" s="40" t="n">
        <x:v>80</x:v>
      </x:c>
      <x:c r="F455" s="13" t="str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</x:row>
    <x:row r="456" ht="27" customHeight="1">
      <x:c r="A456" s="2" t="str">
        <x:v>S007</x:v>
      </x:c>
      <x:c r="B456" s="2" t="n">
        <x:v>14</x:v>
      </x:c>
      <x:c r="C456" s="40" t="n">
        <x:v>25</x:v>
      </x:c>
      <x:c r="D456" s="40" t="n">
        <x:v>30</x:v>
      </x:c>
      <x:c r="E456" s="40" t="n">
        <x:v>80</x:v>
      </x:c>
      <x:c r="F456" s="13" t="str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</x:row>
    <x:row r="457" ht="27" customHeight="1">
      <x:c r="A457" s="2" t="str">
        <x:v>S007</x:v>
      </x:c>
      <x:c r="B457" s="2" t="n">
        <x:v>15</x:v>
      </x:c>
      <x:c r="C457" s="40" t="n">
        <x:v>25</x:v>
      </x:c>
      <x:c r="D457" s="40" t="n">
        <x:v>30</x:v>
      </x:c>
      <x:c r="E457" s="40" t="n">
        <x:v>80</x:v>
      </x:c>
      <x:c r="F457" s="13" t="str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</x:row>
    <x:row r="458" ht="27" customHeight="1">
      <x:c r="A458" s="2" t="str">
        <x:v>S007</x:v>
      </x:c>
      <x:c r="B458" s="2" t="n">
        <x:v>16</x:v>
      </x:c>
      <x:c r="C458" s="40" t="n">
        <x:v>25</x:v>
      </x:c>
      <x:c r="D458" s="40" t="n">
        <x:v>30</x:v>
      </x:c>
      <x:c r="E458" s="40" t="n">
        <x:v>80</x:v>
      </x:c>
      <x:c r="F458" s="13" t="str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</x:row>
    <x:row r="459" ht="27" customHeight="1">
      <x:c r="A459" s="2" t="str">
        <x:v>S007</x:v>
      </x:c>
      <x:c r="B459" s="2" t="n">
        <x:v>17</x:v>
      </x:c>
      <x:c r="C459" s="40" t="n">
        <x:v>25</x:v>
      </x:c>
      <x:c r="D459" s="40" t="n">
        <x:v>30</x:v>
      </x:c>
      <x:c r="E459" s="40" t="n">
        <x:v>80</x:v>
      </x:c>
      <x:c r="F459" s="13" t="str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</x:row>
    <x:row r="460" ht="27" customHeight="1">
      <x:c r="A460" s="2" t="str">
        <x:v>S007</x:v>
      </x:c>
      <x:c r="B460" s="2" t="n">
        <x:v>18</x:v>
      </x:c>
      <x:c r="C460" s="40" t="n">
        <x:v>25</x:v>
      </x:c>
      <x:c r="D460" s="40" t="n">
        <x:v>30</x:v>
      </x:c>
      <x:c r="E460" s="40" t="n">
        <x:v>80</x:v>
      </x:c>
      <x:c r="F460" s="13" t="str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</x:row>
    <x:row r="461" ht="27" customHeight="1">
      <x:c r="A461" s="2" t="str">
        <x:v>S007</x:v>
      </x:c>
      <x:c r="B461" s="2" t="n">
        <x:v>19</x:v>
      </x:c>
      <x:c r="C461" s="40" t="n">
        <x:v>25</x:v>
      </x:c>
      <x:c r="D461" s="40" t="n">
        <x:v>30</x:v>
      </x:c>
      <x:c r="E461" s="40" t="n">
        <x:v>80</x:v>
      </x:c>
      <x:c r="F461" s="13" t="str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</x:row>
    <x:row r="462" ht="27" customHeight="1">
      <x:c r="A462" s="2" t="str">
        <x:v>S007</x:v>
      </x:c>
      <x:c r="B462" s="2" t="n">
        <x:v>20</x:v>
      </x:c>
      <x:c r="C462" s="40" t="n">
        <x:v>25</x:v>
      </x:c>
      <x:c r="D462" s="40" t="n">
        <x:v>30</x:v>
      </x:c>
      <x:c r="E462" s="40" t="n">
        <x:v>80</x:v>
      </x:c>
      <x:c r="F462" s="13" t="str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</x:row>
    <x:row r="463" ht="27" customHeight="1">
      <x:c r="A463" s="2" t="str">
        <x:v>S007</x:v>
      </x:c>
      <x:c r="B463" s="2" t="n">
        <x:v>21</x:v>
      </x:c>
      <x:c r="C463" s="40" t="n">
        <x:v>25</x:v>
      </x:c>
      <x:c r="D463" s="40" t="n">
        <x:v>30</x:v>
      </x:c>
      <x:c r="E463" s="40" t="n">
        <x:v>80</x:v>
      </x:c>
      <x:c r="F463" s="13" t="str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</x:row>
    <x:row r="464" ht="27" customHeight="1">
      <x:c r="A464" s="2" t="str">
        <x:v>S007</x:v>
      </x:c>
      <x:c r="B464" s="2" t="n">
        <x:v>22</x:v>
      </x:c>
      <x:c r="C464" s="40" t="n">
        <x:v>25</x:v>
      </x:c>
      <x:c r="D464" s="40" t="n">
        <x:v>30</x:v>
      </x:c>
      <x:c r="E464" s="40" t="n">
        <x:v>80</x:v>
      </x:c>
      <x:c r="F464" s="13" t="str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</x:row>
    <x:row r="465" ht="27" customHeight="1">
      <x:c r="A465" s="2" t="str">
        <x:v>S007</x:v>
      </x:c>
      <x:c r="B465" s="2" t="n">
        <x:v>23</x:v>
      </x:c>
      <x:c r="C465" s="40" t="n">
        <x:v>25</x:v>
      </x:c>
      <x:c r="D465" s="40" t="n">
        <x:v>30</x:v>
      </x:c>
      <x:c r="E465" s="40" t="n">
        <x:v>80</x:v>
      </x:c>
      <x:c r="F465" s="13" t="str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</x:row>
    <x:row r="466" ht="27" customHeight="1">
      <x:c r="A466" s="2" t="str">
        <x:v>S007</x:v>
      </x:c>
      <x:c r="B466" s="2" t="n">
        <x:v>24</x:v>
      </x:c>
      <x:c r="C466" s="40" t="n">
        <x:v>25</x:v>
      </x:c>
      <x:c r="D466" s="40" t="n">
        <x:v>30</x:v>
      </x:c>
      <x:c r="E466" s="40" t="n">
        <x:v>80</x:v>
      </x:c>
      <x:c r="F466" s="13" t="str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</x:row>
    <x:row r="467" ht="27" customHeight="1">
      <x:c r="A467" s="2" t="str">
        <x:v>S007</x:v>
      </x:c>
      <x:c r="B467" s="2" t="n">
        <x:v>25</x:v>
      </x:c>
      <x:c r="C467" s="40" t="n">
        <x:v>25</x:v>
      </x:c>
      <x:c r="D467" s="40" t="n">
        <x:v>30</x:v>
      </x:c>
      <x:c r="E467" s="40" t="n">
        <x:v>80</x:v>
      </x:c>
      <x:c r="F467" s="13" t="str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</x:row>
    <x:row r="468" ht="27" customHeight="1">
      <x:c r="A468" s="2" t="str">
        <x:v>S007</x:v>
      </x:c>
      <x:c r="B468" s="2" t="n">
        <x:v>26</x:v>
      </x:c>
      <x:c r="C468" s="40" t="n">
        <x:v>25</x:v>
      </x:c>
      <x:c r="D468" s="40" t="n">
        <x:v>30</x:v>
      </x:c>
      <x:c r="E468" s="40" t="n">
        <x:v>80</x:v>
      </x:c>
      <x:c r="F468" s="13" t="str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</x:row>
    <x:row r="469" ht="27" customHeight="1">
      <x:c r="A469" s="2" t="str">
        <x:v>S007</x:v>
      </x:c>
      <x:c r="B469" s="2" t="n">
        <x:v>27</x:v>
      </x:c>
      <x:c r="C469" s="40" t="n">
        <x:v>25</x:v>
      </x:c>
      <x:c r="D469" s="40" t="n">
        <x:v>30</x:v>
      </x:c>
      <x:c r="E469" s="40" t="n">
        <x:v>80</x:v>
      </x:c>
      <x:c r="F469" s="13" t="str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</x:row>
    <x:row r="470" ht="27" customHeight="1">
      <x:c r="A470" s="2" t="str">
        <x:v>S007</x:v>
      </x:c>
      <x:c r="B470" s="2" t="n">
        <x:v>28</x:v>
      </x:c>
      <x:c r="C470" s="40" t="n">
        <x:v>25</x:v>
      </x:c>
      <x:c r="D470" s="40" t="n">
        <x:v>30</x:v>
      </x:c>
      <x:c r="E470" s="40" t="n">
        <x:v>80</x:v>
      </x:c>
      <x:c r="F470" s="13" t="str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</x:row>
    <x:row r="471" ht="27" customHeight="1">
      <x:c r="A471" s="2" t="str">
        <x:v>S007</x:v>
      </x:c>
      <x:c r="B471" s="2" t="n">
        <x:v>29</x:v>
      </x:c>
      <x:c r="C471" s="40" t="n">
        <x:v>25</x:v>
      </x:c>
      <x:c r="D471" s="40" t="n">
        <x:v>30</x:v>
      </x:c>
      <x:c r="E471" s="40" t="n">
        <x:v>80</x:v>
      </x:c>
      <x:c r="F471" s="13" t="str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</x:row>
    <x:row r="472" ht="27" customHeight="1">
      <x:c r="A472" s="2" t="str">
        <x:v>S007</x:v>
      </x:c>
      <x:c r="B472" s="2" t="n">
        <x:v>30</x:v>
      </x:c>
      <x:c r="C472" s="40" t="n">
        <x:v>25</x:v>
      </x:c>
      <x:c r="D472" s="40" t="n">
        <x:v>30</x:v>
      </x:c>
      <x:c r="E472" s="40" t="n">
        <x:v>80</x:v>
      </x:c>
      <x:c r="F472" s="13" t="str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</x:row>
    <x:row r="473" ht="27" customHeight="1">
      <x:c r="A473" s="2" t="str">
        <x:v>S007</x:v>
      </x:c>
      <x:c r="B473" s="2" t="n">
        <x:v>31</x:v>
      </x:c>
      <x:c r="C473" s="40" t="n">
        <x:v>25</x:v>
      </x:c>
      <x:c r="D473" s="40" t="n">
        <x:v>30</x:v>
      </x:c>
      <x:c r="E473" s="40" t="n">
        <x:v>80</x:v>
      </x:c>
      <x:c r="F473" s="13" t="str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</x:row>
    <x:row r="474" ht="27" customHeight="1">
      <x:c r="A474" s="2" t="str">
        <x:v>S007</x:v>
      </x:c>
      <x:c r="B474" s="2" t="n">
        <x:v>32</x:v>
      </x:c>
      <x:c r="C474" s="40" t="n">
        <x:v>25</x:v>
      </x:c>
      <x:c r="D474" s="40" t="n">
        <x:v>30</x:v>
      </x:c>
      <x:c r="E474" s="40" t="n">
        <x:v>80</x:v>
      </x:c>
      <x:c r="F474" s="13" t="str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</x:row>
    <x:row r="475" ht="27" customHeight="1">
      <x:c r="A475" s="2" t="str">
        <x:v>S007</x:v>
      </x:c>
      <x:c r="B475" s="2" t="n">
        <x:v>33</x:v>
      </x:c>
      <x:c r="C475" s="40" t="n">
        <x:v>25</x:v>
      </x:c>
      <x:c r="D475" s="40" t="n">
        <x:v>30</x:v>
      </x:c>
      <x:c r="E475" s="40" t="n">
        <x:v>80</x:v>
      </x:c>
      <x:c r="F475" s="13" t="str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</x:row>
    <x:row r="476" ht="27" customHeight="1">
      <x:c r="A476" s="2" t="str">
        <x:v>S007</x:v>
      </x:c>
      <x:c r="B476" s="2" t="n">
        <x:v>34</x:v>
      </x:c>
      <x:c r="C476" s="40" t="n">
        <x:v>25</x:v>
      </x:c>
      <x:c r="D476" s="40" t="n">
        <x:v>30</x:v>
      </x:c>
      <x:c r="E476" s="40" t="n">
        <x:v>80</x:v>
      </x:c>
      <x:c r="F476" s="13" t="str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</x:row>
    <x:row r="477" ht="27" customHeight="1">
      <x:c r="A477" s="2" t="str">
        <x:v>S007</x:v>
      </x:c>
      <x:c r="B477" s="2" t="n">
        <x:v>35</x:v>
      </x:c>
      <x:c r="C477" s="40" t="n">
        <x:v>25</x:v>
      </x:c>
      <x:c r="D477" s="40" t="n">
        <x:v>30</x:v>
      </x:c>
      <x:c r="E477" s="40" t="n">
        <x:v>80</x:v>
      </x:c>
      <x:c r="F477" s="13" t="str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</x:row>
    <x:row r="478" ht="27" customHeight="1">
      <x:c r="A478" s="2" t="str">
        <x:v>S007</x:v>
      </x:c>
      <x:c r="B478" s="2" t="n">
        <x:v>36</x:v>
      </x:c>
      <x:c r="C478" s="40" t="n">
        <x:v>25</x:v>
      </x:c>
      <x:c r="D478" s="40" t="n">
        <x:v>30</x:v>
      </x:c>
      <x:c r="E478" s="40" t="n">
        <x:v>80</x:v>
      </x:c>
      <x:c r="F478" s="13" t="str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</x:row>
    <x:row r="479" ht="27" customHeight="1">
      <x:c r="A479" s="2" t="str">
        <x:v>S007</x:v>
      </x:c>
      <x:c r="B479" s="2" t="n">
        <x:v>37</x:v>
      </x:c>
      <x:c r="C479" s="40" t="n">
        <x:v>25</x:v>
      </x:c>
      <x:c r="D479" s="40" t="n">
        <x:v>30</x:v>
      </x:c>
      <x:c r="E479" s="40" t="n">
        <x:v>80</x:v>
      </x:c>
      <x:c r="F479" s="13" t="str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</x:row>
    <x:row r="480" ht="27" customHeight="1">
      <x:c r="A480" s="2" t="str">
        <x:v>S007</x:v>
      </x:c>
      <x:c r="B480" s="2" t="n">
        <x:v>38</x:v>
      </x:c>
      <x:c r="C480" s="40" t="n">
        <x:v>25</x:v>
      </x:c>
      <x:c r="D480" s="40" t="n">
        <x:v>30</x:v>
      </x:c>
      <x:c r="E480" s="40" t="n">
        <x:v>80</x:v>
      </x:c>
      <x:c r="F480" s="13" t="str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</x:row>
    <x:row r="481" ht="27" customHeight="1">
      <x:c r="A481" s="2" t="str">
        <x:v>S007</x:v>
      </x:c>
      <x:c r="B481" s="2" t="n">
        <x:v>39</x:v>
      </x:c>
      <x:c r="C481" s="40" t="n">
        <x:v>25</x:v>
      </x:c>
      <x:c r="D481" s="40" t="n">
        <x:v>30</x:v>
      </x:c>
      <x:c r="E481" s="40" t="n">
        <x:v>80</x:v>
      </x:c>
      <x:c r="F481" s="13" t="str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</x:row>
    <x:row r="482" ht="27" customHeight="1">
      <x:c r="A482" s="2" t="str">
        <x:v>S007</x:v>
      </x:c>
      <x:c r="B482" s="2" t="n">
        <x:v>40</x:v>
      </x:c>
      <x:c r="C482" s="40" t="n">
        <x:v>25</x:v>
      </x:c>
      <x:c r="D482" s="40" t="n">
        <x:v>30</x:v>
      </x:c>
      <x:c r="E482" s="40" t="n">
        <x:v>80</x:v>
      </x:c>
      <x:c r="F482" s="13" t="str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</x:row>
    <x:row r="483" ht="27" customHeight="1">
      <x:c r="A483" s="2" t="str">
        <x:v>S007</x:v>
      </x:c>
      <x:c r="B483" s="2" t="n">
        <x:v>41</x:v>
      </x:c>
      <x:c r="C483" s="40" t="n">
        <x:v>25</x:v>
      </x:c>
      <x:c r="D483" s="40" t="n">
        <x:v>30</x:v>
      </x:c>
      <x:c r="E483" s="40" t="n">
        <x:v>80</x:v>
      </x:c>
      <x:c r="F483" s="13" t="str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</x:row>
    <x:row r="484" ht="27" customHeight="1">
      <x:c r="A484" s="2" t="str">
        <x:v>S007</x:v>
      </x:c>
      <x:c r="B484" s="2" t="n">
        <x:v>42</x:v>
      </x:c>
      <x:c r="C484" s="40" t="n">
        <x:v>25</x:v>
      </x:c>
      <x:c r="D484" s="40" t="n">
        <x:v>30</x:v>
      </x:c>
      <x:c r="E484" s="40" t="n">
        <x:v>79.4053965806961</x:v>
      </x:c>
      <x:c r="F484" s="13" t="str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</x:row>
    <x:row r="485" ht="27" customHeight="1">
      <x:c r="A485" s="2" t="str">
        <x:v>S007</x:v>
      </x:c>
      <x:c r="B485" s="2" t="n">
        <x:v>43</x:v>
      </x:c>
      <x:c r="C485" s="40" t="n">
        <x:v>25</x:v>
      </x:c>
      <x:c r="D485" s="40" t="n">
        <x:v>30</x:v>
      </x:c>
      <x:c r="E485" s="40" t="n">
        <x:v>78.15012693405151</x:v>
      </x:c>
      <x:c r="F485" s="13" t="str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</x:row>
    <x:row r="486" ht="27" customHeight="1">
      <x:c r="A486" s="2" t="str">
        <x:v>S007</x:v>
      </x:c>
      <x:c r="B486" s="2" t="n">
        <x:v>44</x:v>
      </x:c>
      <x:c r="C486" s="40" t="n">
        <x:v>25</x:v>
      </x:c>
      <x:c r="D486" s="40" t="n">
        <x:v>30</x:v>
      </x:c>
      <x:c r="E486" s="40" t="n">
        <x:v>76.81644022464752</x:v>
      </x:c>
      <x:c r="F486" s="13" t="str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</x:row>
    <x:row r="487" ht="27" customHeight="1">
      <x:c r="A487" s="2" t="str">
        <x:v>S007</x:v>
      </x:c>
      <x:c r="B487" s="2" t="n">
        <x:v>45</x:v>
      </x:c>
      <x:c r="C487" s="40" t="n">
        <x:v>25</x:v>
      </x:c>
      <x:c r="D487" s="40" t="n">
        <x:v>30</x:v>
      </x:c>
      <x:c r="E487" s="40" t="n">
        <x:v>75.39669394493103</x:v>
      </x:c>
      <x:c r="F487" s="13" t="str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</x:row>
    <x:row r="488" ht="27" customHeight="1">
      <x:c r="A488" s="2" t="str">
        <x:v>S007</x:v>
      </x:c>
      <x:c r="B488" s="2" t="n">
        <x:v>46</x:v>
      </x:c>
      <x:c r="C488" s="40" t="n">
        <x:v>25</x:v>
      </x:c>
      <x:c r="D488" s="40" t="n">
        <x:v>30</x:v>
      </x:c>
      <x:c r="E488" s="40" t="n">
        <x:v>73.88219892978668</x:v>
      </x:c>
      <x:c r="F488" s="13" t="str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</x:row>
    <x:row r="489" ht="27" customHeight="1">
      <x:c r="A489" s="2" t="str">
        <x:v>S007</x:v>
      </x:c>
      <x:c r="B489" s="2" t="n">
        <x:v>47</x:v>
      </x:c>
      <x:c r="C489" s="40" t="n">
        <x:v>25</x:v>
      </x:c>
      <x:c r="D489" s="40" t="n">
        <x:v>30</x:v>
      </x:c>
      <x:c r="E489" s="40" t="n">
        <x:v>72.26302981376648</x:v>
      </x:c>
      <x:c r="F489" s="13" t="str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</x:row>
    <x:row r="490" ht="27" customHeight="1">
      <x:c r="A490" s="2" t="str">
        <x:v>S007</x:v>
      </x:c>
      <x:c r="B490" s="2" t="n">
        <x:v>48</x:v>
      </x:c>
      <x:c r="C490" s="40" t="n">
        <x:v>25</x:v>
      </x:c>
      <x:c r="D490" s="40" t="n">
        <x:v>30</x:v>
      </x:c>
      <x:c r="E490" s="40" t="n">
        <x:v>70.52778780460358</x:v>
      </x:c>
      <x:c r="F490" s="13" t="str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</x:row>
    <x:row r="491" ht="27" customHeight="1">
      <x:c r="A491" s="2" t="str">
        <x:v>S007</x:v>
      </x:c>
      <x:c r="B491" s="2" t="n">
        <x:v>49</x:v>
      </x:c>
      <x:c r="C491" s="40" t="n">
        <x:v>25</x:v>
      </x:c>
      <x:c r="D491" s="40" t="n">
        <x:v>30</x:v>
      </x:c>
      <x:c r="E491" s="40" t="n">
        <x:v>68.6633026599884</x:v>
      </x:c>
      <x:c r="F491" s="13" t="str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</x:row>
    <x:row r="492" ht="27" customHeight="1">
      <x:c r="A492" s="2" t="str">
        <x:v>S007</x:v>
      </x:c>
      <x:c r="B492" s="2" t="n">
        <x:v>50</x:v>
      </x:c>
      <x:c r="C492" s="40" t="n">
        <x:v>25</x:v>
      </x:c>
      <x:c r="D492" s="40" t="n">
        <x:v>30</x:v>
      </x:c>
      <x:c r="E492" s="40" t="n">
        <x:v>66.65425896644592</x:v>
      </x:c>
      <x:c r="F492" s="13" t="str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</x:row>
    <x:row r="493" ht="27" customHeight="1">
      <x:c r="A493" s="2" t="str">
        <x:v>S007</x:v>
      </x:c>
      <x:c r="B493" s="2" t="n">
        <x:v>51</x:v>
      </x:c>
      <x:c r="C493" s="40" t="n">
        <x:v>25</x:v>
      </x:c>
      <x:c r="D493" s="40" t="n">
        <x:v>30</x:v>
      </x:c>
      <x:c r="E493" s="40" t="n">
        <x:v>64.48270738124847</x:v>
      </x:c>
      <x:c r="F493" s="13" t="str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</x:row>
    <x:row r="494" ht="27" customHeight="1">
      <x:c r="A494" s="2" t="str">
        <x:v>S007</x:v>
      </x:c>
      <x:c r="B494" s="2" t="n">
        <x:v>52</x:v>
      </x:c>
      <x:c r="C494" s="40" t="n">
        <x:v>25</x:v>
      </x:c>
      <x:c r="D494" s="40" t="n">
        <x:v>29.05651420354843</x:v>
      </x:c>
      <x:c r="E494" s="40" t="n">
        <x:v>62.127429842948914</x:v>
      </x:c>
      <x:c r="F494" s="13" t="str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</x:row>
    <x:row r="495" ht="27" customHeight="1">
      <x:c r="A495" s="2" t="str">
        <x:v>S007</x:v>
      </x:c>
      <x:c r="B495" s="2" t="n">
        <x:v>53</x:v>
      </x:c>
      <x:c r="C495" s="40" t="n">
        <x:v>25</x:v>
      </x:c>
      <x:c r="D495" s="40" t="n">
        <x:v>28.025441765785217</x:v>
      </x:c>
      <x:c r="E495" s="40" t="n">
        <x:v>59.563090801239014</x:v>
      </x:c>
      <x:c r="F495" s="13" t="str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</x:row>
    <x:row r="496" ht="27" customHeight="1">
      <x:c r="A496" s="2" t="str">
        <x:v>S007</x:v>
      </x:c>
      <x:c r="B496" s="2" t="n">
        <x:v>54</x:v>
      </x:c>
      <x:c r="C496" s="40" t="n">
        <x:v>25</x:v>
      </x:c>
      <x:c r="D496" s="40" t="n">
        <x:v>26.89904272556305</x:v>
      </x:c>
      <x:c r="E496" s="40" t="n">
        <x:v>56.759068965911865</x:v>
      </x:c>
      <x:c r="F496" s="13" t="str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</x:row>
    <x:row r="497" ht="27" customHeight="1">
      <x:c r="A497" s="2" t="str">
        <x:v>S007</x:v>
      </x:c>
      <x:c r="B497" s="2" t="n">
        <x:v>55</x:v>
      </x:c>
      <x:c r="C497" s="40" t="n">
        <x:v>25</x:v>
      </x:c>
      <x:c r="D497" s="40" t="n">
        <x:v>25.66282331943512</x:v>
      </x:c>
      <x:c r="E497" s="40" t="n">
        <x:v>53.67781162261963</x:v>
      </x:c>
      <x:c r="F497" s="13" t="str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</x:row>
    <x:row r="498" ht="27" customHeight="1">
      <x:c r="A498" s="2" t="str">
        <x:v>S007</x:v>
      </x:c>
      <x:c r="B498" s="2" t="n">
        <x:v>56</x:v>
      </x:c>
      <x:c r="C498" s="40" t="n">
        <x:v>22.609039396047592</x:v>
      </x:c>
      <x:c r="D498" s="40" t="n">
        <x:v>24.298913776874542</x:v>
      </x:c>
      <x:c r="E498" s="40" t="n">
        <x:v>50.272420048713684</x:v>
      </x:c>
      <x:c r="F498" s="13" t="str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</x:row>
    <x:row r="499" ht="27" customHeight="1">
      <x:c r="A499" s="2" t="str">
        <x:v>S007</x:v>
      </x:c>
      <x:c r="B499" s="2" t="n">
        <x:v>57</x:v>
      </x:c>
      <x:c r="C499" s="40" t="n">
        <x:v>19.397170841693878</x:v>
      </x:c>
      <x:c r="D499" s="40" t="n">
        <x:v>22.784878313541412</x:v>
      </x:c>
      <x:c r="E499" s="40" t="n">
        <x:v>46.482940316200256</x:v>
      </x:c>
      <x:c r="F499" s="13" t="str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</x:row>
    <x:row r="500" ht="27" customHeight="1">
      <x:c r="A500" s="2" t="str">
        <x:v>S007</x:v>
      </x:c>
      <x:c r="B500" s="2" t="n">
        <x:v>58</x:v>
      </x:c>
      <x:c r="C500" s="40" t="n">
        <x:v>15.644268691539764</x:v>
      </x:c>
      <x:c r="D500" s="40" t="n">
        <x:v>21.09187602996826</x:v>
      </x:c>
      <x:c r="E500" s="40" t="n">
        <x:v>42.23030149936676</x:v>
      </x:c>
      <x:c r="F500" s="13" t="str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</x:row>
    <x:row r="501" ht="27" customHeight="1">
      <x:c r="A501" s="2" t="str">
        <x:v>S007</x:v>
      </x:c>
      <x:c r="B501" s="2" t="n">
        <x:v>59</x:v>
      </x:c>
      <x:c r="C501" s="40" t="n">
        <x:v>11.095839738845825</x:v>
      </x:c>
      <x:c r="D501" s="40" t="n">
        <x:v>19.18165683746338</x:v>
      </x:c>
      <x:c r="E501" s="40" t="n">
        <x:v>37.40558981895447</x:v>
      </x:c>
      <x:c r="F501" s="13" t="str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</x:row>
    <x:row r="502" ht="27" customHeight="1">
      <x:c r="A502" s="2" t="str">
        <x:v>S007</x:v>
      </x:c>
      <x:c r="B502" s="2" t="n">
        <x:v>60</x:v>
      </x:c>
      <x:c r="C502" s="40" t="n">
        <x:v>5.0498902797698975</x:v>
      </x:c>
      <x:c r="D502" s="40" t="n">
        <x:v>17.001226544380188</x:v>
      </x:c>
      <x:c r="E502" s="40" t="n">
        <x:v>31.848825216293335</x:v>
      </x:c>
      <x:c r="F502" s="13" t="str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</x:row>
    <x:row r="503" ht="27" customHeight="1">
      <x:c r="A503" s="2" t="str">
        <x:v>S008</x:v>
      </x:c>
      <x:c r="B503" s="2" t="n">
        <x:v>0</x:v>
      </x:c>
      <x:c r="C503" s="40" t="n">
        <x:v>25</x:v>
      </x:c>
      <x:c r="D503" s="40" t="n">
        <x:v>30</x:v>
      </x:c>
      <x:c r="E503" s="40" t="n">
        <x:v>79.67744767665863</x:v>
      </x:c>
      <x:c r="F503" s="13" t="str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</x:row>
    <x:row r="504" ht="27" customHeight="1">
      <x:c r="A504" s="2" t="str">
        <x:v>S008</x:v>
      </x:c>
      <x:c r="B504" s="2" t="n">
        <x:v>1</x:v>
      </x:c>
      <x:c r="C504" s="40" t="n">
        <x:v>25</x:v>
      </x:c>
      <x:c r="D504" s="40" t="n">
        <x:v>30</x:v>
      </x:c>
      <x:c r="E504" s="40" t="n">
        <x:v>78.9811897277832</x:v>
      </x:c>
      <x:c r="F504" s="13" t="str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</x:row>
    <x:row r="505" ht="27" customHeight="1">
      <x:c r="A505" s="2" t="str">
        <x:v>S008</x:v>
      </x:c>
      <x:c r="B505" s="2" t="n">
        <x:v>2</x:v>
      </x:c>
      <x:c r="C505" s="40" t="n">
        <x:v>25</x:v>
      </x:c>
      <x:c r="D505" s="40" t="n">
        <x:v>30</x:v>
      </x:c>
      <x:c r="E505" s="40" t="n">
        <x:v>78.26062142848969</x:v>
      </x:c>
      <x:c r="F505" s="13" t="str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</x:row>
    <x:row r="506" ht="27" customHeight="1">
      <x:c r="A506" s="2" t="str">
        <x:v>S008</x:v>
      </x:c>
      <x:c r="B506" s="2" t="n">
        <x:v>3</x:v>
      </x:c>
      <x:c r="C506" s="40" t="n">
        <x:v>25</x:v>
      </x:c>
      <x:c r="D506" s="40" t="n">
        <x:v>30</x:v>
      </x:c>
      <x:c r="E506" s="40" t="n">
        <x:v>77.51441895961761</x:v>
      </x:c>
      <x:c r="F506" s="13" t="str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</x:row>
    <x:row r="507" ht="27" customHeight="1">
      <x:c r="A507" s="2" t="str">
        <x:v>S008</x:v>
      </x:c>
      <x:c r="B507" s="2" t="n">
        <x:v>4</x:v>
      </x:c>
      <x:c r="C507" s="40" t="n">
        <x:v>25</x:v>
      </x:c>
      <x:c r="D507" s="40" t="n">
        <x:v>30</x:v>
      </x:c>
      <x:c r="E507" s="40" t="n">
        <x:v>76.74115777015686</x:v>
      </x:c>
      <x:c r="F507" s="13" t="str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</x:row>
    <x:row r="508" ht="27" customHeight="1">
      <x:c r="A508" s="2" t="str">
        <x:v>S008</x:v>
      </x:c>
      <x:c r="B508" s="2" t="n">
        <x:v>5</x:v>
      </x:c>
      <x:c r="C508" s="40" t="n">
        <x:v>25</x:v>
      </x:c>
      <x:c r="D508" s="40" t="n">
        <x:v>30</x:v>
      </x:c>
      <x:c r="E508" s="40" t="n">
        <x:v>75.93930304050446</x:v>
      </x:c>
      <x:c r="F508" s="13" t="str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</x:row>
    <x:row r="509" ht="27" customHeight="1">
      <x:c r="A509" s="2" t="str">
        <x:v>S008</x:v>
      </x:c>
      <x:c r="B509" s="2" t="n">
        <x:v>6</x:v>
      </x:c>
      <x:c r="C509" s="40" t="n">
        <x:v>25</x:v>
      </x:c>
      <x:c r="D509" s="40" t="n">
        <x:v>30</x:v>
      </x:c>
      <x:c r="E509" s="40" t="n">
        <x:v>75.10719537734985</x:v>
      </x:c>
      <x:c r="F509" s="13" t="str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</x:row>
    <x:row r="510" ht="27" customHeight="1">
      <x:c r="A510" s="2" t="str">
        <x:v>S008</x:v>
      </x:c>
      <x:c r="B510" s="2" t="n">
        <x:v>7</x:v>
      </x:c>
      <x:c r="C510" s="40" t="n">
        <x:v>25</x:v>
      </x:c>
      <x:c r="D510" s="40" t="n">
        <x:v>30</x:v>
      </x:c>
      <x:c r="E510" s="40" t="n">
        <x:v>74.24304246902466</x:v>
      </x:c>
      <x:c r="F510" s="13" t="str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</x:row>
    <x:row r="511" ht="27" customHeight="1">
      <x:c r="A511" s="2" t="str">
        <x:v>S008</x:v>
      </x:c>
      <x:c r="B511" s="2" t="n">
        <x:v>8</x:v>
      </x:c>
      <x:c r="C511" s="40" t="n">
        <x:v>25</x:v>
      </x:c>
      <x:c r="D511" s="40" t="n">
        <x:v>30</x:v>
      </x:c>
      <x:c r="E511" s="40" t="n">
        <x:v>73.34490120410919</x:v>
      </x:c>
      <x:c r="F511" s="13" t="str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</x:row>
    <x:row r="512" ht="27" customHeight="1">
      <x:c r="A512" s="2" t="str">
        <x:v>S008</x:v>
      </x:c>
      <x:c r="B512" s="2" t="n">
        <x:v>9</x:v>
      </x:c>
      <x:c r="C512" s="40" t="n">
        <x:v>25</x:v>
      </x:c>
      <x:c r="D512" s="40" t="n">
        <x:v>30</x:v>
      </x:c>
      <x:c r="E512" s="40" t="n">
        <x:v>72.4106615781784</x:v>
      </x:c>
      <x:c r="F512" s="13" t="str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</x:row>
    <x:row r="513" ht="27" customHeight="1">
      <x:c r="A513" s="2" t="str">
        <x:v>S008</x:v>
      </x:c>
      <x:c r="B513" s="2" t="n">
        <x:v>10</x:v>
      </x:c>
      <x:c r="C513" s="40" t="n">
        <x:v>25</x:v>
      </x:c>
      <x:c r="D513" s="40" t="n">
        <x:v>30</x:v>
      </x:c>
      <x:c r="E513" s="40" t="n">
        <x:v>71.4380270242691</x:v>
      </x:c>
      <x:c r="F513" s="13" t="str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</x:row>
    <x:row r="514" ht="27" customHeight="1">
      <x:c r="A514" s="2" t="str">
        <x:v>S008</x:v>
      </x:c>
      <x:c r="B514" s="2" t="n">
        <x:v>11</x:v>
      </x:c>
      <x:c r="C514" s="40" t="n">
        <x:v>25</x:v>
      </x:c>
      <x:c r="D514" s="40" t="n">
        <x:v>30</x:v>
      </x:c>
      <x:c r="E514" s="40" t="n">
        <x:v>70.42449414730072</x:v>
      </x:c>
      <x:c r="F514" s="13" t="str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</x:row>
    <x:row r="515" ht="27" customHeight="1">
      <x:c r="A515" s="2" t="str">
        <x:v>S008</x:v>
      </x:c>
      <x:c r="B515" s="2" t="n">
        <x:v>12</x:v>
      </x:c>
      <x:c r="C515" s="40" t="n">
        <x:v>25</x:v>
      </x:c>
      <x:c r="D515" s="40" t="n">
        <x:v>30</x:v>
      </x:c>
      <x:c r="E515" s="40" t="n">
        <x:v>69.36732411384583</x:v>
      </x:c>
      <x:c r="F515" s="13" t="str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</x:row>
    <x:row r="516" ht="27" customHeight="1">
      <x:c r="A516" s="2" t="str">
        <x:v>S008</x:v>
      </x:c>
      <x:c r="B516" s="2" t="n">
        <x:v>13</x:v>
      </x:c>
      <x:c r="C516" s="40" t="n">
        <x:v>25</x:v>
      </x:c>
      <x:c r="D516" s="40" t="n">
        <x:v>30</x:v>
      </x:c>
      <x:c r="E516" s="40" t="n">
        <x:v>68.26351583003998</x:v>
      </x:c>
      <x:c r="F516" s="13" t="str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</x:row>
    <x:row r="517" ht="27" customHeight="1">
      <x:c r="A517" s="2" t="str">
        <x:v>S008</x:v>
      </x:c>
      <x:c r="B517" s="2" t="n">
        <x:v>14</x:v>
      </x:c>
      <x:c r="C517" s="40" t="n">
        <x:v>25</x:v>
      </x:c>
      <x:c r="D517" s="40" t="n">
        <x:v>30</x:v>
      </x:c>
      <x:c r="E517" s="40" t="n">
        <x:v>67.10976958274841</x:v>
      </x:c>
      <x:c r="F517" s="13" t="str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</x:row>
    <x:row r="518" ht="27" customHeight="1">
      <x:c r="A518" s="2" t="str">
        <x:v>S008</x:v>
      </x:c>
      <x:c r="B518" s="2" t="n">
        <x:v>15</x:v>
      </x:c>
      <x:c r="C518" s="40" t="n">
        <x:v>25</x:v>
      </x:c>
      <x:c r="D518" s="40" t="n">
        <x:v>30</x:v>
      </x:c>
      <x:c r="E518" s="40" t="n">
        <x:v>65.90244710445404</x:v>
      </x:c>
      <x:c r="F518" s="13" t="str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</x:row>
    <x:row r="519" ht="27" customHeight="1">
      <x:c r="A519" s="2" t="str">
        <x:v>S008</x:v>
      </x:c>
      <x:c r="B519" s="2" t="n">
        <x:v>16</x:v>
      </x:c>
      <x:c r="C519" s="40" t="n">
        <x:v>25</x:v>
      </x:c>
      <x:c r="D519" s="40" t="n">
        <x:v>30</x:v>
      </x:c>
      <x:c r="E519" s="40" t="n">
        <x:v>64.63752210140228</x:v>
      </x:c>
      <x:c r="F519" s="13" t="str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</x:row>
    <x:row r="520" ht="27" customHeight="1">
      <x:c r="A520" s="2" t="str">
        <x:v>S008</x:v>
      </x:c>
      <x:c r="B520" s="2" t="n">
        <x:v>17</x:v>
      </x:c>
      <x:c r="C520" s="40" t="n">
        <x:v>25</x:v>
      </x:c>
      <x:c r="D520" s="40" t="n">
        <x:v>30</x:v>
      </x:c>
      <x:c r="E520" s="40" t="n">
        <x:v>63.31052482128143</x:v>
      </x:c>
      <x:c r="F520" s="13" t="str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</x:row>
    <x:row r="521" ht="27" customHeight="1">
      <x:c r="A521" s="2" t="str">
        <x:v>S008</x:v>
      </x:c>
      <x:c r="B521" s="2" t="n">
        <x:v>18</x:v>
      </x:c>
      <x:c r="C521" s="40" t="n">
        <x:v>25</x:v>
      </x:c>
      <x:c r="D521" s="40" t="n">
        <x:v>29.906251430511475</x:v>
      </x:c>
      <x:c r="E521" s="40" t="n">
        <x:v>61.916470527648926</x:v>
      </x:c>
      <x:c r="F521" s="13" t="str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</x:row>
    <x:row r="522" ht="27" customHeight="1">
      <x:c r="A522" s="2" t="str">
        <x:v>S008</x:v>
      </x:c>
      <x:c r="B522" s="2" t="n">
        <x:v>19</x:v>
      </x:c>
      <x:c r="C522" s="40" t="n">
        <x:v>25</x:v>
      </x:c>
      <x:c r="D522" s="40" t="n">
        <x:v>29.367283880710602</x:v>
      </x:c>
      <x:c r="E522" s="40" t="n">
        <x:v>60.44977784156799</x:v>
      </x:c>
      <x:c r="F522" s="13" t="str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</x:row>
    <x:row r="523" ht="27" customHeight="1">
      <x:c r="A523" s="2" t="str">
        <x:v>S008</x:v>
      </x:c>
      <x:c r="B523" s="2" t="n">
        <x:v>20</x:v>
      </x:c>
      <x:c r="C523" s="40" t="n">
        <x:v>25</x:v>
      </x:c>
      <x:c r="D523" s="40" t="n">
        <x:v>28.80136013031006</x:v>
      </x:c>
      <x:c r="E523" s="40" t="n">
        <x:v>58.904165625572205</x:v>
      </x:c>
      <x:c r="F523" s="13" t="str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</x:row>
    <x:row r="524" ht="27" customHeight="1">
      <x:c r="A524" s="2" t="str">
        <x:v>S008</x:v>
      </x:c>
      <x:c r="B524" s="2" t="n">
        <x:v>21</x:v>
      </x:c>
      <x:c r="C524" s="40" t="n">
        <x:v>25</x:v>
      </x:c>
      <x:c r="D524" s="40" t="n">
        <x:v>28.206292390823364</x:v>
      </x:c>
      <x:c r="E524" s="40" t="n">
        <x:v>57.272526025772095</x:v>
      </x:c>
      <x:c r="F524" s="13" t="str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</x:row>
    <x:row r="525" ht="27" customHeight="1">
      <x:c r="A525" s="2" t="str">
        <x:v>S008</x:v>
      </x:c>
      <x:c r="B525" s="2" t="n">
        <x:v>22</x:v>
      </x:c>
      <x:c r="C525" s="40" t="n">
        <x:v>25</x:v>
      </x:c>
      <x:c r="D525" s="40" t="n">
        <x:v>27.579632699489594</x:v>
      </x:c>
      <x:c r="E525" s="40" t="n">
        <x:v>55.54676413536072</x:v>
      </x:c>
      <x:c r="F525" s="13" t="str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</x:row>
    <x:row r="526" ht="27" customHeight="1">
      <x:c r="A526" s="2" t="str">
        <x:v>S008</x:v>
      </x:c>
      <x:c r="B526" s="2" t="n">
        <x:v>23</x:v>
      </x:c>
      <x:c r="C526" s="40" t="n">
        <x:v>25</x:v>
      </x:c>
      <x:c r="D526" s="40" t="n">
        <x:v>26.91862642765045</x:v>
      </x:c>
      <x:c r="E526" s="40" t="n">
        <x:v>53.71760010719299</x:v>
      </x:c>
      <x:c r="F526" s="13" t="str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</x:row>
    <x:row r="527" ht="27" customHeight="1">
      <x:c r="A527" s="2" t="str">
        <x:v>S008</x:v>
      </x:c>
      <x:c r="B527" s="2" t="n">
        <x:v>24</x:v>
      </x:c>
      <x:c r="C527" s="40" t="n">
        <x:v>25</x:v>
      </x:c>
      <x:c r="D527" s="40" t="n">
        <x:v>26.220157742500305</x:v>
      </x:c>
      <x:c r="E527" s="40" t="n">
        <x:v>51.774301528930664</x:v>
      </x:c>
      <x:c r="F527" s="13" t="str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</x:row>
    <x:row r="528" ht="27" customHeight="1">
      <x:c r="A528" s="2" t="str">
        <x:v>S008</x:v>
      </x:c>
      <x:c r="B528" s="2" t="n">
        <x:v>25</x:v>
      </x:c>
      <x:c r="C528" s="40" t="n">
        <x:v>24.563053995370865</x:v>
      </x:c>
      <x:c r="D528" s="40" t="n">
        <x:v>25.480684340000153</x:v>
      </x:c>
      <x:c r="E528" s="40" t="n">
        <x:v>49.70434486865997</x:v>
      </x:c>
      <x:c r="F528" s="13" t="str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</x:row>
    <x:row r="529" ht="27" customHeight="1">
      <x:c r="A529" s="2" t="str">
        <x:v>S008</x:v>
      </x:c>
      <x:c r="B529" s="2" t="n">
        <x:v>26</x:v>
      </x:c>
      <x:c r="C529" s="40" t="n">
        <x:v>22.865545749664307</x:v>
      </x:c>
      <x:c r="D529" s="40" t="n">
        <x:v>24.696149826049805</x:v>
      </x:c>
      <x:c r="E529" s="40" t="n">
        <x:v>47.49294817447662</x:v>
      </x:c>
      <x:c r="F529" s="13" t="str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</x:row>
    <x:row r="530" ht="27" customHeight="1">
      <x:c r="A530" s="2" t="str">
        <x:v>S008</x:v>
      </x:c>
      <x:c r="B530" s="2" t="n">
        <x:v>27</x:v>
      </x:c>
      <x:c r="C530" s="40" t="n">
        <x:v>21.017710864543915</x:v>
      </x:c>
      <x:c r="D530" s="40" t="n">
        <x:v>23.861873745918274</x:v>
      </x:c>
      <x:c r="E530" s="40" t="n">
        <x:v>45.12243151664734</x:v>
      </x:c>
      <x:c r="F530" s="13" t="str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</x:row>
    <x:row r="531" ht="27" customHeight="1">
      <x:c r="A531" s="2" t="str">
        <x:v>S008</x:v>
      </x:c>
      <x:c r="B531" s="2" t="n">
        <x:v>28</x:v>
      </x:c>
      <x:c r="C531" s="40" t="n">
        <x:v>18.990454822778702</x:v>
      </x:c>
      <x:c r="D531" s="40" t="n">
        <x:v>22.972410321235657</x:v>
      </x:c>
      <x:c r="E531" s="40" t="n">
        <x:v>42.57130444049835</x:v>
      </x:c>
      <x:c r="F531" s="13" t="str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</x:row>
    <x:row r="532" ht="27" customHeight="1">
      <x:c r="A532" s="2" t="str">
        <x:v>S008</x:v>
      </x:c>
      <x:c r="B532" s="2" t="n">
        <x:v>29</x:v>
      </x:c>
      <x:c r="C532" s="40" t="n">
        <x:v>16.74293875694275</x:v>
      </x:c>
      <x:c r="D532" s="40" t="n">
        <x:v>22.021356225013733</x:v>
      </x:c>
      <x:c r="E532" s="40" t="n">
        <x:v>39.81291592121124</x:v>
      </x:c>
      <x:c r="F532" s="13" t="str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</x:row>
    <x:row r="533" ht="27" customHeight="1">
      <x:c r="A533" s="2" t="str">
        <x:v>S008</x:v>
      </x:c>
      <x:c r="B533" s="2" t="n">
        <x:v>30</x:v>
      </x:c>
      <x:c r="C533" s="40" t="n">
        <x:v>14.213552325963974</x:v>
      </x:c>
      <x:c r="D533" s="40" t="n">
        <x:v>21.001091301441193</x:v>
      </x:c>
      <x:c r="E533" s="40" t="n">
        <x:v>36.813374161720276</x:v>
      </x:c>
      <x:c r="F533" s="13" t="str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</x:row>
    <x:row r="534" ht="27" customHeight="1">
      <x:c r="A534" s="2" t="str">
        <x:v>S008</x:v>
      </x:c>
      <x:c r="B534" s="2" t="n">
        <x:v>31</x:v>
      </x:c>
      <x:c r="C534" s="40" t="n">
        <x:v>11.298322677612305</x:v>
      </x:c>
      <x:c r="D534" s="40" t="n">
        <x:v>19.902414679527283</x:v>
      </x:c>
      <x:c r="E534" s="40" t="n">
        <x:v>33.52813184261322</x:v>
      </x:c>
      <x:c r="F534" s="13" t="str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</x:row>
    <x:row r="535" ht="27" customHeight="1">
      <x:c r="A535" s="2" t="str">
        <x:v>S008</x:v>
      </x:c>
      <x:c r="B535" s="2" t="n">
        <x:v>32</x:v>
      </x:c>
      <x:c r="C535" s="40" t="n">
        <x:v>7.783211022615433</x:v>
      </x:c>
      <x:c r="D535" s="40" t="n">
        <x:v>18.714013695716858</x:v>
      </x:c>
      <x:c r="E535" s="40" t="n">
        <x:v>29.8960018157959</x:v>
      </x:c>
      <x:c r="F535" s="13" t="str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</x:row>
    <x:row r="536" ht="27" customHeight="1">
      <x:c r="A536" s="2" t="str">
        <x:v>S008</x:v>
      </x:c>
      <x:c r="B536" s="2" t="n">
        <x:v>33</x:v>
      </x:c>
      <x:c r="C536" s="40" t="n">
        <x:v>2.9414936900138855</x:v>
      </x:c>
      <x:c r="D536" s="40" t="n">
        <x:v>17.42167353630066</x:v>
      </x:c>
      <x:c r="E536" s="40" t="n">
        <x:v>25.827542543411255</x:v>
      </x:c>
      <x:c r="F536" s="13" t="str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</x:row>
    <x:row r="537" ht="27" customHeight="1">
      <x:c r="A537" s="2" t="str">
        <x:v>S008</x:v>
      </x:c>
      <x:c r="B537" s="2" t="n">
        <x:v>34</x:v>
      </x:c>
      <x:c r="C537" s="40"/>
      <x:c r="D537" s="40" t="n">
        <x:v>16.00700318813324</x:v>
      </x:c>
      <x:c r="E537" s="40" t="n">
        <x:v>21.17922067642212</x:v>
      </x:c>
      <x:c r="F537" s="13" t="str">
        <x:v>A型空载也不可行</x:v>
      </x:c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</x:row>
    <x:row r="538" ht="27" customHeight="1">
      <x:c r="A538" s="2" t="str">
        <x:v>S008</x:v>
      </x:c>
      <x:c r="B538" s="2" t="n">
        <x:v>35</x:v>
      </x:c>
      <x:c r="C538" s="40"/>
      <x:c r="D538" s="40" t="n">
        <x:v>14.44529414176941</x:v>
      </x:c>
      <x:c r="E538" s="40" t="n">
        <x:v>15.681818127632141</x:v>
      </x:c>
      <x:c r="F538" s="13" t="str">
        <x:v>A型空载也不可行</x:v>
      </x:c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</x:row>
    <x:row r="539" ht="27" customHeight="1">
      <x:c r="A539" s="2" t="str">
        <x:v>S008</x:v>
      </x:c>
      <x:c r="B539" s="2" t="n">
        <x:v>36</x:v>
      </x:c>
      <x:c r="C539" s="40"/>
      <x:c r="D539" s="40" t="n">
        <x:v>12.701561450958252</x:v>
      </x:c>
      <x:c r="E539" s="40" t="n">
        <x:v>8.63621175289154</x:v>
      </x:c>
      <x:c r="F539" s="13" t="str">
        <x:v>A型空载也不可行</x:v>
      </x:c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</x:row>
    <x:row r="540" ht="27" customHeight="1">
      <x:c r="A540" s="2" t="str">
        <x:v>S008</x:v>
      </x:c>
      <x:c r="B540" s="2" t="n">
        <x:v>37</x:v>
      </x:c>
      <x:c r="C540" s="40"/>
      <x:c r="D540" s="40" t="n">
        <x:v>10.7223442196846</x:v>
      </x:c>
      <x:c r="E540" s="40"/>
      <x:c r="F540" s="13" t="str">
        <x:v>A型空载也不可行；C型空载也不可行</x:v>
      </x:c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</x:row>
    <x:row r="541" ht="27" customHeight="1">
      <x:c r="A541" s="2" t="str">
        <x:v>S008</x:v>
      </x:c>
      <x:c r="B541" s="2" t="n">
        <x:v>38</x:v>
      </x:c>
      <x:c r="C541" s="40"/>
      <x:c r="D541" s="40" t="n">
        <x:v>8.415438830852509</x:v>
      </x:c>
      <x:c r="E541" s="40"/>
      <x:c r="F541" s="13" t="str">
        <x:v>A型空载也不可行；C型空载也不可行</x:v>
      </x:c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</x:row>
    <x:row r="542" ht="27" customHeight="1">
      <x:c r="A542" s="2" t="str">
        <x:v>S008</x:v>
      </x:c>
      <x:c r="B542" s="2" t="n">
        <x:v>39</x:v>
      </x:c>
      <x:c r="C542" s="40"/>
      <x:c r="D542" s="40" t="n">
        <x:v>5.582061409950256</x:v>
      </x:c>
      <x:c r="E542" s="40"/>
      <x:c r="F542" s="13" t="str">
        <x:v>A型空载也不可行；C型空载也不可行</x:v>
      </x:c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</x:row>
    <x:row r="543" ht="27" customHeight="1">
      <x:c r="A543" s="2" t="str">
        <x:v>S008</x:v>
      </x:c>
      <x:c r="B543" s="2" t="n">
        <x:v>40</x:v>
      </x:c>
      <x:c r="C543" s="40"/>
      <x:c r="D543" s="40" t="n">
        <x:v>1.3978931307792664</x:v>
      </x:c>
      <x:c r="E543" s="40"/>
      <x:c r="F543" s="13" t="str">
        <x:v>A型空载也不可行；C型空载也不可行</x:v>
      </x:c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</x:row>
    <x:row r="544" ht="27" customHeight="1">
      <x:c r="A544" s="2" t="str">
        <x:v>S008</x:v>
      </x:c>
      <x:c r="B544" s="2" t="n">
        <x:v>41</x:v>
      </x:c>
      <x:c r="C544" s="40"/>
      <x:c r="D544" s="40"/>
      <x:c r="E544" s="40"/>
      <x:c r="F544" s="13" t="str">
        <x:v>A型空载也不可行；B型空载也不可行；C型空载也不可行</x:v>
      </x:c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</x:row>
    <x:row r="545" ht="27" customHeight="1">
      <x:c r="A545" s="2" t="str">
        <x:v>S008</x:v>
      </x:c>
      <x:c r="B545" s="2" t="n">
        <x:v>42</x:v>
      </x:c>
      <x:c r="C545" s="40"/>
      <x:c r="D545" s="40"/>
      <x:c r="E545" s="40"/>
      <x:c r="F545" s="13" t="str">
        <x:v>A型空载也不可行；B型空载也不可行；C型空载也不可行</x:v>
      </x:c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</x:row>
    <x:row r="546" ht="27" customHeight="1">
      <x:c r="A546" s="2" t="str">
        <x:v>S008</x:v>
      </x:c>
      <x:c r="B546" s="2" t="n">
        <x:v>43</x:v>
      </x:c>
      <x:c r="C546" s="40"/>
      <x:c r="D546" s="40"/>
      <x:c r="E546" s="40"/>
      <x:c r="F546" s="13" t="str">
        <x:v>A型空载也不可行；B型空载也不可行；C型空载也不可行</x:v>
      </x:c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</x:row>
    <x:row r="547" ht="27" customHeight="1">
      <x:c r="A547" s="2" t="str">
        <x:v>S008</x:v>
      </x:c>
      <x:c r="B547" s="2" t="n">
        <x:v>44</x:v>
      </x:c>
      <x:c r="C547" s="40"/>
      <x:c r="D547" s="40"/>
      <x:c r="E547" s="40"/>
      <x:c r="F547" s="13" t="str">
        <x:v>A型空载也不可行；B型空载也不可行；C型空载也不可行</x:v>
      </x:c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</x:row>
    <x:row r="548" ht="27" customHeight="1">
      <x:c r="A548" s="2" t="str">
        <x:v>S008</x:v>
      </x:c>
      <x:c r="B548" s="2" t="n">
        <x:v>45</x:v>
      </x:c>
      <x:c r="C548" s="40"/>
      <x:c r="D548" s="40"/>
      <x:c r="E548" s="40"/>
      <x:c r="F548" s="13" t="str">
        <x:v>A型空载也不可行；B型空载也不可行；C型空载也不可行</x:v>
      </x:c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</x:row>
    <x:row r="549" ht="27" customHeight="1">
      <x:c r="A549" s="2" t="str">
        <x:v>S008</x:v>
      </x:c>
      <x:c r="B549" s="2" t="n">
        <x:v>46</x:v>
      </x:c>
      <x:c r="C549" s="40"/>
      <x:c r="D549" s="40"/>
      <x:c r="E549" s="40"/>
      <x:c r="F549" s="13" t="str">
        <x:v>A型空载也不可行；B型空载也不可行；C型空载也不可行</x:v>
      </x:c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</x:row>
    <x:row r="550" ht="27" customHeight="1">
      <x:c r="A550" s="2" t="str">
        <x:v>S008</x:v>
      </x:c>
      <x:c r="B550" s="2" t="n">
        <x:v>47</x:v>
      </x:c>
      <x:c r="C550" s="40"/>
      <x:c r="D550" s="40"/>
      <x:c r="E550" s="40"/>
      <x:c r="F550" s="13" t="str">
        <x:v>A型空载也不可行；B型空载也不可行；C型空载也不可行</x:v>
      </x:c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</x:row>
    <x:row r="551" ht="27" customHeight="1">
      <x:c r="A551" s="2" t="str">
        <x:v>S008</x:v>
      </x:c>
      <x:c r="B551" s="2" t="n">
        <x:v>48</x:v>
      </x:c>
      <x:c r="C551" s="40"/>
      <x:c r="D551" s="40"/>
      <x:c r="E551" s="40"/>
      <x:c r="F551" s="13" t="str">
        <x:v>A型空载也不可行；B型空载也不可行；C型空载也不可行</x:v>
      </x:c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</x:row>
    <x:row r="552" ht="27" customHeight="1">
      <x:c r="A552" s="2" t="str">
        <x:v>S008</x:v>
      </x:c>
      <x:c r="B552" s="2" t="n">
        <x:v>49</x:v>
      </x:c>
      <x:c r="C552" s="40"/>
      <x:c r="D552" s="40"/>
      <x:c r="E552" s="40"/>
      <x:c r="F552" s="13" t="str">
        <x:v>A型空载也不可行；B型空载也不可行；C型空载也不可行</x:v>
      </x:c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</x:row>
    <x:row r="553" ht="27" customHeight="1">
      <x:c r="A553" s="2" t="str">
        <x:v>S008</x:v>
      </x:c>
      <x:c r="B553" s="2" t="n">
        <x:v>50</x:v>
      </x:c>
      <x:c r="C553" s="40"/>
      <x:c r="D553" s="40"/>
      <x:c r="E553" s="40"/>
      <x:c r="F553" s="13" t="str">
        <x:v>A型空载也不可行；B型空载也不可行；C型空载也不可行</x:v>
      </x:c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</x:row>
    <x:row r="554" ht="27" customHeight="1">
      <x:c r="A554" s="2" t="str">
        <x:v>S008</x:v>
      </x:c>
      <x:c r="B554" s="2" t="n">
        <x:v>51</x:v>
      </x:c>
      <x:c r="C554" s="40"/>
      <x:c r="D554" s="40"/>
      <x:c r="E554" s="40"/>
      <x:c r="F554" s="13" t="str">
        <x:v>A型空载也不可行；B型空载也不可行；C型空载也不可行</x:v>
      </x:c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</x:row>
    <x:row r="555" ht="27" customHeight="1">
      <x:c r="A555" s="2" t="str">
        <x:v>S008</x:v>
      </x:c>
      <x:c r="B555" s="2" t="n">
        <x:v>52</x:v>
      </x:c>
      <x:c r="C555" s="40"/>
      <x:c r="D555" s="40"/>
      <x:c r="E555" s="40"/>
      <x:c r="F555" s="13" t="str">
        <x:v>A型空载也不可行；B型空载也不可行；C型空载也不可行</x:v>
      </x:c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</x:row>
    <x:row r="556" ht="27" customHeight="1">
      <x:c r="A556" s="2" t="str">
        <x:v>S008</x:v>
      </x:c>
      <x:c r="B556" s="2" t="n">
        <x:v>53</x:v>
      </x:c>
      <x:c r="C556" s="40"/>
      <x:c r="D556" s="40"/>
      <x:c r="E556" s="40"/>
      <x:c r="F556" s="13" t="str">
        <x:v>A型空载也不可行；B型空载也不可行；C型空载也不可行</x:v>
      </x:c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</x:row>
    <x:row r="557" ht="27" customHeight="1">
      <x:c r="A557" s="2" t="str">
        <x:v>S008</x:v>
      </x:c>
      <x:c r="B557" s="2" t="n">
        <x:v>54</x:v>
      </x:c>
      <x:c r="C557" s="40"/>
      <x:c r="D557" s="40"/>
      <x:c r="E557" s="40"/>
      <x:c r="F557" s="13" t="str">
        <x:v>A型空载也不可行；B型空载也不可行；C型空载也不可行</x:v>
      </x:c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</x:row>
    <x:row r="558" ht="27" customHeight="1">
      <x:c r="A558" s="2" t="str">
        <x:v>S008</x:v>
      </x:c>
      <x:c r="B558" s="2" t="n">
        <x:v>55</x:v>
      </x:c>
      <x:c r="C558" s="40"/>
      <x:c r="D558" s="40"/>
      <x:c r="E558" s="40"/>
      <x:c r="F558" s="13" t="str">
        <x:v>A型空载也不可行；B型空载也不可行；C型空载也不可行</x:v>
      </x:c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</x:row>
    <x:row r="559" ht="27" customHeight="1">
      <x:c r="A559" s="2" t="str">
        <x:v>S008</x:v>
      </x:c>
      <x:c r="B559" s="2" t="n">
        <x:v>56</x:v>
      </x:c>
      <x:c r="C559" s="40"/>
      <x:c r="D559" s="40"/>
      <x:c r="E559" s="40"/>
      <x:c r="F559" s="13" t="str">
        <x:v>A型空载也不可行；B型空载也不可行；C型空载也不可行</x:v>
      </x:c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</x:row>
    <x:row r="560" ht="27" customHeight="1">
      <x:c r="A560" s="2" t="str">
        <x:v>S008</x:v>
      </x:c>
      <x:c r="B560" s="2" t="n">
        <x:v>57</x:v>
      </x:c>
      <x:c r="C560" s="40"/>
      <x:c r="D560" s="40"/>
      <x:c r="E560" s="40"/>
      <x:c r="F560" s="13" t="str">
        <x:v>A型空载也不可行；B型空载也不可行；C型空载也不可行</x:v>
      </x:c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</x:row>
    <x:row r="561" ht="27" customHeight="1">
      <x:c r="A561" s="2" t="str">
        <x:v>S008</x:v>
      </x:c>
      <x:c r="B561" s="2" t="n">
        <x:v>58</x:v>
      </x:c>
      <x:c r="C561" s="40"/>
      <x:c r="D561" s="40"/>
      <x:c r="E561" s="40"/>
      <x:c r="F561" s="13" t="str">
        <x:v>A型空载也不可行；B型空载也不可行；C型空载也不可行</x:v>
      </x:c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</x:row>
    <x:row r="562" ht="27" customHeight="1">
      <x:c r="A562" s="2" t="str">
        <x:v>S008</x:v>
      </x:c>
      <x:c r="B562" s="2" t="n">
        <x:v>59</x:v>
      </x:c>
      <x:c r="C562" s="40"/>
      <x:c r="D562" s="40"/>
      <x:c r="E562" s="40"/>
      <x:c r="F562" s="13" t="str">
        <x:v>A型空载也不可行；B型空载也不可行；C型空载也不可行</x:v>
      </x:c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</x:row>
    <x:row r="563" ht="27" customHeight="1">
      <x:c r="A563" s="2" t="str">
        <x:v>S008</x:v>
      </x:c>
      <x:c r="B563" s="2" t="n">
        <x:v>60</x:v>
      </x:c>
      <x:c r="C563" s="40"/>
      <x:c r="D563" s="40"/>
      <x:c r="E563" s="40"/>
      <x:c r="F563" s="13" t="str">
        <x:v>A型空载也不可行；B型空载也不可行；C型空载也不可行</x:v>
      </x:c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</x:row>
    <x:row r="564" ht="27" customHeight="1">
      <x:c r="A564" s="2" t="str">
        <x:v>S009</x:v>
      </x:c>
      <x:c r="B564" s="2" t="n">
        <x:v>0</x:v>
      </x:c>
      <x:c r="C564" s="40" t="n">
        <x:v>25</x:v>
      </x:c>
      <x:c r="D564" s="40" t="n">
        <x:v>30</x:v>
      </x:c>
      <x:c r="E564" s="40" t="n">
        <x:v>80</x:v>
      </x:c>
      <x:c r="F564" s="13" t="str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</x:row>
    <x:row r="565" ht="27" customHeight="1">
      <x:c r="A565" s="2" t="str">
        <x:v>S009</x:v>
      </x:c>
      <x:c r="B565" s="2" t="n">
        <x:v>1</x:v>
      </x:c>
      <x:c r="C565" s="40" t="n">
        <x:v>25</x:v>
      </x:c>
      <x:c r="D565" s="40" t="n">
        <x:v>30</x:v>
      </x:c>
      <x:c r="E565" s="40" t="n">
        <x:v>80</x:v>
      </x:c>
      <x:c r="F565" s="13" t="str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</x:row>
    <x:row r="566" ht="27" customHeight="1">
      <x:c r="A566" s="2" t="str">
        <x:v>S009</x:v>
      </x:c>
      <x:c r="B566" s="2" t="n">
        <x:v>2</x:v>
      </x:c>
      <x:c r="C566" s="40" t="n">
        <x:v>25</x:v>
      </x:c>
      <x:c r="D566" s="40" t="n">
        <x:v>30</x:v>
      </x:c>
      <x:c r="E566" s="40" t="n">
        <x:v>80</x:v>
      </x:c>
      <x:c r="F566" s="13" t="str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</x:row>
    <x:row r="567" ht="27" customHeight="1">
      <x:c r="A567" s="2" t="str">
        <x:v>S009</x:v>
      </x:c>
      <x:c r="B567" s="2" t="n">
        <x:v>3</x:v>
      </x:c>
      <x:c r="C567" s="40" t="n">
        <x:v>25</x:v>
      </x:c>
      <x:c r="D567" s="40" t="n">
        <x:v>30</x:v>
      </x:c>
      <x:c r="E567" s="40" t="n">
        <x:v>80</x:v>
      </x:c>
      <x:c r="F567" s="13" t="str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</x:row>
    <x:row r="568" ht="27" customHeight="1">
      <x:c r="A568" s="2" t="str">
        <x:v>S009</x:v>
      </x:c>
      <x:c r="B568" s="2" t="n">
        <x:v>4</x:v>
      </x:c>
      <x:c r="C568" s="40" t="n">
        <x:v>25</x:v>
      </x:c>
      <x:c r="D568" s="40" t="n">
        <x:v>30</x:v>
      </x:c>
      <x:c r="E568" s="40" t="n">
        <x:v>80</x:v>
      </x:c>
      <x:c r="F568" s="13" t="str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</x:row>
    <x:row r="569" ht="27" customHeight="1">
      <x:c r="A569" s="2" t="str">
        <x:v>S009</x:v>
      </x:c>
      <x:c r="B569" s="2" t="n">
        <x:v>5</x:v>
      </x:c>
      <x:c r="C569" s="40" t="n">
        <x:v>25</x:v>
      </x:c>
      <x:c r="D569" s="40" t="n">
        <x:v>30</x:v>
      </x:c>
      <x:c r="E569" s="40" t="n">
        <x:v>80</x:v>
      </x:c>
      <x:c r="F569" s="13" t="str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</x:row>
    <x:row r="570" ht="27" customHeight="1">
      <x:c r="A570" s="2" t="str">
        <x:v>S009</x:v>
      </x:c>
      <x:c r="B570" s="2" t="n">
        <x:v>6</x:v>
      </x:c>
      <x:c r="C570" s="40" t="n">
        <x:v>25</x:v>
      </x:c>
      <x:c r="D570" s="40" t="n">
        <x:v>30</x:v>
      </x:c>
      <x:c r="E570" s="40" t="n">
        <x:v>80</x:v>
      </x:c>
      <x:c r="F570" s="13" t="str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</x:row>
    <x:row r="571" ht="27" customHeight="1">
      <x:c r="A571" s="2" t="str">
        <x:v>S009</x:v>
      </x:c>
      <x:c r="B571" s="2" t="n">
        <x:v>7</x:v>
      </x:c>
      <x:c r="C571" s="40" t="n">
        <x:v>25</x:v>
      </x:c>
      <x:c r="D571" s="40" t="n">
        <x:v>30</x:v>
      </x:c>
      <x:c r="E571" s="40" t="n">
        <x:v>80</x:v>
      </x:c>
      <x:c r="F571" s="13" t="str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</x:row>
    <x:row r="572" ht="27" customHeight="1">
      <x:c r="A572" s="2" t="str">
        <x:v>S009</x:v>
      </x:c>
      <x:c r="B572" s="2" t="n">
        <x:v>8</x:v>
      </x:c>
      <x:c r="C572" s="40" t="n">
        <x:v>25</x:v>
      </x:c>
      <x:c r="D572" s="40" t="n">
        <x:v>30</x:v>
      </x:c>
      <x:c r="E572" s="40" t="n">
        <x:v>80</x:v>
      </x:c>
      <x:c r="F572" s="13" t="str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</x:row>
    <x:row r="573" ht="27" customHeight="1">
      <x:c r="A573" s="2" t="str">
        <x:v>S009</x:v>
      </x:c>
      <x:c r="B573" s="2" t="n">
        <x:v>9</x:v>
      </x:c>
      <x:c r="C573" s="40" t="n">
        <x:v>25</x:v>
      </x:c>
      <x:c r="D573" s="40" t="n">
        <x:v>30</x:v>
      </x:c>
      <x:c r="E573" s="40" t="n">
        <x:v>80</x:v>
      </x:c>
      <x:c r="F573" s="13" t="str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</x:row>
    <x:row r="574" ht="27" customHeight="1">
      <x:c r="A574" s="2" t="str">
        <x:v>S009</x:v>
      </x:c>
      <x:c r="B574" s="2" t="n">
        <x:v>10</x:v>
      </x:c>
      <x:c r="C574" s="40" t="n">
        <x:v>25</x:v>
      </x:c>
      <x:c r="D574" s="40" t="n">
        <x:v>30</x:v>
      </x:c>
      <x:c r="E574" s="40" t="n">
        <x:v>80</x:v>
      </x:c>
      <x:c r="F574" s="13" t="str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</x:row>
    <x:row r="575" ht="27" customHeight="1">
      <x:c r="A575" s="2" t="str">
        <x:v>S009</x:v>
      </x:c>
      <x:c r="B575" s="2" t="n">
        <x:v>11</x:v>
      </x:c>
      <x:c r="C575" s="40" t="n">
        <x:v>25</x:v>
      </x:c>
      <x:c r="D575" s="40" t="n">
        <x:v>30</x:v>
      </x:c>
      <x:c r="E575" s="40" t="n">
        <x:v>80</x:v>
      </x:c>
      <x:c r="F575" s="13" t="str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</x:row>
    <x:row r="576" ht="27" customHeight="1">
      <x:c r="A576" s="2" t="str">
        <x:v>S009</x:v>
      </x:c>
      <x:c r="B576" s="2" t="n">
        <x:v>12</x:v>
      </x:c>
      <x:c r="C576" s="40" t="n">
        <x:v>25</x:v>
      </x:c>
      <x:c r="D576" s="40" t="n">
        <x:v>30</x:v>
      </x:c>
      <x:c r="E576" s="40" t="n">
        <x:v>80</x:v>
      </x:c>
      <x:c r="F576" s="13" t="str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</x:row>
    <x:row r="577" ht="27" customHeight="1">
      <x:c r="A577" s="2" t="str">
        <x:v>S009</x:v>
      </x:c>
      <x:c r="B577" s="2" t="n">
        <x:v>13</x:v>
      </x:c>
      <x:c r="C577" s="40" t="n">
        <x:v>25</x:v>
      </x:c>
      <x:c r="D577" s="40" t="n">
        <x:v>30</x:v>
      </x:c>
      <x:c r="E577" s="40" t="n">
        <x:v>80</x:v>
      </x:c>
      <x:c r="F577" s="13" t="str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</x:row>
    <x:row r="578" ht="27" customHeight="1">
      <x:c r="A578" s="2" t="str">
        <x:v>S009</x:v>
      </x:c>
      <x:c r="B578" s="2" t="n">
        <x:v>14</x:v>
      </x:c>
      <x:c r="C578" s="40" t="n">
        <x:v>25</x:v>
      </x:c>
      <x:c r="D578" s="40" t="n">
        <x:v>30</x:v>
      </x:c>
      <x:c r="E578" s="40" t="n">
        <x:v>80</x:v>
      </x:c>
      <x:c r="F578" s="13" t="str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</x:row>
    <x:row r="579" ht="27" customHeight="1">
      <x:c r="A579" s="2" t="str">
        <x:v>S009</x:v>
      </x:c>
      <x:c r="B579" s="2" t="n">
        <x:v>15</x:v>
      </x:c>
      <x:c r="C579" s="40" t="n">
        <x:v>25</x:v>
      </x:c>
      <x:c r="D579" s="40" t="n">
        <x:v>30</x:v>
      </x:c>
      <x:c r="E579" s="40" t="n">
        <x:v>80</x:v>
      </x:c>
      <x:c r="F579" s="13" t="str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</x:row>
    <x:row r="580" ht="27" customHeight="1">
      <x:c r="A580" s="2" t="str">
        <x:v>S009</x:v>
      </x:c>
      <x:c r="B580" s="2" t="n">
        <x:v>16</x:v>
      </x:c>
      <x:c r="C580" s="40" t="n">
        <x:v>25</x:v>
      </x:c>
      <x:c r="D580" s="40" t="n">
        <x:v>30</x:v>
      </x:c>
      <x:c r="E580" s="40" t="n">
        <x:v>80</x:v>
      </x:c>
      <x:c r="F580" s="13" t="str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</x:row>
    <x:row r="581" ht="27" customHeight="1">
      <x:c r="A581" s="2" t="str">
        <x:v>S009</x:v>
      </x:c>
      <x:c r="B581" s="2" t="n">
        <x:v>17</x:v>
      </x:c>
      <x:c r="C581" s="40" t="n">
        <x:v>25</x:v>
      </x:c>
      <x:c r="D581" s="40" t="n">
        <x:v>30</x:v>
      </x:c>
      <x:c r="E581" s="40" t="n">
        <x:v>80</x:v>
      </x:c>
      <x:c r="F581" s="13" t="str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</x:row>
    <x:row r="582" ht="27" customHeight="1">
      <x:c r="A582" s="2" t="str">
        <x:v>S009</x:v>
      </x:c>
      <x:c r="B582" s="2" t="n">
        <x:v>18</x:v>
      </x:c>
      <x:c r="C582" s="40" t="n">
        <x:v>25</x:v>
      </x:c>
      <x:c r="D582" s="40" t="n">
        <x:v>30</x:v>
      </x:c>
      <x:c r="E582" s="40" t="n">
        <x:v>80</x:v>
      </x:c>
      <x:c r="F582" s="13" t="str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</x:row>
    <x:row r="583" ht="27" customHeight="1">
      <x:c r="A583" s="2" t="str">
        <x:v>S009</x:v>
      </x:c>
      <x:c r="B583" s="2" t="n">
        <x:v>19</x:v>
      </x:c>
      <x:c r="C583" s="40" t="n">
        <x:v>25</x:v>
      </x:c>
      <x:c r="D583" s="40" t="n">
        <x:v>30</x:v>
      </x:c>
      <x:c r="E583" s="40" t="n">
        <x:v>80</x:v>
      </x:c>
      <x:c r="F583" s="13" t="str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</x:row>
    <x:row r="584" ht="27" customHeight="1">
      <x:c r="A584" s="2" t="str">
        <x:v>S009</x:v>
      </x:c>
      <x:c r="B584" s="2" t="n">
        <x:v>20</x:v>
      </x:c>
      <x:c r="C584" s="40" t="n">
        <x:v>25</x:v>
      </x:c>
      <x:c r="D584" s="40" t="n">
        <x:v>30</x:v>
      </x:c>
      <x:c r="E584" s="40" t="n">
        <x:v>80</x:v>
      </x:c>
      <x:c r="F584" s="13" t="str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</x:row>
    <x:row r="585" ht="27" customHeight="1">
      <x:c r="A585" s="2" t="str">
        <x:v>S009</x:v>
      </x:c>
      <x:c r="B585" s="2" t="n">
        <x:v>21</x:v>
      </x:c>
      <x:c r="C585" s="40" t="n">
        <x:v>25</x:v>
      </x:c>
      <x:c r="D585" s="40" t="n">
        <x:v>30</x:v>
      </x:c>
      <x:c r="E585" s="40" t="n">
        <x:v>80</x:v>
      </x:c>
      <x:c r="F585" s="13" t="str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</x:row>
    <x:row r="586" ht="27" customHeight="1">
      <x:c r="A586" s="2" t="str">
        <x:v>S009</x:v>
      </x:c>
      <x:c r="B586" s="2" t="n">
        <x:v>22</x:v>
      </x:c>
      <x:c r="C586" s="40" t="n">
        <x:v>25</x:v>
      </x:c>
      <x:c r="D586" s="40" t="n">
        <x:v>30</x:v>
      </x:c>
      <x:c r="E586" s="40" t="n">
        <x:v>80</x:v>
      </x:c>
      <x:c r="F586" s="13" t="str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</x:row>
    <x:row r="587" ht="27" customHeight="1">
      <x:c r="A587" s="2" t="str">
        <x:v>S009</x:v>
      </x:c>
      <x:c r="B587" s="2" t="n">
        <x:v>23</x:v>
      </x:c>
      <x:c r="C587" s="40" t="n">
        <x:v>25</x:v>
      </x:c>
      <x:c r="D587" s="40" t="n">
        <x:v>30</x:v>
      </x:c>
      <x:c r="E587" s="40" t="n">
        <x:v>80</x:v>
      </x:c>
      <x:c r="F587" s="13" t="str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</x:row>
    <x:row r="588" ht="27" customHeight="1">
      <x:c r="A588" s="2" t="str">
        <x:v>S009</x:v>
      </x:c>
      <x:c r="B588" s="2" t="n">
        <x:v>24</x:v>
      </x:c>
      <x:c r="C588" s="40" t="n">
        <x:v>25</x:v>
      </x:c>
      <x:c r="D588" s="40" t="n">
        <x:v>30</x:v>
      </x:c>
      <x:c r="E588" s="40" t="n">
        <x:v>80</x:v>
      </x:c>
      <x:c r="F588" s="13" t="str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</x:row>
    <x:row r="589" ht="27" customHeight="1">
      <x:c r="A589" s="2" t="str">
        <x:v>S009</x:v>
      </x:c>
      <x:c r="B589" s="2" t="n">
        <x:v>25</x:v>
      </x:c>
      <x:c r="C589" s="40" t="n">
        <x:v>25</x:v>
      </x:c>
      <x:c r="D589" s="40" t="n">
        <x:v>30</x:v>
      </x:c>
      <x:c r="E589" s="40" t="n">
        <x:v>80</x:v>
      </x:c>
      <x:c r="F589" s="13" t="str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</x:row>
    <x:row r="590" ht="27" customHeight="1">
      <x:c r="A590" s="2" t="str">
        <x:v>S009</x:v>
      </x:c>
      <x:c r="B590" s="2" t="n">
        <x:v>26</x:v>
      </x:c>
      <x:c r="C590" s="40" t="n">
        <x:v>25</x:v>
      </x:c>
      <x:c r="D590" s="40" t="n">
        <x:v>30</x:v>
      </x:c>
      <x:c r="E590" s="40" t="n">
        <x:v>80</x:v>
      </x:c>
      <x:c r="F590" s="13" t="str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</x:row>
    <x:row r="591" ht="27" customHeight="1">
      <x:c r="A591" s="2" t="str">
        <x:v>S009</x:v>
      </x:c>
      <x:c r="B591" s="2" t="n">
        <x:v>27</x:v>
      </x:c>
      <x:c r="C591" s="40" t="n">
        <x:v>25</x:v>
      </x:c>
      <x:c r="D591" s="40" t="n">
        <x:v>30</x:v>
      </x:c>
      <x:c r="E591" s="40" t="n">
        <x:v>80</x:v>
      </x:c>
      <x:c r="F591" s="13" t="str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</x:row>
    <x:row r="592" ht="27" customHeight="1">
      <x:c r="A592" s="2" t="str">
        <x:v>S009</x:v>
      </x:c>
      <x:c r="B592" s="2" t="n">
        <x:v>28</x:v>
      </x:c>
      <x:c r="C592" s="40" t="n">
        <x:v>25</x:v>
      </x:c>
      <x:c r="D592" s="40" t="n">
        <x:v>30</x:v>
      </x:c>
      <x:c r="E592" s="40" t="n">
        <x:v>80</x:v>
      </x:c>
      <x:c r="F592" s="13" t="str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</x:row>
    <x:row r="593" ht="27" customHeight="1">
      <x:c r="A593" s="2" t="str">
        <x:v>S009</x:v>
      </x:c>
      <x:c r="B593" s="2" t="n">
        <x:v>29</x:v>
      </x:c>
      <x:c r="C593" s="40" t="n">
        <x:v>25</x:v>
      </x:c>
      <x:c r="D593" s="40" t="n">
        <x:v>30</x:v>
      </x:c>
      <x:c r="E593" s="40" t="n">
        <x:v>80</x:v>
      </x:c>
      <x:c r="F593" s="13" t="str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</x:row>
    <x:row r="594" ht="27" customHeight="1">
      <x:c r="A594" s="2" t="str">
        <x:v>S009</x:v>
      </x:c>
      <x:c r="B594" s="2" t="n">
        <x:v>30</x:v>
      </x:c>
      <x:c r="C594" s="40" t="n">
        <x:v>25</x:v>
      </x:c>
      <x:c r="D594" s="40" t="n">
        <x:v>30</x:v>
      </x:c>
      <x:c r="E594" s="40" t="n">
        <x:v>79.15210485458374</x:v>
      </x:c>
      <x:c r="F594" s="13" t="str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</x:row>
    <x:row r="595" ht="27" customHeight="1">
      <x:c r="A595" s="2" t="str">
        <x:v>S009</x:v>
      </x:c>
      <x:c r="B595" s="2" t="n">
        <x:v>31</x:v>
      </x:c>
      <x:c r="C595" s="40" t="n">
        <x:v>25</x:v>
      </x:c>
      <x:c r="D595" s="40" t="n">
        <x:v>30</x:v>
      </x:c>
      <x:c r="E595" s="40" t="n">
        <x:v>78.13247859477997</x:v>
      </x:c>
      <x:c r="F595" s="13" t="str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</x:row>
    <x:row r="596" ht="27" customHeight="1">
      <x:c r="A596" s="2" t="str">
        <x:v>S009</x:v>
      </x:c>
      <x:c r="B596" s="2" t="n">
        <x:v>32</x:v>
      </x:c>
      <x:c r="C596" s="40" t="n">
        <x:v>25</x:v>
      </x:c>
      <x:c r="D596" s="40" t="n">
        <x:v>30</x:v>
      </x:c>
      <x:c r="E596" s="40" t="n">
        <x:v>77.0608901977539</x:v>
      </x:c>
      <x:c r="F596" s="13" t="str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</x:row>
    <x:row r="597" ht="27" customHeight="1">
      <x:c r="A597" s="2" t="str">
        <x:v>S009</x:v>
      </x:c>
      <x:c r="B597" s="2" t="n">
        <x:v>33</x:v>
      </x:c>
      <x:c r="C597" s="40" t="n">
        <x:v>25</x:v>
      </x:c>
      <x:c r="D597" s="40" t="n">
        <x:v>30</x:v>
      </x:c>
      <x:c r="E597" s="40" t="n">
        <x:v>75.93316435813904</x:v>
      </x:c>
      <x:c r="F597" s="13" t="str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</x:row>
    <x:row r="598" ht="27" customHeight="1">
      <x:c r="A598" s="2" t="str">
        <x:v>S009</x:v>
      </x:c>
      <x:c r="B598" s="2" t="n">
        <x:v>34</x:v>
      </x:c>
      <x:c r="C598" s="40" t="n">
        <x:v>25</x:v>
      </x:c>
      <x:c r="D598" s="40" t="n">
        <x:v>30</x:v>
      </x:c>
      <x:c r="E598" s="40" t="n">
        <x:v>74.74465072154999</x:v>
      </x:c>
      <x:c r="F598" s="13" t="str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</x:row>
    <x:row r="599" ht="27" customHeight="1">
      <x:c r="A599" s="2" t="str">
        <x:v>S009</x:v>
      </x:c>
      <x:c r="B599" s="2" t="n">
        <x:v>35</x:v>
      </x:c>
      <x:c r="C599" s="40" t="n">
        <x:v>25</x:v>
      </x:c>
      <x:c r="D599" s="40" t="n">
        <x:v>30</x:v>
      </x:c>
      <x:c r="E599" s="40" t="n">
        <x:v>73.490149974823</x:v>
      </x:c>
      <x:c r="F599" s="13" t="str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</x:row>
    <x:row r="600" ht="27" customHeight="1">
      <x:c r="A600" s="2" t="str">
        <x:v>S009</x:v>
      </x:c>
      <x:c r="B600" s="2" t="n">
        <x:v>36</x:v>
      </x:c>
      <x:c r="C600" s="40" t="n">
        <x:v>25</x:v>
      </x:c>
      <x:c r="D600" s="40" t="n">
        <x:v>30</x:v>
      </x:c>
      <x:c r="E600" s="40" t="n">
        <x:v>72.16382801532745</x:v>
      </x:c>
      <x:c r="F600" s="13" t="str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</x:row>
    <x:row r="601" ht="27" customHeight="1">
      <x:c r="A601" s="2" t="str">
        <x:v>S009</x:v>
      </x:c>
      <x:c r="B601" s="2" t="n">
        <x:v>37</x:v>
      </x:c>
      <x:c r="C601" s="40" t="n">
        <x:v>25</x:v>
      </x:c>
      <x:c r="D601" s="40" t="n">
        <x:v>30</x:v>
      </x:c>
      <x:c r="E601" s="40" t="n">
        <x:v>70.75911164283752</x:v>
      </x:c>
      <x:c r="F601" s="13" t="str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</x:row>
    <x:row r="602" ht="27" customHeight="1">
      <x:c r="A602" s="2" t="str">
        <x:v>S009</x:v>
      </x:c>
      <x:c r="B602" s="2" t="n">
        <x:v>38</x:v>
      </x:c>
      <x:c r="C602" s="40" t="n">
        <x:v>25</x:v>
      </x:c>
      <x:c r="D602" s="40" t="n">
        <x:v>30</x:v>
      </x:c>
      <x:c r="E602" s="40" t="n">
        <x:v>69.26855802536011</x:v>
      </x:c>
      <x:c r="F602" s="13" t="str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</x:row>
    <x:row r="603" ht="27" customHeight="1">
      <x:c r="A603" s="2" t="str">
        <x:v>S009</x:v>
      </x:c>
      <x:c r="B603" s="2" t="n">
        <x:v>39</x:v>
      </x:c>
      <x:c r="C603" s="40" t="n">
        <x:v>25</x:v>
      </x:c>
      <x:c r="D603" s="40" t="n">
        <x:v>30</x:v>
      </x:c>
      <x:c r="E603" s="40" t="n">
        <x:v>67.68369674682617</x:v>
      </x:c>
      <x:c r="F603" s="13" t="str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</x:row>
    <x:row r="604" ht="27" customHeight="1">
      <x:c r="A604" s="2" t="str">
        <x:v>S009</x:v>
      </x:c>
      <x:c r="B604" s="2" t="n">
        <x:v>40</x:v>
      </x:c>
      <x:c r="C604" s="40" t="n">
        <x:v>25</x:v>
      </x:c>
      <x:c r="D604" s="40" t="n">
        <x:v>30</x:v>
      </x:c>
      <x:c r="E604" s="40" t="n">
        <x:v>65.99483489990234</x:v>
      </x:c>
      <x:c r="F604" s="13" t="str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</x:row>
    <x:row r="605" ht="27" customHeight="1">
      <x:c r="A605" s="2" t="str">
        <x:v>S009</x:v>
      </x:c>
      <x:c r="B605" s="2" t="n">
        <x:v>41</x:v>
      </x:c>
      <x:c r="C605" s="40" t="n">
        <x:v>25</x:v>
      </x:c>
      <x:c r="D605" s="40" t="n">
        <x:v>30</x:v>
      </x:c>
      <x:c r="E605" s="40" t="n">
        <x:v>64.19080853462219</x:v>
      </x:c>
      <x:c r="F605" s="13" t="str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</x:row>
    <x:row r="606" ht="27" customHeight="1">
      <x:c r="A606" s="2" t="str">
        <x:v>S009</x:v>
      </x:c>
      <x:c r="B606" s="2" t="n">
        <x:v>42</x:v>
      </x:c>
      <x:c r="C606" s="40" t="n">
        <x:v>25</x:v>
      </x:c>
      <x:c r="D606" s="40" t="n">
        <x:v>30</x:v>
      </x:c>
      <x:c r="E606" s="40" t="n">
        <x:v>62.258665561676025</x:v>
      </x:c>
      <x:c r="F606" s="13" t="str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</x:row>
    <x:row r="607" ht="27" customHeight="1">
      <x:c r="A607" s="2" t="str">
        <x:v>S009</x:v>
      </x:c>
      <x:c r="B607" s="2" t="n">
        <x:v>43</x:v>
      </x:c>
      <x:c r="C607" s="40" t="n">
        <x:v>25</x:v>
      </x:c>
      <x:c r="D607" s="40" t="n">
        <x:v>29.305889904499054</x:v>
      </x:c>
      <x:c r="E607" s="40" t="n">
        <x:v>60.183255672454834</x:v>
      </x:c>
      <x:c r="F607" s="13" t="str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</x:row>
    <x:row r="608" ht="27" customHeight="1">
      <x:c r="A608" s="2" t="str">
        <x:v>S009</x:v>
      </x:c>
      <x:c r="B608" s="2" t="n">
        <x:v>44</x:v>
      </x:c>
      <x:c r="C608" s="40" t="n">
        <x:v>25</x:v>
      </x:c>
      <x:c r="D608" s="40" t="n">
        <x:v>28.49106252193451</x:v>
      </x:c>
      <x:c r="E608" s="40" t="n">
        <x:v>57.94668912887573</x:v>
      </x:c>
      <x:c r="F608" s="13" t="str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</x:row>
    <x:row r="609" ht="27" customHeight="1">
      <x:c r="A609" s="2" t="str">
        <x:v>S009</x:v>
      </x:c>
      <x:c r="B609" s="2" t="n">
        <x:v>45</x:v>
      </x:c>
      <x:c r="C609" s="40" t="n">
        <x:v>25</x:v>
      </x:c>
      <x:c r="D609" s="40" t="n">
        <x:v>27.615114748477936</x:v>
      </x:c>
      <x:c r="E609" s="40" t="n">
        <x:v>55.527599453926086</x:v>
      </x:c>
      <x:c r="F609" s="13" t="str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</x:row>
    <x:row r="610" ht="27" customHeight="1">
      <x:c r="A610" s="2" t="str">
        <x:v>S009</x:v>
      </x:c>
      <x:c r="B610" s="2" t="n">
        <x:v>46</x:v>
      </x:c>
      <x:c r="C610" s="40" t="n">
        <x:v>25</x:v>
      </x:c>
      <x:c r="D610" s="40" t="n">
        <x:v>26.67041838169098</x:v>
      </x:c>
      <x:c r="E610" s="40" t="n">
        <x:v>52.90013253688812</x:v>
      </x:c>
      <x:c r="F610" s="13" t="str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</x:row>
    <x:row r="611" ht="27" customHeight="1">
      <x:c r="A611" s="2" t="str">
        <x:v>S009</x:v>
      </x:c>
      <x:c r="B611" s="2" t="n">
        <x:v>47</x:v>
      </x:c>
      <x:c r="C611" s="40" t="n">
        <x:v>24.904777854681015</x:v>
      </x:c>
      <x:c r="D611" s="40" t="n">
        <x:v>25.647896826267242</x:v>
      </x:c>
      <x:c r="E611" s="40" t="n">
        <x:v>50.03248631954193</x:v>
      </x:c>
      <x:c r="F611" s="13" t="str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</x:row>
    <x:row r="612" ht="27" customHeight="1">
      <x:c r="A612" s="2" t="str">
        <x:v>S009</x:v>
      </x:c>
      <x:c r="B612" s="2" t="n">
        <x:v>48</x:v>
      </x:c>
      <x:c r="C612" s="40" t="n">
        <x:v>22.49642312526703</x:v>
      </x:c>
      <x:c r="D612" s="40" t="n">
        <x:v>24.536607563495636</x:v>
      </x:c>
      <x:c r="E612" s="40" t="n">
        <x:v>46.884751319885254</x:v>
      </x:c>
      <x:c r="F612" s="13" t="str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</x:row>
    <x:row r="613" ht="27" customHeight="1">
      <x:c r="A613" s="2" t="str">
        <x:v>S009</x:v>
      </x:c>
      <x:c r="B613" s="2" t="n">
        <x:v>49</x:v>
      </x:c>
      <x:c r="C613" s="40" t="n">
        <x:v>19.77308541536331</x:v>
      </x:c>
      <x:c r="D613" s="40" t="n">
        <x:v>23.323172628879547</x:v>
      </x:c>
      <x:c r="E613" s="40" t="n">
        <x:v>43.40554356575012</x:v>
      </x:c>
      <x:c r="F613" s="13" t="str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</x:row>
    <x:row r="614" ht="27" customHeight="1">
      <x:c r="A614" s="2" t="str">
        <x:v>S009</x:v>
      </x:c>
      <x:c r="B614" s="2" t="n">
        <x:v>50</x:v>
      </x:c>
      <x:c r="C614" s="40" t="n">
        <x:v>16.637302935123444</x:v>
      </x:c>
      <x:c r="D614" s="40" t="n">
        <x:v>21.99093997478485</x:v>
      </x:c>
      <x:c r="E614" s="40" t="n">
        <x:v>39.52642261981964</x:v>
      </x:c>
      <x:c r="F614" s="13" t="str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</x:row>
    <x:row r="615" ht="27" customHeight="1">
      <x:c r="A615" s="2" t="str">
        <x:v>S009</x:v>
      </x:c>
      <x:c r="B615" s="2" t="n">
        <x:v>51</x:v>
      </x:c>
      <x:c r="C615" s="40" t="n">
        <x:v>12.918446958065033</x:v>
      </x:c>
      <x:c r="D615" s="40" t="n">
        <x:v>20.518712997436523</x:v>
      </x:c>
      <x:c r="E615" s="40" t="n">
        <x:v>35.15189349651337</x:v>
      </x:c>
      <x:c r="F615" s="13" t="str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</x:row>
    <x:row r="616" ht="27" customHeight="1">
      <x:c r="A616" s="2" t="str">
        <x:v>S009</x:v>
      </x:c>
      <x:c r="B616" s="2" t="n">
        <x:v>52</x:v>
      </x:c>
      <x:c r="C616" s="40" t="n">
        <x:v>8.23419988155365</x:v>
      </x:c>
      <x:c r="D616" s="40" t="n">
        <x:v>18.878709375858307</x:v>
      </x:c>
      <x:c r="E616" s="40" t="n">
        <x:v>30.139394402503967</x:v>
      </x:c>
      <x:c r="F616" s="13" t="str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</x:row>
    <x:row r="617" ht="27" customHeight="1">
      <x:c r="A617" s="2" t="str">
        <x:v>S009</x:v>
      </x:c>
      <x:c r="B617" s="2" t="n">
        <x:v>53</x:v>
      </x:c>
      <x:c r="C617" s="40" t="n">
        <x:v>0.3242388367652893</x:v>
      </x:c>
      <x:c r="D617" s="40" t="n">
        <x:v>17.033072412014008</x:v>
      </x:c>
      <x:c r="E617" s="40" t="n">
        <x:v>24.252275228500366</x:v>
      </x:c>
      <x:c r="F617" s="13" t="str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</x:row>
    <x:row r="618" ht="27" customHeight="1">
      <x:c r="A618" s="2" t="str">
        <x:v>S009</x:v>
      </x:c>
      <x:c r="B618" s="2" t="n">
        <x:v>54</x:v>
      </x:c>
      <x:c r="C618" s="40"/>
      <x:c r="D618" s="40" t="n">
        <x:v>14.92728978395462</x:v>
      </x:c>
      <x:c r="E618" s="40" t="n">
        <x:v>17.015262246131897</x:v>
      </x:c>
      <x:c r="F618" s="13" t="str">
        <x:v>A型空载也不可行</x:v>
      </x:c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</x:row>
    <x:row r="619" ht="27" customHeight="1">
      <x:c r="A619" s="2" t="str">
        <x:v>S009</x:v>
      </x:c>
      <x:c r="B619" s="2" t="n">
        <x:v>55</x:v>
      </x:c>
      <x:c r="C619" s="40"/>
      <x:c r="D619" s="40" t="n">
        <x:v>12.476043999195099</x:v>
      </x:c>
      <x:c r="E619" s="40" t="n">
        <x:v>6.8917059898376465</x:v>
      </x:c>
      <x:c r="F619" s="13" t="str">
        <x:v>A型空载也不可行</x:v>
      </x:c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</x:row>
    <x:row r="620" ht="27" customHeight="1">
      <x:c r="A620" s="2" t="str">
        <x:v>S009</x:v>
      </x:c>
      <x:c r="B620" s="2" t="n">
        <x:v>56</x:v>
      </x:c>
      <x:c r="C620" s="40"/>
      <x:c r="D620" s="40" t="n">
        <x:v>9.52588677406311</x:v>
      </x:c>
      <x:c r="E620" s="40"/>
      <x:c r="F620" s="13" t="str">
        <x:v>A型空载也不可行；C型空载也不可行</x:v>
      </x:c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</x:row>
    <x:row r="621" ht="27" customHeight="1">
      <x:c r="A621" s="2" t="str">
        <x:v>S009</x:v>
      </x:c>
      <x:c r="B621" s="2" t="n">
        <x:v>57</x:v>
      </x:c>
      <x:c r="C621" s="40"/>
      <x:c r="D621" s="40" t="n">
        <x:v>5.710565149784088</x:v>
      </x:c>
      <x:c r="E621" s="40"/>
      <x:c r="F621" s="13" t="str">
        <x:v>A型空载也不可行；C型空载也不可行</x:v>
      </x:c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</x:row>
    <x:row r="622" ht="27" customHeight="1">
      <x:c r="A622" s="2" t="str">
        <x:v>S009</x:v>
      </x:c>
      <x:c r="B622" s="2" t="n">
        <x:v>58</x:v>
      </x:c>
      <x:c r="C622" s="40"/>
      <x:c r="D622" s="40"/>
      <x:c r="E622" s="40"/>
      <x:c r="F622" s="13" t="str">
        <x:v>A型空载也不可行；B型空载也不可行；C型空载也不可行</x:v>
      </x:c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</x:row>
    <x:row r="623" ht="27" customHeight="1">
      <x:c r="A623" s="2" t="str">
        <x:v>S009</x:v>
      </x:c>
      <x:c r="B623" s="2" t="n">
        <x:v>59</x:v>
      </x:c>
      <x:c r="C623" s="40"/>
      <x:c r="D623" s="40"/>
      <x:c r="E623" s="40"/>
      <x:c r="F623" s="13" t="str">
        <x:v>A型空载也不可行；B型空载也不可行；C型空载也不可行</x:v>
      </x:c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</x:row>
    <x:row r="624" ht="27" customHeight="1">
      <x:c r="A624" s="2" t="str">
        <x:v>S009</x:v>
      </x:c>
      <x:c r="B624" s="2" t="n">
        <x:v>60</x:v>
      </x:c>
      <x:c r="C624" s="40"/>
      <x:c r="D624" s="40"/>
      <x:c r="E624" s="40"/>
      <x:c r="F624" s="13" t="str">
        <x:v>A型空载也不可行；B型空载也不可行；C型空载也不可行</x:v>
      </x:c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</x:row>
    <x:row r="625" ht="27" customHeight="1">
      <x:c r="A625" s="2" t="str">
        <x:v>S010</x:v>
      </x:c>
      <x:c r="B625" s="2" t="n">
        <x:v>0</x:v>
      </x:c>
      <x:c r="C625" s="40" t="n">
        <x:v>25</x:v>
      </x:c>
      <x:c r="D625" s="40" t="n">
        <x:v>30</x:v>
      </x:c>
      <x:c r="E625" s="40" t="n">
        <x:v>80</x:v>
      </x:c>
      <x:c r="F625" s="13" t="str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</x:row>
    <x:row r="626" ht="27" customHeight="1">
      <x:c r="A626" s="2" t="str">
        <x:v>S010</x:v>
      </x:c>
      <x:c r="B626" s="2" t="n">
        <x:v>1</x:v>
      </x:c>
      <x:c r="C626" s="40" t="n">
        <x:v>25</x:v>
      </x:c>
      <x:c r="D626" s="40" t="n">
        <x:v>30</x:v>
      </x:c>
      <x:c r="E626" s="40" t="n">
        <x:v>80</x:v>
      </x:c>
      <x:c r="F626" s="13" t="str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</x:row>
    <x:row r="627" ht="27" customHeight="1">
      <x:c r="A627" s="2" t="str">
        <x:v>S010</x:v>
      </x:c>
      <x:c r="B627" s="2" t="n">
        <x:v>2</x:v>
      </x:c>
      <x:c r="C627" s="40" t="n">
        <x:v>25</x:v>
      </x:c>
      <x:c r="D627" s="40" t="n">
        <x:v>30</x:v>
      </x:c>
      <x:c r="E627" s="40" t="n">
        <x:v>80</x:v>
      </x:c>
      <x:c r="F627" s="13" t="str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</x:row>
    <x:row r="628" ht="27" customHeight="1">
      <x:c r="A628" s="2" t="str">
        <x:v>S010</x:v>
      </x:c>
      <x:c r="B628" s="2" t="n">
        <x:v>3</x:v>
      </x:c>
      <x:c r="C628" s="40" t="n">
        <x:v>25</x:v>
      </x:c>
      <x:c r="D628" s="40" t="n">
        <x:v>30</x:v>
      </x:c>
      <x:c r="E628" s="40" t="n">
        <x:v>80</x:v>
      </x:c>
      <x:c r="F628" s="13" t="str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</x:row>
    <x:row r="629" ht="27" customHeight="1">
      <x:c r="A629" s="2" t="str">
        <x:v>S010</x:v>
      </x:c>
      <x:c r="B629" s="2" t="n">
        <x:v>4</x:v>
      </x:c>
      <x:c r="C629" s="40" t="n">
        <x:v>25</x:v>
      </x:c>
      <x:c r="D629" s="40" t="n">
        <x:v>30</x:v>
      </x:c>
      <x:c r="E629" s="40" t="n">
        <x:v>80</x:v>
      </x:c>
      <x:c r="F629" s="13" t="str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</x:row>
    <x:row r="630" ht="27" customHeight="1">
      <x:c r="A630" s="2" t="str">
        <x:v>S010</x:v>
      </x:c>
      <x:c r="B630" s="2" t="n">
        <x:v>5</x:v>
      </x:c>
      <x:c r="C630" s="40" t="n">
        <x:v>25</x:v>
      </x:c>
      <x:c r="D630" s="40" t="n">
        <x:v>30</x:v>
      </x:c>
      <x:c r="E630" s="40" t="n">
        <x:v>80</x:v>
      </x:c>
      <x:c r="F630" s="13" t="str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</x:row>
    <x:row r="631" ht="27" customHeight="1">
      <x:c r="A631" s="2" t="str">
        <x:v>S010</x:v>
      </x:c>
      <x:c r="B631" s="2" t="n">
        <x:v>6</x:v>
      </x:c>
      <x:c r="C631" s="40" t="n">
        <x:v>25</x:v>
      </x:c>
      <x:c r="D631" s="40" t="n">
        <x:v>30</x:v>
      </x:c>
      <x:c r="E631" s="40" t="n">
        <x:v>80</x:v>
      </x:c>
      <x:c r="F631" s="13" t="str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</x:row>
    <x:row r="632" ht="27" customHeight="1">
      <x:c r="A632" s="2" t="str">
        <x:v>S010</x:v>
      </x:c>
      <x:c r="B632" s="2" t="n">
        <x:v>7</x:v>
      </x:c>
      <x:c r="C632" s="40" t="n">
        <x:v>25</x:v>
      </x:c>
      <x:c r="D632" s="40" t="n">
        <x:v>30</x:v>
      </x:c>
      <x:c r="E632" s="40" t="n">
        <x:v>80</x:v>
      </x:c>
      <x:c r="F632" s="13" t="str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</x:row>
    <x:row r="633" ht="27" customHeight="1">
      <x:c r="A633" s="2" t="str">
        <x:v>S010</x:v>
      </x:c>
      <x:c r="B633" s="2" t="n">
        <x:v>8</x:v>
      </x:c>
      <x:c r="C633" s="40" t="n">
        <x:v>25</x:v>
      </x:c>
      <x:c r="D633" s="40" t="n">
        <x:v>30</x:v>
      </x:c>
      <x:c r="E633" s="40" t="n">
        <x:v>80</x:v>
      </x:c>
      <x:c r="F633" s="13" t="str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</x:row>
    <x:row r="634" ht="27" customHeight="1">
      <x:c r="A634" s="2" t="str">
        <x:v>S010</x:v>
      </x:c>
      <x:c r="B634" s="2" t="n">
        <x:v>9</x:v>
      </x:c>
      <x:c r="C634" s="40" t="n">
        <x:v>25</x:v>
      </x:c>
      <x:c r="D634" s="40" t="n">
        <x:v>30</x:v>
      </x:c>
      <x:c r="E634" s="40" t="n">
        <x:v>80</x:v>
      </x:c>
      <x:c r="F634" s="13" t="str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</x:row>
    <x:row r="635" ht="27" customHeight="1">
      <x:c r="A635" s="2" t="str">
        <x:v>S010</x:v>
      </x:c>
      <x:c r="B635" s="2" t="n">
        <x:v>10</x:v>
      </x:c>
      <x:c r="C635" s="40" t="n">
        <x:v>25</x:v>
      </x:c>
      <x:c r="D635" s="40" t="n">
        <x:v>30</x:v>
      </x:c>
      <x:c r="E635" s="40" t="n">
        <x:v>80</x:v>
      </x:c>
      <x:c r="F635" s="13" t="str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</x:row>
    <x:row r="636" ht="27" customHeight="1">
      <x:c r="A636" s="2" t="str">
        <x:v>S010</x:v>
      </x:c>
      <x:c r="B636" s="2" t="n">
        <x:v>11</x:v>
      </x:c>
      <x:c r="C636" s="40" t="n">
        <x:v>25</x:v>
      </x:c>
      <x:c r="D636" s="40" t="n">
        <x:v>30</x:v>
      </x:c>
      <x:c r="E636" s="40" t="n">
        <x:v>80</x:v>
      </x:c>
      <x:c r="F636" s="13" t="str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</x:row>
    <x:row r="637" ht="27" customHeight="1">
      <x:c r="A637" s="2" t="str">
        <x:v>S010</x:v>
      </x:c>
      <x:c r="B637" s="2" t="n">
        <x:v>12</x:v>
      </x:c>
      <x:c r="C637" s="40" t="n">
        <x:v>25</x:v>
      </x:c>
      <x:c r="D637" s="40" t="n">
        <x:v>30</x:v>
      </x:c>
      <x:c r="E637" s="40" t="n">
        <x:v>80</x:v>
      </x:c>
      <x:c r="F637" s="13" t="str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</x:row>
    <x:row r="638" ht="27" customHeight="1">
      <x:c r="A638" s="2" t="str">
        <x:v>S010</x:v>
      </x:c>
      <x:c r="B638" s="2" t="n">
        <x:v>13</x:v>
      </x:c>
      <x:c r="C638" s="40" t="n">
        <x:v>25</x:v>
      </x:c>
      <x:c r="D638" s="40" t="n">
        <x:v>30</x:v>
      </x:c>
      <x:c r="E638" s="40" t="n">
        <x:v>80</x:v>
      </x:c>
      <x:c r="F638" s="13" t="str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</x:row>
    <x:row r="639" ht="27" customHeight="1">
      <x:c r="A639" s="2" t="str">
        <x:v>S010</x:v>
      </x:c>
      <x:c r="B639" s="2" t="n">
        <x:v>14</x:v>
      </x:c>
      <x:c r="C639" s="40" t="n">
        <x:v>25</x:v>
      </x:c>
      <x:c r="D639" s="40" t="n">
        <x:v>30</x:v>
      </x:c>
      <x:c r="E639" s="40" t="n">
        <x:v>80</x:v>
      </x:c>
      <x:c r="F639" s="13" t="str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</x:row>
    <x:row r="640" ht="27" customHeight="1">
      <x:c r="A640" s="2" t="str">
        <x:v>S010</x:v>
      </x:c>
      <x:c r="B640" s="2" t="n">
        <x:v>15</x:v>
      </x:c>
      <x:c r="C640" s="40" t="n">
        <x:v>25</x:v>
      </x:c>
      <x:c r="D640" s="40" t="n">
        <x:v>30</x:v>
      </x:c>
      <x:c r="E640" s="40" t="n">
        <x:v>80</x:v>
      </x:c>
      <x:c r="F640" s="13" t="str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</x:row>
    <x:row r="641" ht="27" customHeight="1">
      <x:c r="A641" s="2" t="str">
        <x:v>S010</x:v>
      </x:c>
      <x:c r="B641" s="2" t="n">
        <x:v>16</x:v>
      </x:c>
      <x:c r="C641" s="40" t="n">
        <x:v>25</x:v>
      </x:c>
      <x:c r="D641" s="40" t="n">
        <x:v>30</x:v>
      </x:c>
      <x:c r="E641" s="40" t="n">
        <x:v>80</x:v>
      </x:c>
      <x:c r="F641" s="13" t="str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</x:row>
    <x:row r="642" ht="27" customHeight="1">
      <x:c r="A642" s="2" t="str">
        <x:v>S010</x:v>
      </x:c>
      <x:c r="B642" s="2" t="n">
        <x:v>17</x:v>
      </x:c>
      <x:c r="C642" s="40" t="n">
        <x:v>25</x:v>
      </x:c>
      <x:c r="D642" s="40" t="n">
        <x:v>30</x:v>
      </x:c>
      <x:c r="E642" s="40" t="n">
        <x:v>80</x:v>
      </x:c>
      <x:c r="F642" s="13" t="str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</x:row>
    <x:row r="643" ht="27" customHeight="1">
      <x:c r="A643" s="2" t="str">
        <x:v>S010</x:v>
      </x:c>
      <x:c r="B643" s="2" t="n">
        <x:v>18</x:v>
      </x:c>
      <x:c r="C643" s="40" t="n">
        <x:v>25</x:v>
      </x:c>
      <x:c r="D643" s="40" t="n">
        <x:v>30</x:v>
      </x:c>
      <x:c r="E643" s="40" t="n">
        <x:v>80</x:v>
      </x:c>
      <x:c r="F643" s="13" t="str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</x:row>
    <x:row r="644" ht="27" customHeight="1">
      <x:c r="A644" s="2" t="str">
        <x:v>S010</x:v>
      </x:c>
      <x:c r="B644" s="2" t="n">
        <x:v>19</x:v>
      </x:c>
      <x:c r="C644" s="40" t="n">
        <x:v>25</x:v>
      </x:c>
      <x:c r="D644" s="40" t="n">
        <x:v>30</x:v>
      </x:c>
      <x:c r="E644" s="40" t="n">
        <x:v>80</x:v>
      </x:c>
      <x:c r="F644" s="13" t="str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</x:row>
    <x:row r="645" ht="27" customHeight="1">
      <x:c r="A645" s="2" t="str">
        <x:v>S010</x:v>
      </x:c>
      <x:c r="B645" s="2" t="n">
        <x:v>20</x:v>
      </x:c>
      <x:c r="C645" s="40" t="n">
        <x:v>25</x:v>
      </x:c>
      <x:c r="D645" s="40" t="n">
        <x:v>30</x:v>
      </x:c>
      <x:c r="E645" s="40" t="n">
        <x:v>80</x:v>
      </x:c>
      <x:c r="F645" s="13" t="str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</x:row>
    <x:row r="646" ht="27" customHeight="1">
      <x:c r="A646" s="2" t="str">
        <x:v>S010</x:v>
      </x:c>
      <x:c r="B646" s="2" t="n">
        <x:v>21</x:v>
      </x:c>
      <x:c r="C646" s="40" t="n">
        <x:v>25</x:v>
      </x:c>
      <x:c r="D646" s="40" t="n">
        <x:v>30</x:v>
      </x:c>
      <x:c r="E646" s="40" t="n">
        <x:v>80</x:v>
      </x:c>
      <x:c r="F646" s="13" t="str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</x:row>
    <x:row r="647" ht="27" customHeight="1">
      <x:c r="A647" s="2" t="str">
        <x:v>S010</x:v>
      </x:c>
      <x:c r="B647" s="2" t="n">
        <x:v>22</x:v>
      </x:c>
      <x:c r="C647" s="40" t="n">
        <x:v>25</x:v>
      </x:c>
      <x:c r="D647" s="40" t="n">
        <x:v>30</x:v>
      </x:c>
      <x:c r="E647" s="40" t="n">
        <x:v>80</x:v>
      </x:c>
      <x:c r="F647" s="13" t="str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</x:row>
    <x:row r="648" ht="27" customHeight="1">
      <x:c r="A648" s="2" t="str">
        <x:v>S010</x:v>
      </x:c>
      <x:c r="B648" s="2" t="n">
        <x:v>23</x:v>
      </x:c>
      <x:c r="C648" s="40" t="n">
        <x:v>25</x:v>
      </x:c>
      <x:c r="D648" s="40" t="n">
        <x:v>30</x:v>
      </x:c>
      <x:c r="E648" s="40" t="n">
        <x:v>80</x:v>
      </x:c>
      <x:c r="F648" s="13" t="str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</x:row>
    <x:row r="649" ht="27" customHeight="1">
      <x:c r="A649" s="2" t="str">
        <x:v>S010</x:v>
      </x:c>
      <x:c r="B649" s="2" t="n">
        <x:v>24</x:v>
      </x:c>
      <x:c r="C649" s="40" t="n">
        <x:v>25</x:v>
      </x:c>
      <x:c r="D649" s="40" t="n">
        <x:v>30</x:v>
      </x:c>
      <x:c r="E649" s="40" t="n">
        <x:v>80</x:v>
      </x:c>
      <x:c r="F649" s="13" t="str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</x:row>
    <x:row r="650" ht="27" customHeight="1">
      <x:c r="A650" s="2" t="str">
        <x:v>S010</x:v>
      </x:c>
      <x:c r="B650" s="2" t="n">
        <x:v>25</x:v>
      </x:c>
      <x:c r="C650" s="40" t="n">
        <x:v>25</x:v>
      </x:c>
      <x:c r="D650" s="40" t="n">
        <x:v>30</x:v>
      </x:c>
      <x:c r="E650" s="40" t="n">
        <x:v>80</x:v>
      </x:c>
      <x:c r="F650" s="13" t="str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</x:row>
    <x:row r="651" ht="27" customHeight="1">
      <x:c r="A651" s="2" t="str">
        <x:v>S010</x:v>
      </x:c>
      <x:c r="B651" s="2" t="n">
        <x:v>26</x:v>
      </x:c>
      <x:c r="C651" s="40" t="n">
        <x:v>25</x:v>
      </x:c>
      <x:c r="D651" s="40" t="n">
        <x:v>30</x:v>
      </x:c>
      <x:c r="E651" s="40" t="n">
        <x:v>80</x:v>
      </x:c>
      <x:c r="F651" s="13" t="str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</x:row>
    <x:row r="652" ht="27" customHeight="1">
      <x:c r="A652" s="2" t="str">
        <x:v>S010</x:v>
      </x:c>
      <x:c r="B652" s="2" t="n">
        <x:v>27</x:v>
      </x:c>
      <x:c r="C652" s="40" t="n">
        <x:v>25</x:v>
      </x:c>
      <x:c r="D652" s="40" t="n">
        <x:v>30</x:v>
      </x:c>
      <x:c r="E652" s="40" t="n">
        <x:v>80</x:v>
      </x:c>
      <x:c r="F652" s="13" t="str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</x:row>
    <x:row r="653" ht="27" customHeight="1">
      <x:c r="A653" s="2" t="str">
        <x:v>S010</x:v>
      </x:c>
      <x:c r="B653" s="2" t="n">
        <x:v>28</x:v>
      </x:c>
      <x:c r="C653" s="40" t="n">
        <x:v>25</x:v>
      </x:c>
      <x:c r="D653" s="40" t="n">
        <x:v>30</x:v>
      </x:c>
      <x:c r="E653" s="40" t="n">
        <x:v>80</x:v>
      </x:c>
      <x:c r="F653" s="13" t="str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</x:row>
    <x:row r="654" ht="27" customHeight="1">
      <x:c r="A654" s="2" t="str">
        <x:v>S010</x:v>
      </x:c>
      <x:c r="B654" s="2" t="n">
        <x:v>29</x:v>
      </x:c>
      <x:c r="C654" s="40" t="n">
        <x:v>25</x:v>
      </x:c>
      <x:c r="D654" s="40" t="n">
        <x:v>30</x:v>
      </x:c>
      <x:c r="E654" s="40" t="n">
        <x:v>80</x:v>
      </x:c>
      <x:c r="F654" s="13" t="str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</x:row>
    <x:row r="655" ht="27" customHeight="1">
      <x:c r="A655" s="2" t="str">
        <x:v>S010</x:v>
      </x:c>
      <x:c r="B655" s="2" t="n">
        <x:v>30</x:v>
      </x:c>
      <x:c r="C655" s="40" t="n">
        <x:v>25</x:v>
      </x:c>
      <x:c r="D655" s="40" t="n">
        <x:v>30</x:v>
      </x:c>
      <x:c r="E655" s="40" t="n">
        <x:v>80</x:v>
      </x:c>
      <x:c r="F655" s="13" t="str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</x:row>
    <x:row r="656" ht="27" customHeight="1">
      <x:c r="A656" s="2" t="str">
        <x:v>S010</x:v>
      </x:c>
      <x:c r="B656" s="2" t="n">
        <x:v>31</x:v>
      </x:c>
      <x:c r="C656" s="40" t="n">
        <x:v>25</x:v>
      </x:c>
      <x:c r="D656" s="40" t="n">
        <x:v>30</x:v>
      </x:c>
      <x:c r="E656" s="40" t="n">
        <x:v>80</x:v>
      </x:c>
      <x:c r="F656" s="13" t="str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</x:row>
    <x:row r="657" ht="27" customHeight="1">
      <x:c r="A657" s="2" t="str">
        <x:v>S010</x:v>
      </x:c>
      <x:c r="B657" s="2" t="n">
        <x:v>32</x:v>
      </x:c>
      <x:c r="C657" s="40" t="n">
        <x:v>25</x:v>
      </x:c>
      <x:c r="D657" s="40" t="n">
        <x:v>30</x:v>
      </x:c>
      <x:c r="E657" s="40" t="n">
        <x:v>80</x:v>
      </x:c>
      <x:c r="F657" s="13" t="str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</x:row>
    <x:row r="658" ht="27" customHeight="1">
      <x:c r="A658" s="2" t="str">
        <x:v>S010</x:v>
      </x:c>
      <x:c r="B658" s="2" t="n">
        <x:v>33</x:v>
      </x:c>
      <x:c r="C658" s="40" t="n">
        <x:v>25</x:v>
      </x:c>
      <x:c r="D658" s="40" t="n">
        <x:v>30</x:v>
      </x:c>
      <x:c r="E658" s="40" t="n">
        <x:v>80</x:v>
      </x:c>
      <x:c r="F658" s="13" t="str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</x:row>
    <x:row r="659" ht="27" customHeight="1">
      <x:c r="A659" s="2" t="str">
        <x:v>S010</x:v>
      </x:c>
      <x:c r="B659" s="2" t="n">
        <x:v>34</x:v>
      </x:c>
      <x:c r="C659" s="40" t="n">
        <x:v>25</x:v>
      </x:c>
      <x:c r="D659" s="40" t="n">
        <x:v>30</x:v>
      </x:c>
      <x:c r="E659" s="40" t="n">
        <x:v>80</x:v>
      </x:c>
      <x:c r="F659" s="13" t="str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</x:row>
    <x:row r="660" ht="27" customHeight="1">
      <x:c r="A660" s="2" t="str">
        <x:v>S010</x:v>
      </x:c>
      <x:c r="B660" s="2" t="n">
        <x:v>35</x:v>
      </x:c>
      <x:c r="C660" s="40" t="n">
        <x:v>25</x:v>
      </x:c>
      <x:c r="D660" s="40" t="n">
        <x:v>30</x:v>
      </x:c>
      <x:c r="E660" s="40" t="n">
        <x:v>80</x:v>
      </x:c>
      <x:c r="F660" s="13" t="str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</x:row>
    <x:row r="661" ht="27" customHeight="1">
      <x:c r="A661" s="2" t="str">
        <x:v>S010</x:v>
      </x:c>
      <x:c r="B661" s="2" t="n">
        <x:v>36</x:v>
      </x:c>
      <x:c r="C661" s="40" t="n">
        <x:v>25</x:v>
      </x:c>
      <x:c r="D661" s="40" t="n">
        <x:v>30</x:v>
      </x:c>
      <x:c r="E661" s="40" t="n">
        <x:v>80</x:v>
      </x:c>
      <x:c r="F661" s="13" t="str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</x:row>
    <x:row r="662" ht="27" customHeight="1">
      <x:c r="A662" s="2" t="str">
        <x:v>S010</x:v>
      </x:c>
      <x:c r="B662" s="2" t="n">
        <x:v>37</x:v>
      </x:c>
      <x:c r="C662" s="40" t="n">
        <x:v>25</x:v>
      </x:c>
      <x:c r="D662" s="40" t="n">
        <x:v>30</x:v>
      </x:c>
      <x:c r="E662" s="40" t="n">
        <x:v>80</x:v>
      </x:c>
      <x:c r="F662" s="13" t="str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</x:row>
    <x:row r="663" ht="27" customHeight="1">
      <x:c r="A663" s="2" t="str">
        <x:v>S010</x:v>
      </x:c>
      <x:c r="B663" s="2" t="n">
        <x:v>38</x:v>
      </x:c>
      <x:c r="C663" s="40" t="n">
        <x:v>25</x:v>
      </x:c>
      <x:c r="D663" s="40" t="n">
        <x:v>30</x:v>
      </x:c>
      <x:c r="E663" s="40" t="n">
        <x:v>80</x:v>
      </x:c>
      <x:c r="F663" s="13" t="str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</x:row>
    <x:row r="664" ht="27" customHeight="1">
      <x:c r="A664" s="2" t="str">
        <x:v>S010</x:v>
      </x:c>
      <x:c r="B664" s="2" t="n">
        <x:v>39</x:v>
      </x:c>
      <x:c r="C664" s="40" t="n">
        <x:v>25</x:v>
      </x:c>
      <x:c r="D664" s="40" t="n">
        <x:v>30</x:v>
      </x:c>
      <x:c r="E664" s="40" t="n">
        <x:v>80</x:v>
      </x:c>
      <x:c r="F664" s="13" t="str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</x:row>
    <x:row r="665" ht="27" customHeight="1">
      <x:c r="A665" s="2" t="str">
        <x:v>S010</x:v>
      </x:c>
      <x:c r="B665" s="2" t="n">
        <x:v>40</x:v>
      </x:c>
      <x:c r="C665" s="40" t="n">
        <x:v>25</x:v>
      </x:c>
      <x:c r="D665" s="40" t="n">
        <x:v>30</x:v>
      </x:c>
      <x:c r="E665" s="40" t="n">
        <x:v>79.15306448936462</x:v>
      </x:c>
      <x:c r="F665" s="13" t="str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</x:row>
    <x:row r="666" ht="27" customHeight="1">
      <x:c r="A666" s="2" t="str">
        <x:v>S010</x:v>
      </x:c>
      <x:c r="B666" s="2" t="n">
        <x:v>41</x:v>
      </x:c>
      <x:c r="C666" s="40" t="n">
        <x:v>25</x:v>
      </x:c>
      <x:c r="D666" s="40" t="n">
        <x:v>30</x:v>
      </x:c>
      <x:c r="E666" s="40" t="n">
        <x:v>77.94363379478455</x:v>
      </x:c>
      <x:c r="F666" s="13" t="str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</x:row>
    <x:row r="667" ht="27" customHeight="1">
      <x:c r="A667" s="2" t="str">
        <x:v>S010</x:v>
      </x:c>
      <x:c r="B667" s="2" t="n">
        <x:v>42</x:v>
      </x:c>
      <x:c r="C667" s="40" t="n">
        <x:v>25</x:v>
      </x:c>
      <x:c r="D667" s="40" t="n">
        <x:v>30</x:v>
      </x:c>
      <x:c r="E667" s="40" t="n">
        <x:v>76.66149854660034</x:v>
      </x:c>
      <x:c r="F667" s="13" t="str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</x:row>
    <x:row r="668" ht="27" customHeight="1">
      <x:c r="A668" s="2" t="str">
        <x:v>S010</x:v>
      </x:c>
      <x:c r="B668" s="2" t="n">
        <x:v>43</x:v>
      </x:c>
      <x:c r="C668" s="40" t="n">
        <x:v>25</x:v>
      </x:c>
      <x:c r="D668" s="40" t="n">
        <x:v>30</x:v>
      </x:c>
      <x:c r="E668" s="40" t="n">
        <x:v>75.2998024225235</x:v>
      </x:c>
      <x:c r="F668" s="13" t="str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</x:row>
    <x:row r="669" ht="27" customHeight="1">
      <x:c r="A669" s="2" t="str">
        <x:v>S010</x:v>
      </x:c>
      <x:c r="B669" s="2" t="n">
        <x:v>44</x:v>
      </x:c>
      <x:c r="C669" s="40" t="n">
        <x:v>25</x:v>
      </x:c>
      <x:c r="D669" s="40" t="n">
        <x:v>30</x:v>
      </x:c>
      <x:c r="E669" s="40" t="n">
        <x:v>73.85077774524689</x:v>
      </x:c>
      <x:c r="F669" s="13" t="str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</x:row>
    <x:row r="670" ht="27" customHeight="1">
      <x:c r="A670" s="2" t="str">
        <x:v>S010</x:v>
      </x:c>
      <x:c r="B670" s="2" t="n">
        <x:v>45</x:v>
      </x:c>
      <x:c r="C670" s="40" t="n">
        <x:v>25</x:v>
      </x:c>
      <x:c r="D670" s="40" t="n">
        <x:v>30</x:v>
      </x:c>
      <x:c r="E670" s="40" t="n">
        <x:v>72.30558156967163</x:v>
      </x:c>
      <x:c r="F670" s="13" t="str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</x:row>
    <x:row r="671" ht="27" customHeight="1">
      <x:c r="A671" s="2" t="str">
        <x:v>S010</x:v>
      </x:c>
      <x:c r="B671" s="2" t="n">
        <x:v>46</x:v>
      </x:c>
      <x:c r="C671" s="40" t="n">
        <x:v>25</x:v>
      </x:c>
      <x:c r="D671" s="40" t="n">
        <x:v>30</x:v>
      </x:c>
      <x:c r="E671" s="40" t="n">
        <x:v>70.6540960073471</x:v>
      </x:c>
      <x:c r="F671" s="13" t="str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</x:row>
    <x:row r="672" ht="27" customHeight="1">
      <x:c r="A672" s="2" t="str">
        <x:v>S010</x:v>
      </x:c>
      <x:c r="B672" s="2" t="n">
        <x:v>47</x:v>
      </x:c>
      <x:c r="C672" s="40" t="n">
        <x:v>25</x:v>
      </x:c>
      <x:c r="D672" s="40" t="n">
        <x:v>30</x:v>
      </x:c>
      <x:c r="E672" s="40" t="n">
        <x:v>68.88467490673065</x:v>
      </x:c>
      <x:c r="F672" s="13" t="str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</x:row>
    <x:row r="673" ht="27" customHeight="1">
      <x:c r="A673" s="2" t="str">
        <x:v>S010</x:v>
      </x:c>
      <x:c r="B673" s="2" t="n">
        <x:v>48</x:v>
      </x:c>
      <x:c r="C673" s="40" t="n">
        <x:v>25</x:v>
      </x:c>
      <x:c r="D673" s="40" t="n">
        <x:v>30</x:v>
      </x:c>
      <x:c r="E673" s="40" t="n">
        <x:v>66.98382914066315</x:v>
      </x:c>
      <x:c r="F673" s="13" t="str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</x:row>
    <x:row r="674" ht="27" customHeight="1">
      <x:c r="A674" s="2" t="str">
        <x:v>S010</x:v>
      </x:c>
      <x:c r="B674" s="2" t="n">
        <x:v>49</x:v>
      </x:c>
      <x:c r="C674" s="40" t="n">
        <x:v>25</x:v>
      </x:c>
      <x:c r="D674" s="40" t="n">
        <x:v>30</x:v>
      </x:c>
      <x:c r="E674" s="40" t="n">
        <x:v>64.93582010269165</x:v>
      </x:c>
      <x:c r="F674" s="13" t="str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</x:row>
    <x:row r="675" ht="27" customHeight="1">
      <x:c r="A675" s="2" t="str">
        <x:v>S010</x:v>
      </x:c>
      <x:c r="B675" s="2" t="n">
        <x:v>50</x:v>
      </x:c>
      <x:c r="C675" s="40" t="n">
        <x:v>25</x:v>
      </x:c>
      <x:c r="D675" s="40" t="n">
        <x:v>29.757502377033234</x:v>
      </x:c>
      <x:c r="E675" s="40" t="n">
        <x:v>62.72213399410248</x:v>
      </x:c>
      <x:c r="F675" s="13" t="str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</x:row>
    <x:row r="676" ht="27" customHeight="1">
      <x:c r="A676" s="2" t="str">
        <x:v>S010</x:v>
      </x:c>
      <x:c r="B676" s="2" t="n">
        <x:v>51</x:v>
      </x:c>
      <x:c r="C676" s="40" t="n">
        <x:v>25</x:v>
      </x:c>
      <x:c r="D676" s="40" t="n">
        <x:v>28.833028078079224</x:v>
      </x:c>
      <x:c r="E676" s="40" t="n">
        <x:v>60.320778489112854</x:v>
      </x:c>
      <x:c r="F676" s="13" t="str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</x:row>
    <x:row r="677" ht="27" customHeight="1">
      <x:c r="A677" s="2" t="str">
        <x:v>S010</x:v>
      </x:c>
      <x:c r="B677" s="2" t="n">
        <x:v>52</x:v>
      </x:c>
      <x:c r="C677" s="40" t="n">
        <x:v>25</x:v>
      </x:c>
      <x:c r="D677" s="40" t="n">
        <x:v>27.829349040985107</x:v>
      </x:c>
      <x:c r="E677" s="40" t="n">
        <x:v>57.70533859729767</x:v>
      </x:c>
      <x:c r="F677" s="13" t="str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</x:row>
    <x:row r="678" ht="27" customHeight="1">
      <x:c r="A678" s="2" t="str">
        <x:v>S010</x:v>
      </x:c>
      <x:c r="B678" s="2" t="n">
        <x:v>53</x:v>
      </x:c>
      <x:c r="C678" s="40" t="n">
        <x:v>25</x:v>
      </x:c>
      <x:c r="D678" s="40" t="n">
        <x:v>26.735319793224335</x:v>
      </x:c>
      <x:c r="E678" s="40" t="n">
        <x:v>54.843650460243225</x:v>
      </x:c>
      <x:c r="F678" s="13" t="str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</x:row>
    <x:row r="679" ht="27" customHeight="1">
      <x:c r="A679" s="2" t="str">
        <x:v>S010</x:v>
      </x:c>
      <x:c r="B679" s="2" t="n">
        <x:v>54</x:v>
      </x:c>
      <x:c r="C679" s="40" t="n">
        <x:v>24.95780810713768</x:v>
      </x:c>
      <x:c r="D679" s="40" t="n">
        <x:v>25.537421107292175</x:v>
      </x:c>
      <x:c r="E679" s="40" t="n">
        <x:v>51.69590175151825</x:v>
      </x:c>
      <x:c r="F679" s="13" t="str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</x:row>
    <x:row r="680" ht="27" customHeight="1">
      <x:c r="A680" s="2" t="str">
        <x:v>S010</x:v>
      </x:c>
      <x:c r="B680" s="2" t="n">
        <x:v>55</x:v>
      </x:c>
      <x:c r="C680" s="40" t="n">
        <x:v>22.18256965279579</x:v>
      </x:c>
      <x:c r="D680" s="40" t="n">
        <x:v>24.219007194042206</x:v>
      </x:c>
      <x:c r="E680" s="40" t="n">
        <x:v>48.21177303791046</x:v>
      </x:c>
      <x:c r="F680" s="13" t="str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</x:row>
    <x:row r="681" ht="27" customHeight="1">
      <x:c r="A681" s="2" t="str">
        <x:v>S010</x:v>
      </x:c>
      <x:c r="B681" s="2" t="n">
        <x:v>56</x:v>
      </x:c>
      <x:c r="C681" s="40" t="n">
        <x:v>19.001126289367676</x:v>
      </x:c>
      <x:c r="D681" s="40" t="n">
        <x:v>22.75920331478119</x:v>
      </x:c>
      <x:c r="E681" s="40" t="n">
        <x:v>44.32592153549194</x:v>
      </x:c>
      <x:c r="F681" s="13" t="str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</x:row>
    <x:row r="682" ht="27" customHeight="1">
      <x:c r="A682" s="2" t="str">
        <x:v>S010</x:v>
      </x:c>
      <x:c r="B682" s="2" t="n">
        <x:v>57</x:v>
      </x:c>
      <x:c r="C682" s="40" t="n">
        <x:v>15.27116447687149</x:v>
      </x:c>
      <x:c r="D682" s="40" t="n">
        <x:v>21.13122045993805</x:v>
      </x:c>
      <x:c r="E682" s="40" t="n">
        <x:v>39.95034217834473</x:v>
      </x:c>
      <x:c r="F682" s="13" t="str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</x:row>
    <x:row r="683" ht="27" customHeight="1">
      <x:c r="A683" s="2" t="str">
        <x:v>S010</x:v>
      </x:c>
      <x:c r="B683" s="2" t="n">
        <x:v>58</x:v>
      </x:c>
      <x:c r="C683" s="40" t="n">
        <x:v>10.717055946588516</x:v>
      </x:c>
      <x:c r="D683" s="40" t="n">
        <x:v>19.29960608482361</x:v>
      </x:c>
      <x:c r="E683" s="40" t="n">
        <x:v>34.960198402404785</x:v>
      </x:c>
      <x:c r="F683" s="13" t="str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</x:row>
    <x:row r="684" ht="27" customHeight="1">
      <x:c r="A684" s="2" t="str">
        <x:v>S010</x:v>
      </x:c>
      <x:c r="B684" s="2" t="n">
        <x:v>59</x:v>
      </x:c>
      <x:c r="C684" s="40" t="n">
        <x:v>4.518629610538483</x:v>
      </x:c>
      <x:c r="D684" s="40" t="n">
        <x:v>17.215418815612793</x:v>
      </x:c>
      <x:c r="E684" s="40" t="n">
        <x:v>29.163947105407715</x:v>
      </x:c>
      <x:c r="F684" s="13" t="str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</x:row>
    <x:row r="685" ht="27" customHeight="1">
      <x:c r="A685" s="2" t="str">
        <x:v>S010</x:v>
      </x:c>
      <x:c r="B685" s="2" t="n">
        <x:v>60</x:v>
      </x:c>
      <x:c r="C685" s="40"/>
      <x:c r="D685" s="40" t="n">
        <x:v>14.806789755821228</x:v>
      </x:c>
      <x:c r="E685" s="40" t="n">
        <x:v>22.226489782333374</x:v>
      </x:c>
      <x:c r="F685" s="13" t="str">
        <x:v>A型空载也不可行</x:v>
      </x:c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</x:row>
    <x:row r="686" ht="27" customHeight="1">
      <x:c r="A686" s="2" t="str">
        <x:v>S011</x:v>
      </x:c>
      <x:c r="B686" s="2" t="n">
        <x:v>0</x:v>
      </x:c>
      <x:c r="C686" s="40" t="n">
        <x:v>25</x:v>
      </x:c>
      <x:c r="D686" s="40" t="n">
        <x:v>30</x:v>
      </x:c>
      <x:c r="E686" s="40" t="n">
        <x:v>80</x:v>
      </x:c>
      <x:c r="F686" s="13" t="str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</x:row>
    <x:row r="687" ht="27" customHeight="1">
      <x:c r="A687" s="2" t="str">
        <x:v>S011</x:v>
      </x:c>
      <x:c r="B687" s="2" t="n">
        <x:v>1</x:v>
      </x:c>
      <x:c r="C687" s="40" t="n">
        <x:v>25</x:v>
      </x:c>
      <x:c r="D687" s="40" t="n">
        <x:v>30</x:v>
      </x:c>
      <x:c r="E687" s="40" t="n">
        <x:v>80</x:v>
      </x:c>
      <x:c r="F687" s="13" t="str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</x:row>
    <x:row r="688" ht="27" customHeight="1">
      <x:c r="A688" s="2" t="str">
        <x:v>S011</x:v>
      </x:c>
      <x:c r="B688" s="2" t="n">
        <x:v>2</x:v>
      </x:c>
      <x:c r="C688" s="40" t="n">
        <x:v>25</x:v>
      </x:c>
      <x:c r="D688" s="40" t="n">
        <x:v>30</x:v>
      </x:c>
      <x:c r="E688" s="40" t="n">
        <x:v>80</x:v>
      </x:c>
      <x:c r="F688" s="13" t="str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</x:row>
    <x:row r="689" ht="27" customHeight="1">
      <x:c r="A689" s="2" t="str">
        <x:v>S011</x:v>
      </x:c>
      <x:c r="B689" s="2" t="n">
        <x:v>3</x:v>
      </x:c>
      <x:c r="C689" s="40" t="n">
        <x:v>25</x:v>
      </x:c>
      <x:c r="D689" s="40" t="n">
        <x:v>30</x:v>
      </x:c>
      <x:c r="E689" s="40" t="n">
        <x:v>80</x:v>
      </x:c>
      <x:c r="F689" s="13" t="str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</x:row>
    <x:row r="690" ht="27" customHeight="1">
      <x:c r="A690" s="2" t="str">
        <x:v>S011</x:v>
      </x:c>
      <x:c r="B690" s="2" t="n">
        <x:v>4</x:v>
      </x:c>
      <x:c r="C690" s="40" t="n">
        <x:v>25</x:v>
      </x:c>
      <x:c r="D690" s="40" t="n">
        <x:v>30</x:v>
      </x:c>
      <x:c r="E690" s="40" t="n">
        <x:v>80</x:v>
      </x:c>
      <x:c r="F690" s="13" t="str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</x:row>
    <x:row r="691" ht="27" customHeight="1">
      <x:c r="A691" s="2" t="str">
        <x:v>S011</x:v>
      </x:c>
      <x:c r="B691" s="2" t="n">
        <x:v>5</x:v>
      </x:c>
      <x:c r="C691" s="40" t="n">
        <x:v>25</x:v>
      </x:c>
      <x:c r="D691" s="40" t="n">
        <x:v>30</x:v>
      </x:c>
      <x:c r="E691" s="40" t="n">
        <x:v>80</x:v>
      </x:c>
      <x:c r="F691" s="13" t="str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</x:row>
    <x:row r="692" ht="27" customHeight="1">
      <x:c r="A692" s="2" t="str">
        <x:v>S011</x:v>
      </x:c>
      <x:c r="B692" s="2" t="n">
        <x:v>6</x:v>
      </x:c>
      <x:c r="C692" s="40" t="n">
        <x:v>25</x:v>
      </x:c>
      <x:c r="D692" s="40" t="n">
        <x:v>30</x:v>
      </x:c>
      <x:c r="E692" s="40" t="n">
        <x:v>80</x:v>
      </x:c>
      <x:c r="F692" s="13" t="str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</x:row>
    <x:row r="693" ht="27" customHeight="1">
      <x:c r="A693" s="2" t="str">
        <x:v>S011</x:v>
      </x:c>
      <x:c r="B693" s="2" t="n">
        <x:v>7</x:v>
      </x:c>
      <x:c r="C693" s="40" t="n">
        <x:v>25</x:v>
      </x:c>
      <x:c r="D693" s="40" t="n">
        <x:v>30</x:v>
      </x:c>
      <x:c r="E693" s="40" t="n">
        <x:v>80</x:v>
      </x:c>
      <x:c r="F693" s="13" t="str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</x:row>
    <x:row r="694" ht="27" customHeight="1">
      <x:c r="A694" s="2" t="str">
        <x:v>S011</x:v>
      </x:c>
      <x:c r="B694" s="2" t="n">
        <x:v>8</x:v>
      </x:c>
      <x:c r="C694" s="40" t="n">
        <x:v>25</x:v>
      </x:c>
      <x:c r="D694" s="40" t="n">
        <x:v>30</x:v>
      </x:c>
      <x:c r="E694" s="40" t="n">
        <x:v>80</x:v>
      </x:c>
      <x:c r="F694" s="13" t="str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</x:row>
    <x:row r="695" ht="27" customHeight="1">
      <x:c r="A695" s="2" t="str">
        <x:v>S011</x:v>
      </x:c>
      <x:c r="B695" s="2" t="n">
        <x:v>9</x:v>
      </x:c>
      <x:c r="C695" s="40" t="n">
        <x:v>25</x:v>
      </x:c>
      <x:c r="D695" s="40" t="n">
        <x:v>30</x:v>
      </x:c>
      <x:c r="E695" s="40" t="n">
        <x:v>80</x:v>
      </x:c>
      <x:c r="F695" s="13" t="str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</x:row>
    <x:row r="696" ht="27" customHeight="1">
      <x:c r="A696" s="2" t="str">
        <x:v>S011</x:v>
      </x:c>
      <x:c r="B696" s="2" t="n">
        <x:v>10</x:v>
      </x:c>
      <x:c r="C696" s="40" t="n">
        <x:v>25</x:v>
      </x:c>
      <x:c r="D696" s="40" t="n">
        <x:v>30</x:v>
      </x:c>
      <x:c r="E696" s="40" t="n">
        <x:v>80</x:v>
      </x:c>
      <x:c r="F696" s="13" t="str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</x:row>
    <x:row r="697" ht="27" customHeight="1">
      <x:c r="A697" s="2" t="str">
        <x:v>S011</x:v>
      </x:c>
      <x:c r="B697" s="2" t="n">
        <x:v>11</x:v>
      </x:c>
      <x:c r="C697" s="40" t="n">
        <x:v>25</x:v>
      </x:c>
      <x:c r="D697" s="40" t="n">
        <x:v>30</x:v>
      </x:c>
      <x:c r="E697" s="40" t="n">
        <x:v>80</x:v>
      </x:c>
      <x:c r="F697" s="13" t="str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</x:row>
    <x:row r="698" ht="27" customHeight="1">
      <x:c r="A698" s="2" t="str">
        <x:v>S011</x:v>
      </x:c>
      <x:c r="B698" s="2" t="n">
        <x:v>12</x:v>
      </x:c>
      <x:c r="C698" s="40" t="n">
        <x:v>25</x:v>
      </x:c>
      <x:c r="D698" s="40" t="n">
        <x:v>30</x:v>
      </x:c>
      <x:c r="E698" s="40" t="n">
        <x:v>80</x:v>
      </x:c>
      <x:c r="F698" s="13" t="str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</x:row>
    <x:row r="699" ht="27" customHeight="1">
      <x:c r="A699" s="2" t="str">
        <x:v>S011</x:v>
      </x:c>
      <x:c r="B699" s="2" t="n">
        <x:v>13</x:v>
      </x:c>
      <x:c r="C699" s="40" t="n">
        <x:v>25</x:v>
      </x:c>
      <x:c r="D699" s="40" t="n">
        <x:v>30</x:v>
      </x:c>
      <x:c r="E699" s="40" t="n">
        <x:v>80</x:v>
      </x:c>
      <x:c r="F699" s="13" t="str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</x:row>
    <x:row r="700" ht="27" customHeight="1">
      <x:c r="A700" s="2" t="str">
        <x:v>S011</x:v>
      </x:c>
      <x:c r="B700" s="2" t="n">
        <x:v>14</x:v>
      </x:c>
      <x:c r="C700" s="40" t="n">
        <x:v>25</x:v>
      </x:c>
      <x:c r="D700" s="40" t="n">
        <x:v>30</x:v>
      </x:c>
      <x:c r="E700" s="40" t="n">
        <x:v>80</x:v>
      </x:c>
      <x:c r="F700" s="13" t="str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</x:row>
    <x:row r="701" ht="27" customHeight="1">
      <x:c r="A701" s="2" t="str">
        <x:v>S011</x:v>
      </x:c>
      <x:c r="B701" s="2" t="n">
        <x:v>15</x:v>
      </x:c>
      <x:c r="C701" s="40" t="n">
        <x:v>25</x:v>
      </x:c>
      <x:c r="D701" s="40" t="n">
        <x:v>30</x:v>
      </x:c>
      <x:c r="E701" s="40" t="n">
        <x:v>80</x:v>
      </x:c>
      <x:c r="F701" s="13" t="str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</x:row>
    <x:row r="702" ht="27" customHeight="1">
      <x:c r="A702" s="2" t="str">
        <x:v>S011</x:v>
      </x:c>
      <x:c r="B702" s="2" t="n">
        <x:v>16</x:v>
      </x:c>
      <x:c r="C702" s="40" t="n">
        <x:v>25</x:v>
      </x:c>
      <x:c r="D702" s="40" t="n">
        <x:v>30</x:v>
      </x:c>
      <x:c r="E702" s="40" t="n">
        <x:v>80</x:v>
      </x:c>
      <x:c r="F702" s="13" t="str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</x:row>
    <x:row r="703" ht="27" customHeight="1">
      <x:c r="A703" s="2" t="str">
        <x:v>S011</x:v>
      </x:c>
      <x:c r="B703" s="2" t="n">
        <x:v>17</x:v>
      </x:c>
      <x:c r="C703" s="40" t="n">
        <x:v>25</x:v>
      </x:c>
      <x:c r="D703" s="40" t="n">
        <x:v>30</x:v>
      </x:c>
      <x:c r="E703" s="40" t="n">
        <x:v>80</x:v>
      </x:c>
      <x:c r="F703" s="13" t="str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</x:row>
    <x:row r="704" ht="27" customHeight="1">
      <x:c r="A704" s="2" t="str">
        <x:v>S011</x:v>
      </x:c>
      <x:c r="B704" s="2" t="n">
        <x:v>18</x:v>
      </x:c>
      <x:c r="C704" s="40" t="n">
        <x:v>25</x:v>
      </x:c>
      <x:c r="D704" s="40" t="n">
        <x:v>30</x:v>
      </x:c>
      <x:c r="E704" s="40" t="n">
        <x:v>80</x:v>
      </x:c>
      <x:c r="F704" s="13" t="str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</x:row>
    <x:row r="705" ht="27" customHeight="1">
      <x:c r="A705" s="2" t="str">
        <x:v>S011</x:v>
      </x:c>
      <x:c r="B705" s="2" t="n">
        <x:v>19</x:v>
      </x:c>
      <x:c r="C705" s="40" t="n">
        <x:v>25</x:v>
      </x:c>
      <x:c r="D705" s="40" t="n">
        <x:v>30</x:v>
      </x:c>
      <x:c r="E705" s="40" t="n">
        <x:v>80</x:v>
      </x:c>
      <x:c r="F705" s="13" t="str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</x:row>
    <x:row r="706" ht="27" customHeight="1">
      <x:c r="A706" s="2" t="str">
        <x:v>S011</x:v>
      </x:c>
      <x:c r="B706" s="2" t="n">
        <x:v>20</x:v>
      </x:c>
      <x:c r="C706" s="40" t="n">
        <x:v>25</x:v>
      </x:c>
      <x:c r="D706" s="40" t="n">
        <x:v>30</x:v>
      </x:c>
      <x:c r="E706" s="40" t="n">
        <x:v>80</x:v>
      </x:c>
      <x:c r="F706" s="13" t="str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</x:row>
    <x:row r="707" ht="27" customHeight="1">
      <x:c r="A707" s="2" t="str">
        <x:v>S011</x:v>
      </x:c>
      <x:c r="B707" s="2" t="n">
        <x:v>21</x:v>
      </x:c>
      <x:c r="C707" s="40" t="n">
        <x:v>25</x:v>
      </x:c>
      <x:c r="D707" s="40" t="n">
        <x:v>30</x:v>
      </x:c>
      <x:c r="E707" s="40" t="n">
        <x:v>80</x:v>
      </x:c>
      <x:c r="F707" s="13" t="str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</x:row>
    <x:row r="708" ht="27" customHeight="1">
      <x:c r="A708" s="2" t="str">
        <x:v>S011</x:v>
      </x:c>
      <x:c r="B708" s="2" t="n">
        <x:v>22</x:v>
      </x:c>
      <x:c r="C708" s="40" t="n">
        <x:v>25</x:v>
      </x:c>
      <x:c r="D708" s="40" t="n">
        <x:v>30</x:v>
      </x:c>
      <x:c r="E708" s="40" t="n">
        <x:v>80</x:v>
      </x:c>
      <x:c r="F708" s="13" t="str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</x:row>
    <x:row r="709" ht="27" customHeight="1">
      <x:c r="A709" s="2" t="str">
        <x:v>S011</x:v>
      </x:c>
      <x:c r="B709" s="2" t="n">
        <x:v>23</x:v>
      </x:c>
      <x:c r="C709" s="40" t="n">
        <x:v>25</x:v>
      </x:c>
      <x:c r="D709" s="40" t="n">
        <x:v>30</x:v>
      </x:c>
      <x:c r="E709" s="40" t="n">
        <x:v>80</x:v>
      </x:c>
      <x:c r="F709" s="13" t="str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</x:row>
    <x:row r="710" ht="27" customHeight="1">
      <x:c r="A710" s="2" t="str">
        <x:v>S011</x:v>
      </x:c>
      <x:c r="B710" s="2" t="n">
        <x:v>24</x:v>
      </x:c>
      <x:c r="C710" s="40" t="n">
        <x:v>25</x:v>
      </x:c>
      <x:c r="D710" s="40" t="n">
        <x:v>30</x:v>
      </x:c>
      <x:c r="E710" s="40" t="n">
        <x:v>80</x:v>
      </x:c>
      <x:c r="F710" s="13" t="str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</x:row>
    <x:row r="711" ht="27" customHeight="1">
      <x:c r="A711" s="2" t="str">
        <x:v>S011</x:v>
      </x:c>
      <x:c r="B711" s="2" t="n">
        <x:v>25</x:v>
      </x:c>
      <x:c r="C711" s="40" t="n">
        <x:v>25</x:v>
      </x:c>
      <x:c r="D711" s="40" t="n">
        <x:v>30</x:v>
      </x:c>
      <x:c r="E711" s="40" t="n">
        <x:v>80</x:v>
      </x:c>
      <x:c r="F711" s="13" t="str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</x:row>
    <x:row r="712" ht="27" customHeight="1">
      <x:c r="A712" s="2" t="str">
        <x:v>S011</x:v>
      </x:c>
      <x:c r="B712" s="2" t="n">
        <x:v>26</x:v>
      </x:c>
      <x:c r="C712" s="40" t="n">
        <x:v>25</x:v>
      </x:c>
      <x:c r="D712" s="40" t="n">
        <x:v>30</x:v>
      </x:c>
      <x:c r="E712" s="40" t="n">
        <x:v>80</x:v>
      </x:c>
      <x:c r="F712" s="13" t="str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</x:row>
    <x:row r="713" ht="27" customHeight="1">
      <x:c r="A713" s="2" t="str">
        <x:v>S011</x:v>
      </x:c>
      <x:c r="B713" s="2" t="n">
        <x:v>27</x:v>
      </x:c>
      <x:c r="C713" s="40" t="n">
        <x:v>25</x:v>
      </x:c>
      <x:c r="D713" s="40" t="n">
        <x:v>30</x:v>
      </x:c>
      <x:c r="E713" s="40" t="n">
        <x:v>80</x:v>
      </x:c>
      <x:c r="F713" s="13" t="str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</x:row>
    <x:row r="714" ht="27" customHeight="1">
      <x:c r="A714" s="2" t="str">
        <x:v>S011</x:v>
      </x:c>
      <x:c r="B714" s="2" t="n">
        <x:v>28</x:v>
      </x:c>
      <x:c r="C714" s="40" t="n">
        <x:v>25</x:v>
      </x:c>
      <x:c r="D714" s="40" t="n">
        <x:v>30</x:v>
      </x:c>
      <x:c r="E714" s="40" t="n">
        <x:v>80</x:v>
      </x:c>
      <x:c r="F714" s="13" t="str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</x:row>
    <x:row r="715" ht="27" customHeight="1">
      <x:c r="A715" s="2" t="str">
        <x:v>S011</x:v>
      </x:c>
      <x:c r="B715" s="2" t="n">
        <x:v>29</x:v>
      </x:c>
      <x:c r="C715" s="40" t="n">
        <x:v>25</x:v>
      </x:c>
      <x:c r="D715" s="40" t="n">
        <x:v>30</x:v>
      </x:c>
      <x:c r="E715" s="40" t="n">
        <x:v>80</x:v>
      </x:c>
      <x:c r="F715" s="13" t="str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</x:row>
    <x:row r="716" ht="27" customHeight="1">
      <x:c r="A716" s="2" t="str">
        <x:v>S011</x:v>
      </x:c>
      <x:c r="B716" s="2" t="n">
        <x:v>30</x:v>
      </x:c>
      <x:c r="C716" s="40" t="n">
        <x:v>25</x:v>
      </x:c>
      <x:c r="D716" s="40" t="n">
        <x:v>30</x:v>
      </x:c>
      <x:c r="E716" s="40" t="n">
        <x:v>80</x:v>
      </x:c>
      <x:c r="F716" s="13" t="str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</x:row>
    <x:row r="717" ht="27" customHeight="1">
      <x:c r="A717" s="2" t="str">
        <x:v>S011</x:v>
      </x:c>
      <x:c r="B717" s="2" t="n">
        <x:v>31</x:v>
      </x:c>
      <x:c r="C717" s="40" t="n">
        <x:v>25</x:v>
      </x:c>
      <x:c r="D717" s="40" t="n">
        <x:v>30</x:v>
      </x:c>
      <x:c r="E717" s="40" t="n">
        <x:v>80</x:v>
      </x:c>
      <x:c r="F717" s="13" t="str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</x:row>
    <x:row r="718" ht="27" customHeight="1">
      <x:c r="A718" s="2" t="str">
        <x:v>S011</x:v>
      </x:c>
      <x:c r="B718" s="2" t="n">
        <x:v>32</x:v>
      </x:c>
      <x:c r="C718" s="40" t="n">
        <x:v>25</x:v>
      </x:c>
      <x:c r="D718" s="40" t="n">
        <x:v>30</x:v>
      </x:c>
      <x:c r="E718" s="40" t="n">
        <x:v>80</x:v>
      </x:c>
      <x:c r="F718" s="13" t="str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</x:row>
    <x:row r="719" ht="27" customHeight="1">
      <x:c r="A719" s="2" t="str">
        <x:v>S011</x:v>
      </x:c>
      <x:c r="B719" s="2" t="n">
        <x:v>33</x:v>
      </x:c>
      <x:c r="C719" s="40" t="n">
        <x:v>25</x:v>
      </x:c>
      <x:c r="D719" s="40" t="n">
        <x:v>30</x:v>
      </x:c>
      <x:c r="E719" s="40" t="n">
        <x:v>80</x:v>
      </x:c>
      <x:c r="F719" s="13" t="str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</x:row>
    <x:row r="720" ht="27" customHeight="1">
      <x:c r="A720" s="2" t="str">
        <x:v>S011</x:v>
      </x:c>
      <x:c r="B720" s="2" t="n">
        <x:v>34</x:v>
      </x:c>
      <x:c r="C720" s="40" t="n">
        <x:v>25</x:v>
      </x:c>
      <x:c r="D720" s="40" t="n">
        <x:v>30</x:v>
      </x:c>
      <x:c r="E720" s="40" t="n">
        <x:v>80</x:v>
      </x:c>
      <x:c r="F720" s="13" t="str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</x:row>
    <x:row r="721" ht="27" customHeight="1">
      <x:c r="A721" s="2" t="str">
        <x:v>S011</x:v>
      </x:c>
      <x:c r="B721" s="2" t="n">
        <x:v>35</x:v>
      </x:c>
      <x:c r="C721" s="40" t="n">
        <x:v>25</x:v>
      </x:c>
      <x:c r="D721" s="40" t="n">
        <x:v>30</x:v>
      </x:c>
      <x:c r="E721" s="40" t="n">
        <x:v>80</x:v>
      </x:c>
      <x:c r="F721" s="13" t="str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</x:row>
    <x:row r="722" ht="27" customHeight="1">
      <x:c r="A722" s="2" t="str">
        <x:v>S011</x:v>
      </x:c>
      <x:c r="B722" s="2" t="n">
        <x:v>36</x:v>
      </x:c>
      <x:c r="C722" s="40" t="n">
        <x:v>25</x:v>
      </x:c>
      <x:c r="D722" s="40" t="n">
        <x:v>30</x:v>
      </x:c>
      <x:c r="E722" s="40" t="n">
        <x:v>80</x:v>
      </x:c>
      <x:c r="F722" s="13" t="str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</x:row>
    <x:row r="723" ht="27" customHeight="1">
      <x:c r="A723" s="2" t="str">
        <x:v>S011</x:v>
      </x:c>
      <x:c r="B723" s="2" t="n">
        <x:v>37</x:v>
      </x:c>
      <x:c r="C723" s="40" t="n">
        <x:v>25</x:v>
      </x:c>
      <x:c r="D723" s="40" t="n">
        <x:v>30</x:v>
      </x:c>
      <x:c r="E723" s="40" t="n">
        <x:v>80</x:v>
      </x:c>
      <x:c r="F723" s="13" t="str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</x:row>
    <x:row r="724" ht="27" customHeight="1">
      <x:c r="A724" s="2" t="str">
        <x:v>S011</x:v>
      </x:c>
      <x:c r="B724" s="2" t="n">
        <x:v>38</x:v>
      </x:c>
      <x:c r="C724" s="40" t="n">
        <x:v>25</x:v>
      </x:c>
      <x:c r="D724" s="40" t="n">
        <x:v>30</x:v>
      </x:c>
      <x:c r="E724" s="40" t="n">
        <x:v>80</x:v>
      </x:c>
      <x:c r="F724" s="13" t="str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</x:row>
    <x:row r="725" ht="27" customHeight="1">
      <x:c r="A725" s="2" t="str">
        <x:v>S011</x:v>
      </x:c>
      <x:c r="B725" s="2" t="n">
        <x:v>39</x:v>
      </x:c>
      <x:c r="C725" s="40" t="n">
        <x:v>25</x:v>
      </x:c>
      <x:c r="D725" s="40" t="n">
        <x:v>30</x:v>
      </x:c>
      <x:c r="E725" s="40" t="n">
        <x:v>80</x:v>
      </x:c>
      <x:c r="F725" s="13" t="str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</x:row>
    <x:row r="726" ht="27" customHeight="1">
      <x:c r="A726" s="2" t="str">
        <x:v>S011</x:v>
      </x:c>
      <x:c r="B726" s="2" t="n">
        <x:v>40</x:v>
      </x:c>
      <x:c r="C726" s="40" t="n">
        <x:v>25</x:v>
      </x:c>
      <x:c r="D726" s="40" t="n">
        <x:v>30</x:v>
      </x:c>
      <x:c r="E726" s="40" t="n">
        <x:v>80</x:v>
      </x:c>
      <x:c r="F726" s="13" t="str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</x:row>
    <x:row r="727" ht="27" customHeight="1">
      <x:c r="A727" s="2" t="str">
        <x:v>S011</x:v>
      </x:c>
      <x:c r="B727" s="2" t="n">
        <x:v>41</x:v>
      </x:c>
      <x:c r="C727" s="40" t="n">
        <x:v>25</x:v>
      </x:c>
      <x:c r="D727" s="40" t="n">
        <x:v>30</x:v>
      </x:c>
      <x:c r="E727" s="40" t="n">
        <x:v>80</x:v>
      </x:c>
      <x:c r="F727" s="13" t="str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</x:row>
    <x:row r="728" ht="27" customHeight="1">
      <x:c r="A728" s="2" t="str">
        <x:v>S011</x:v>
      </x:c>
      <x:c r="B728" s="2" t="n">
        <x:v>42</x:v>
      </x:c>
      <x:c r="C728" s="40" t="n">
        <x:v>25</x:v>
      </x:c>
      <x:c r="D728" s="40" t="n">
        <x:v>30</x:v>
      </x:c>
      <x:c r="E728" s="40" t="n">
        <x:v>80</x:v>
      </x:c>
      <x:c r="F728" s="13" t="str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</x:row>
    <x:row r="729" ht="27" customHeight="1">
      <x:c r="A729" s="2" t="str">
        <x:v>S011</x:v>
      </x:c>
      <x:c r="B729" s="2" t="n">
        <x:v>43</x:v>
      </x:c>
      <x:c r="C729" s="40" t="n">
        <x:v>25</x:v>
      </x:c>
      <x:c r="D729" s="40" t="n">
        <x:v>30</x:v>
      </x:c>
      <x:c r="E729" s="40" t="n">
        <x:v>80</x:v>
      </x:c>
      <x:c r="F729" s="13" t="str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</x:row>
    <x:row r="730" ht="27" customHeight="1">
      <x:c r="A730" s="2" t="str">
        <x:v>S011</x:v>
      </x:c>
      <x:c r="B730" s="2" t="n">
        <x:v>44</x:v>
      </x:c>
      <x:c r="C730" s="40" t="n">
        <x:v>25</x:v>
      </x:c>
      <x:c r="D730" s="40" t="n">
        <x:v>30</x:v>
      </x:c>
      <x:c r="E730" s="40" t="n">
        <x:v>80</x:v>
      </x:c>
      <x:c r="F730" s="13" t="str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</x:row>
    <x:row r="731" ht="27" customHeight="1">
      <x:c r="A731" s="2" t="str">
        <x:v>S011</x:v>
      </x:c>
      <x:c r="B731" s="2" t="n">
        <x:v>45</x:v>
      </x:c>
      <x:c r="C731" s="40" t="n">
        <x:v>25</x:v>
      </x:c>
      <x:c r="D731" s="40" t="n">
        <x:v>30</x:v>
      </x:c>
      <x:c r="E731" s="40" t="n">
        <x:v>80</x:v>
      </x:c>
      <x:c r="F731" s="13" t="str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</x:row>
    <x:row r="732" ht="27" customHeight="1">
      <x:c r="A732" s="2" t="str">
        <x:v>S011</x:v>
      </x:c>
      <x:c r="B732" s="2" t="n">
        <x:v>46</x:v>
      </x:c>
      <x:c r="C732" s="40" t="n">
        <x:v>25</x:v>
      </x:c>
      <x:c r="D732" s="40" t="n">
        <x:v>30</x:v>
      </x:c>
      <x:c r="E732" s="40" t="n">
        <x:v>80</x:v>
      </x:c>
      <x:c r="F732" s="13" t="str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</x:row>
    <x:row r="733" ht="27" customHeight="1">
      <x:c r="A733" s="2" t="str">
        <x:v>S011</x:v>
      </x:c>
      <x:c r="B733" s="2" t="n">
        <x:v>47</x:v>
      </x:c>
      <x:c r="C733" s="40" t="n">
        <x:v>25</x:v>
      </x:c>
      <x:c r="D733" s="40" t="n">
        <x:v>30</x:v>
      </x:c>
      <x:c r="E733" s="40" t="n">
        <x:v>80</x:v>
      </x:c>
      <x:c r="F733" s="13" t="str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</x:row>
    <x:row r="734" ht="27" customHeight="1">
      <x:c r="A734" s="2" t="str">
        <x:v>S011</x:v>
      </x:c>
      <x:c r="B734" s="2" t="n">
        <x:v>48</x:v>
      </x:c>
      <x:c r="C734" s="40" t="n">
        <x:v>25</x:v>
      </x:c>
      <x:c r="D734" s="40" t="n">
        <x:v>30</x:v>
      </x:c>
      <x:c r="E734" s="40" t="n">
        <x:v>80</x:v>
      </x:c>
      <x:c r="F734" s="13" t="str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</x:row>
    <x:row r="735" ht="27" customHeight="1">
      <x:c r="A735" s="2" t="str">
        <x:v>S011</x:v>
      </x:c>
      <x:c r="B735" s="2" t="n">
        <x:v>49</x:v>
      </x:c>
      <x:c r="C735" s="40" t="n">
        <x:v>25</x:v>
      </x:c>
      <x:c r="D735" s="40" t="n">
        <x:v>30</x:v>
      </x:c>
      <x:c r="E735" s="40" t="n">
        <x:v>80</x:v>
      </x:c>
      <x:c r="F735" s="13" t="str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</x:row>
    <x:row r="736" ht="27" customHeight="1">
      <x:c r="A736" s="2" t="str">
        <x:v>S011</x:v>
      </x:c>
      <x:c r="B736" s="2" t="n">
        <x:v>50</x:v>
      </x:c>
      <x:c r="C736" s="40" t="n">
        <x:v>25</x:v>
      </x:c>
      <x:c r="D736" s="40" t="n">
        <x:v>30</x:v>
      </x:c>
      <x:c r="E736" s="40" t="n">
        <x:v>80</x:v>
      </x:c>
      <x:c r="F736" s="13" t="str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</x:row>
    <x:row r="737" ht="27" customHeight="1">
      <x:c r="A737" s="2" t="str">
        <x:v>S011</x:v>
      </x:c>
      <x:c r="B737" s="2" t="n">
        <x:v>51</x:v>
      </x:c>
      <x:c r="C737" s="40" t="n">
        <x:v>25</x:v>
      </x:c>
      <x:c r="D737" s="40" t="n">
        <x:v>30</x:v>
      </x:c>
      <x:c r="E737" s="40" t="n">
        <x:v>80</x:v>
      </x:c>
      <x:c r="F737" s="13" t="str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</x:row>
    <x:row r="738" ht="27" customHeight="1">
      <x:c r="A738" s="2" t="str">
        <x:v>S011</x:v>
      </x:c>
      <x:c r="B738" s="2" t="n">
        <x:v>52</x:v>
      </x:c>
      <x:c r="C738" s="40" t="n">
        <x:v>25</x:v>
      </x:c>
      <x:c r="D738" s="40" t="n">
        <x:v>30</x:v>
      </x:c>
      <x:c r="E738" s="40" t="n">
        <x:v>80</x:v>
      </x:c>
      <x:c r="F738" s="13" t="str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</x:row>
    <x:row r="739" ht="27" customHeight="1">
      <x:c r="A739" s="2" t="str">
        <x:v>S011</x:v>
      </x:c>
      <x:c r="B739" s="2" t="n">
        <x:v>53</x:v>
      </x:c>
      <x:c r="C739" s="40" t="n">
        <x:v>25</x:v>
      </x:c>
      <x:c r="D739" s="40" t="n">
        <x:v>30</x:v>
      </x:c>
      <x:c r="E739" s="40" t="n">
        <x:v>80</x:v>
      </x:c>
      <x:c r="F739" s="13" t="str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</x:row>
    <x:row r="740" ht="27" customHeight="1">
      <x:c r="A740" s="2" t="str">
        <x:v>S011</x:v>
      </x:c>
      <x:c r="B740" s="2" t="n">
        <x:v>54</x:v>
      </x:c>
      <x:c r="C740" s="40" t="n">
        <x:v>25</x:v>
      </x:c>
      <x:c r="D740" s="40" t="n">
        <x:v>30</x:v>
      </x:c>
      <x:c r="E740" s="40" t="n">
        <x:v>80</x:v>
      </x:c>
      <x:c r="F740" s="13" t="str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</x:row>
    <x:row r="741" ht="27" customHeight="1">
      <x:c r="A741" s="2" t="str">
        <x:v>S011</x:v>
      </x:c>
      <x:c r="B741" s="2" t="n">
        <x:v>55</x:v>
      </x:c>
      <x:c r="C741" s="40" t="n">
        <x:v>25</x:v>
      </x:c>
      <x:c r="D741" s="40" t="n">
        <x:v>30</x:v>
      </x:c>
      <x:c r="E741" s="40" t="n">
        <x:v>80</x:v>
      </x:c>
      <x:c r="F741" s="13" t="str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</x:row>
    <x:row r="742" ht="27" customHeight="1">
      <x:c r="A742" s="2" t="str">
        <x:v>S011</x:v>
      </x:c>
      <x:c r="B742" s="2" t="n">
        <x:v>56</x:v>
      </x:c>
      <x:c r="C742" s="40" t="n">
        <x:v>25</x:v>
      </x:c>
      <x:c r="D742" s="40" t="n">
        <x:v>30</x:v>
      </x:c>
      <x:c r="E742" s="40" t="n">
        <x:v>80</x:v>
      </x:c>
      <x:c r="F742" s="13" t="str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</x:row>
    <x:row r="743" ht="27" customHeight="1">
      <x:c r="A743" s="2" t="str">
        <x:v>S011</x:v>
      </x:c>
      <x:c r="B743" s="2" t="n">
        <x:v>57</x:v>
      </x:c>
      <x:c r="C743" s="40" t="n">
        <x:v>25</x:v>
      </x:c>
      <x:c r="D743" s="40" t="n">
        <x:v>30</x:v>
      </x:c>
      <x:c r="E743" s="40" t="n">
        <x:v>80</x:v>
      </x:c>
      <x:c r="F743" s="13" t="str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</x:row>
    <x:row r="744" ht="27" customHeight="1">
      <x:c r="A744" s="2" t="str">
        <x:v>S011</x:v>
      </x:c>
      <x:c r="B744" s="2" t="n">
        <x:v>58</x:v>
      </x:c>
      <x:c r="C744" s="40" t="n">
        <x:v>25</x:v>
      </x:c>
      <x:c r="D744" s="40" t="n">
        <x:v>30</x:v>
      </x:c>
      <x:c r="E744" s="40" t="n">
        <x:v>80</x:v>
      </x:c>
      <x:c r="F744" s="13" t="str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</x:row>
    <x:row r="745" ht="27" customHeight="1">
      <x:c r="A745" s="2" t="str">
        <x:v>S011</x:v>
      </x:c>
      <x:c r="B745" s="2" t="n">
        <x:v>59</x:v>
      </x:c>
      <x:c r="C745" s="40" t="n">
        <x:v>25</x:v>
      </x:c>
      <x:c r="D745" s="40" t="n">
        <x:v>30</x:v>
      </x:c>
      <x:c r="E745" s="40" t="n">
        <x:v>80</x:v>
      </x:c>
      <x:c r="F745" s="13" t="str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</x:row>
    <x:row r="746" ht="27" customHeight="1">
      <x:c r="A746" s="2" t="str">
        <x:v>S011</x:v>
      </x:c>
      <x:c r="B746" s="2" t="n">
        <x:v>60</x:v>
      </x:c>
      <x:c r="C746" s="40" t="n">
        <x:v>25</x:v>
      </x:c>
      <x:c r="D746" s="40" t="n">
        <x:v>30</x:v>
      </x:c>
      <x:c r="E746" s="40" t="n">
        <x:v>80</x:v>
      </x:c>
      <x:c r="F746" s="13" t="str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</x:row>
    <x:row r="747" ht="27" customHeight="1">
      <x:c r="A747" s="2" t="str">
        <x:v>S012</x:v>
      </x:c>
      <x:c r="B747" s="2" t="n">
        <x:v>0</x:v>
      </x:c>
      <x:c r="C747" s="40" t="n">
        <x:v>25</x:v>
      </x:c>
      <x:c r="D747" s="40" t="n">
        <x:v>30</x:v>
      </x:c>
      <x:c r="E747" s="40" t="n">
        <x:v>80</x:v>
      </x:c>
      <x:c r="F747" s="13" t="str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</x:row>
    <x:row r="748" ht="27" customHeight="1">
      <x:c r="A748" s="2" t="str">
        <x:v>S012</x:v>
      </x:c>
      <x:c r="B748" s="2" t="n">
        <x:v>1</x:v>
      </x:c>
      <x:c r="C748" s="40" t="n">
        <x:v>25</x:v>
      </x:c>
      <x:c r="D748" s="40" t="n">
        <x:v>30</x:v>
      </x:c>
      <x:c r="E748" s="40" t="n">
        <x:v>80</x:v>
      </x:c>
      <x:c r="F748" s="13" t="str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</x:row>
    <x:row r="749" ht="27" customHeight="1">
      <x:c r="A749" s="2" t="str">
        <x:v>S012</x:v>
      </x:c>
      <x:c r="B749" s="2" t="n">
        <x:v>2</x:v>
      </x:c>
      <x:c r="C749" s="40" t="n">
        <x:v>25</x:v>
      </x:c>
      <x:c r="D749" s="40" t="n">
        <x:v>30</x:v>
      </x:c>
      <x:c r="E749" s="40" t="n">
        <x:v>80</x:v>
      </x:c>
      <x:c r="F749" s="13" t="str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</x:row>
    <x:row r="750" ht="27" customHeight="1">
      <x:c r="A750" s="2" t="str">
        <x:v>S012</x:v>
      </x:c>
      <x:c r="B750" s="2" t="n">
        <x:v>3</x:v>
      </x:c>
      <x:c r="C750" s="40" t="n">
        <x:v>25</x:v>
      </x:c>
      <x:c r="D750" s="40" t="n">
        <x:v>30</x:v>
      </x:c>
      <x:c r="E750" s="40" t="n">
        <x:v>80</x:v>
      </x:c>
      <x:c r="F750" s="13" t="str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</x:row>
    <x:row r="751" ht="27" customHeight="1">
      <x:c r="A751" s="2" t="str">
        <x:v>S012</x:v>
      </x:c>
      <x:c r="B751" s="2" t="n">
        <x:v>4</x:v>
      </x:c>
      <x:c r="C751" s="40" t="n">
        <x:v>25</x:v>
      </x:c>
      <x:c r="D751" s="40" t="n">
        <x:v>30</x:v>
      </x:c>
      <x:c r="E751" s="40" t="n">
        <x:v>80</x:v>
      </x:c>
      <x:c r="F751" s="13" t="str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</x:row>
    <x:row r="752" ht="27" customHeight="1">
      <x:c r="A752" s="2" t="str">
        <x:v>S012</x:v>
      </x:c>
      <x:c r="B752" s="2" t="n">
        <x:v>5</x:v>
      </x:c>
      <x:c r="C752" s="40" t="n">
        <x:v>25</x:v>
      </x:c>
      <x:c r="D752" s="40" t="n">
        <x:v>30</x:v>
      </x:c>
      <x:c r="E752" s="40" t="n">
        <x:v>80</x:v>
      </x:c>
      <x:c r="F752" s="13" t="str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</x:row>
    <x:row r="753" ht="27" customHeight="1">
      <x:c r="A753" s="2" t="str">
        <x:v>S012</x:v>
      </x:c>
      <x:c r="B753" s="2" t="n">
        <x:v>6</x:v>
      </x:c>
      <x:c r="C753" s="40" t="n">
        <x:v>25</x:v>
      </x:c>
      <x:c r="D753" s="40" t="n">
        <x:v>30</x:v>
      </x:c>
      <x:c r="E753" s="40" t="n">
        <x:v>80</x:v>
      </x:c>
      <x:c r="F753" s="13" t="str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</x:row>
    <x:row r="754" ht="27" customHeight="1">
      <x:c r="A754" s="2" t="str">
        <x:v>S012</x:v>
      </x:c>
      <x:c r="B754" s="2" t="n">
        <x:v>7</x:v>
      </x:c>
      <x:c r="C754" s="40" t="n">
        <x:v>25</x:v>
      </x:c>
      <x:c r="D754" s="40" t="n">
        <x:v>30</x:v>
      </x:c>
      <x:c r="E754" s="40" t="n">
        <x:v>80</x:v>
      </x:c>
      <x:c r="F754" s="13" t="str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</x:row>
    <x:row r="755" ht="27" customHeight="1">
      <x:c r="A755" s="2" t="str">
        <x:v>S012</x:v>
      </x:c>
      <x:c r="B755" s="2" t="n">
        <x:v>8</x:v>
      </x:c>
      <x:c r="C755" s="40" t="n">
        <x:v>25</x:v>
      </x:c>
      <x:c r="D755" s="40" t="n">
        <x:v>30</x:v>
      </x:c>
      <x:c r="E755" s="40" t="n">
        <x:v>79.63945746421814</x:v>
      </x:c>
      <x:c r="F755" s="13" t="str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</x:row>
    <x:row r="756" ht="27" customHeight="1">
      <x:c r="A756" s="2" t="str">
        <x:v>S012</x:v>
      </x:c>
      <x:c r="B756" s="2" t="n">
        <x:v>9</x:v>
      </x:c>
      <x:c r="C756" s="40" t="n">
        <x:v>25</x:v>
      </x:c>
      <x:c r="D756" s="40" t="n">
        <x:v>30</x:v>
      </x:c>
      <x:c r="E756" s="40" t="n">
        <x:v>78.87745141983032</x:v>
      </x:c>
      <x:c r="F756" s="13" t="str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</x:row>
    <x:row r="757" ht="27" customHeight="1">
      <x:c r="A757" s="2" t="str">
        <x:v>S012</x:v>
      </x:c>
      <x:c r="B757" s="2" t="n">
        <x:v>10</x:v>
      </x:c>
      <x:c r="C757" s="40" t="n">
        <x:v>25</x:v>
      </x:c>
      <x:c r="D757" s="40" t="n">
        <x:v>30</x:v>
      </x:c>
      <x:c r="E757" s="40" t="n">
        <x:v>78.08637082576752</x:v>
      </x:c>
      <x:c r="F757" s="13" t="str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</x:row>
    <x:row r="758" ht="27" customHeight="1">
      <x:c r="A758" s="2" t="str">
        <x:v>S012</x:v>
      </x:c>
      <x:c r="B758" s="2" t="n">
        <x:v>11</x:v>
      </x:c>
      <x:c r="C758" s="40" t="n">
        <x:v>25</x:v>
      </x:c>
      <x:c r="D758" s="40" t="n">
        <x:v>30</x:v>
      </x:c>
      <x:c r="E758" s="40" t="n">
        <x:v>77.2644853591919</x:v>
      </x:c>
      <x:c r="F758" s="13" t="str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</x:row>
    <x:row r="759" ht="27" customHeight="1">
      <x:c r="A759" s="2" t="str">
        <x:v>S012</x:v>
      </x:c>
      <x:c r="B759" s="2" t="n">
        <x:v>12</x:v>
      </x:c>
      <x:c r="C759" s="40" t="n">
        <x:v>25</x:v>
      </x:c>
      <x:c r="D759" s="40" t="n">
        <x:v>30</x:v>
      </x:c>
      <x:c r="E759" s="40" t="n">
        <x:v>76.40992164611816</x:v>
      </x:c>
      <x:c r="F759" s="13" t="str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</x:row>
    <x:row r="760" ht="27" customHeight="1">
      <x:c r="A760" s="2" t="str">
        <x:v>S012</x:v>
      </x:c>
      <x:c r="B760" s="2" t="n">
        <x:v>13</x:v>
      </x:c>
      <x:c r="C760" s="40" t="n">
        <x:v>25</x:v>
      </x:c>
      <x:c r="D760" s="40" t="n">
        <x:v>30</x:v>
      </x:c>
      <x:c r="E760" s="40" t="n">
        <x:v>75.52064597606659</x:v>
      </x:c>
      <x:c r="F760" s="13" t="str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</x:row>
    <x:row r="761" ht="27" customHeight="1">
      <x:c r="A761" s="2" t="str">
        <x:v>S012</x:v>
      </x:c>
      <x:c r="B761" s="2" t="n">
        <x:v>14</x:v>
      </x:c>
      <x:c r="C761" s="40" t="n">
        <x:v>25</x:v>
      </x:c>
      <x:c r="D761" s="40" t="n">
        <x:v>30</x:v>
      </x:c>
      <x:c r="E761" s="40" t="n">
        <x:v>74.5944482088089</x:v>
      </x:c>
      <x:c r="F761" s="13" t="str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</x:row>
    <x:row r="762" ht="27" customHeight="1">
      <x:c r="A762" s="2" t="str">
        <x:v>S012</x:v>
      </x:c>
      <x:c r="B762" s="2" t="n">
        <x:v>15</x:v>
      </x:c>
      <x:c r="C762" s="40" t="n">
        <x:v>25</x:v>
      </x:c>
      <x:c r="D762" s="40" t="n">
        <x:v>30</x:v>
      </x:c>
      <x:c r="E762" s="40" t="n">
        <x:v>73.62891912460327</x:v>
      </x:c>
      <x:c r="F762" s="13" t="str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</x:row>
    <x:row r="763" ht="27" customHeight="1">
      <x:c r="A763" s="2" t="str">
        <x:v>S012</x:v>
      </x:c>
      <x:c r="B763" s="2" t="n">
        <x:v>16</x:v>
      </x:c>
      <x:c r="C763" s="40" t="n">
        <x:v>25</x:v>
      </x:c>
      <x:c r="D763" s="40" t="n">
        <x:v>30</x:v>
      </x:c>
      <x:c r="E763" s="40" t="n">
        <x:v>72.62142598628998</x:v>
      </x:c>
      <x:c r="F763" s="13" t="str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</x:row>
    <x:row r="764" ht="27" customHeight="1">
      <x:c r="A764" s="2" t="str">
        <x:v>S012</x:v>
      </x:c>
      <x:c r="B764" s="2" t="n">
        <x:v>17</x:v>
      </x:c>
      <x:c r="C764" s="40" t="n">
        <x:v>25</x:v>
      </x:c>
      <x:c r="D764" s="40" t="n">
        <x:v>30</x:v>
      </x:c>
      <x:c r="E764" s="40" t="n">
        <x:v>71.56908869743347</x:v>
      </x:c>
      <x:c r="F764" s="13" t="str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</x:row>
    <x:row r="765" ht="27" customHeight="1">
      <x:c r="A765" s="2" t="str">
        <x:v>S012</x:v>
      </x:c>
      <x:c r="B765" s="2" t="n">
        <x:v>18</x:v>
      </x:c>
      <x:c r="C765" s="40" t="n">
        <x:v>25</x:v>
      </x:c>
      <x:c r="D765" s="40" t="n">
        <x:v>30</x:v>
      </x:c>
      <x:c r="E765" s="40" t="n">
        <x:v>70.46874344348907</x:v>
      </x:c>
      <x:c r="F765" s="13" t="str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</x:row>
    <x:row r="766" ht="27" customHeight="1">
      <x:c r="A766" s="2" t="str">
        <x:v>S012</x:v>
      </x:c>
      <x:c r="B766" s="2" t="n">
        <x:v>19</x:v>
      </x:c>
      <x:c r="C766" s="40" t="n">
        <x:v>25</x:v>
      </x:c>
      <x:c r="D766" s="40" t="n">
        <x:v>30</x:v>
      </x:c>
      <x:c r="E766" s="40" t="n">
        <x:v>69.31690871715546</x:v>
      </x:c>
      <x:c r="F766" s="13" t="str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</x:row>
    <x:row r="767" ht="27" customHeight="1">
      <x:c r="A767" s="2" t="str">
        <x:v>S012</x:v>
      </x:c>
      <x:c r="B767" s="2" t="n">
        <x:v>20</x:v>
      </x:c>
      <x:c r="C767" s="40" t="n">
        <x:v>25</x:v>
      </x:c>
      <x:c r="D767" s="40" t="n">
        <x:v>30</x:v>
      </x:c>
      <x:c r="E767" s="40" t="n">
        <x:v>68.1097400188446</x:v>
      </x:c>
      <x:c r="F767" s="13" t="str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</x:row>
    <x:row r="768" ht="27" customHeight="1">
      <x:c r="A768" s="2" t="str">
        <x:v>S012</x:v>
      </x:c>
      <x:c r="B768" s="2" t="n">
        <x:v>21</x:v>
      </x:c>
      <x:c r="C768" s="40" t="n">
        <x:v>25</x:v>
      </x:c>
      <x:c r="D768" s="40" t="n">
        <x:v>30</x:v>
      </x:c>
      <x:c r="E768" s="40" t="n">
        <x:v>66.84297800064087</x:v>
      </x:c>
      <x:c r="F768" s="13" t="str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</x:row>
    <x:row r="769" ht="27" customHeight="1">
      <x:c r="A769" s="2" t="str">
        <x:v>S012</x:v>
      </x:c>
      <x:c r="B769" s="2" t="n">
        <x:v>22</x:v>
      </x:c>
      <x:c r="C769" s="40" t="n">
        <x:v>25</x:v>
      </x:c>
      <x:c r="D769" s="40" t="n">
        <x:v>30</x:v>
      </x:c>
      <x:c r="E769" s="40" t="n">
        <x:v>65.5118864774704</x:v>
      </x:c>
      <x:c r="F769" s="13" t="str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</x:row>
    <x:row r="770" ht="27" customHeight="1">
      <x:c r="A770" s="2" t="str">
        <x:v>S012</x:v>
      </x:c>
      <x:c r="B770" s="2" t="n">
        <x:v>23</x:v>
      </x:c>
      <x:c r="C770" s="40" t="n">
        <x:v>25</x:v>
      </x:c>
      <x:c r="D770" s="40" t="n">
        <x:v>30</x:v>
      </x:c>
      <x:c r="E770" s="40" t="n">
        <x:v>64.11118030548096</x:v>
      </x:c>
      <x:c r="F770" s="13" t="str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</x:row>
    <x:row r="771" ht="27" customHeight="1">
      <x:c r="A771" s="2" t="str">
        <x:v>S012</x:v>
      </x:c>
      <x:c r="B771" s="2" t="n">
        <x:v>24</x:v>
      </x:c>
      <x:c r="C771" s="40" t="n">
        <x:v>25</x:v>
      </x:c>
      <x:c r="D771" s="40" t="n">
        <x:v>30</x:v>
      </x:c>
      <x:c r="E771" s="40" t="n">
        <x:v>62.63493299484253</x:v>
      </x:c>
      <x:c r="F771" s="13" t="str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</x:row>
    <x:row r="772" ht="27" customHeight="1">
      <x:c r="A772" s="2" t="str">
        <x:v>S012</x:v>
      </x:c>
      <x:c r="B772" s="2" t="n">
        <x:v>25</x:v>
      </x:c>
      <x:c r="C772" s="40" t="n">
        <x:v>25</x:v>
      </x:c>
      <x:c r="D772" s="40" t="n">
        <x:v>29.429398477077484</x:v>
      </x:c>
      <x:c r="E772" s="40" t="n">
        <x:v>61.076470613479614</x:v>
      </x:c>
      <x:c r="F772" s="13" t="str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</x:row>
    <x:row r="773" ht="27" customHeight="1">
      <x:c r="A773" s="2" t="str">
        <x:v>S012</x:v>
      </x:c>
      <x:c r="B773" s="2" t="n">
        <x:v>26</x:v>
      </x:c>
      <x:c r="C773" s="40" t="n">
        <x:v>25</x:v>
      </x:c>
      <x:c r="D773" s="40" t="n">
        <x:v>28.815058171749115</x:v>
      </x:c>
      <x:c r="E773" s="40" t="n">
        <x:v>59.4282329082489</x:v>
      </x:c>
      <x:c r="F773" s="13" t="str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</x:row>
    <x:row r="774" ht="27" customHeight="1">
      <x:c r="A774" s="2" t="str">
        <x:v>S012</x:v>
      </x:c>
      <x:c r="B774" s="2" t="n">
        <x:v>27</x:v>
      </x:c>
      <x:c r="C774" s="40" t="n">
        <x:v>25</x:v>
      </x:c>
      <x:c r="D774" s="40" t="n">
        <x:v>28.166337311267853</x:v>
      </x:c>
      <x:c r="E774" s="40" t="n">
        <x:v>57.68160700798035</x:v>
      </x:c>
      <x:c r="F774" s="13" t="str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</x:row>
    <x:row r="775" ht="27" customHeight="1">
      <x:c r="A775" s="2" t="str">
        <x:v>S012</x:v>
      </x:c>
      <x:c r="B775" s="2" t="n">
        <x:v>28</x:v>
      </x:c>
      <x:c r="C775" s="40" t="n">
        <x:v>25</x:v>
      </x:c>
      <x:c r="D775" s="40" t="n">
        <x:v>27.480099499225616</x:v>
      </x:c>
      <x:c r="E775" s="40" t="n">
        <x:v>55.826711654663086</x:v>
      </x:c>
      <x:c r="F775" s="13" t="str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</x:row>
    <x:row r="776" ht="27" customHeight="1">
      <x:c r="A776" s="2" t="str">
        <x:v>S012</x:v>
      </x:c>
      <x:c r="B776" s="2" t="n">
        <x:v>29</x:v>
      </x:c>
      <x:c r="C776" s="40" t="n">
        <x:v>25</x:v>
      </x:c>
      <x:c r="D776" s="40" t="n">
        <x:v>26.752780973911285</x:v>
      </x:c>
      <x:c r="E776" s="40" t="n">
        <x:v>53.85212182998657</x:v>
      </x:c>
      <x:c r="F776" s="13" t="str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</x:row>
    <x:row r="777" ht="27" customHeight="1">
      <x:c r="A777" s="2" t="str">
        <x:v>S012</x:v>
      </x:c>
      <x:c r="B777" s="2" t="n">
        <x:v>30</x:v>
      </x:c>
      <x:c r="C777" s="40" t="n">
        <x:v>25</x:v>
      </x:c>
      <x:c r="D777" s="40" t="n">
        <x:v>25.980312824249268</x:v>
      </x:c>
      <x:c r="E777" s="40" t="n">
        <x:v>51.74450397491455</x:v>
      </x:c>
      <x:c r="F777" s="13" t="str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</x:row>
    <x:row r="778" ht="27" customHeight="1">
      <x:c r="A778" s="2" t="str">
        <x:v>S012</x:v>
      </x:c>
      <x:c r="B778" s="2" t="n">
        <x:v>31</x:v>
      </x:c>
      <x:c r="C778" s="40" t="n">
        <x:v>23.959360271692276</x:v>
      </x:c>
      <x:c r="D778" s="40" t="n">
        <x:v>25.158009231090546</x:v>
      </x:c>
      <x:c r="E778" s="40" t="n">
        <x:v>49.48813021183014</x:v>
      </x:c>
      <x:c r="F778" s="13" t="str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</x:row>
    <x:row r="779" ht="27" customHeight="1">
      <x:c r="A779" s="2" t="str">
        <x:v>S012</x:v>
      </x:c>
      <x:c r="B779" s="2" t="n">
        <x:v>32</x:v>
      </x:c>
      <x:c r="C779" s="40" t="n">
        <x:v>22.058948874473572</x:v>
      </x:c>
      <x:c r="D779" s="40" t="n">
        <x:v>24.28043693304062</x:v>
      </x:c>
      <x:c r="E779" s="40" t="n">
        <x:v>47.06420958042145</x:v>
      </x:c>
      <x:c r="F779" s="13" t="str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</x:row>
    <x:row r="780" ht="27" customHeight="1">
      <x:c r="A780" s="2" t="str">
        <x:v>S012</x:v>
      </x:c>
      <x:c r="B780" s="2" t="n">
        <x:v>33</x:v>
      </x:c>
      <x:c r="C780" s="40" t="n">
        <x:v>19.970471411943436</x:v>
      </x:c>
      <x:c r="D780" s="40" t="n">
        <x:v>23.341235518455505</x:v>
      </x:c>
      <x:c r="E780" s="40" t="n">
        <x:v>44.449936747550964</x:v>
      </x:c>
      <x:c r="F780" s="13" t="str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</x:row>
    <x:row r="781" ht="27" customHeight="1">
      <x:c r="A781" s="2" t="str">
        <x:v>S012</x:v>
      </x:c>
      <x:c r="B781" s="2" t="n">
        <x:v>34</x:v>
      </x:c>
      <x:c r="C781" s="40" t="n">
        <x:v>17.65185222029686</x:v>
      </x:c>
      <x:c r="D781" s="40" t="n">
        <x:v>22.332877814769745</x:v>
      </x:c>
      <x:c r="E781" s="40" t="n">
        <x:v>41.61709666252136</x:v>
      </x:c>
      <x:c r="F781" s="13" t="str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</x:row>
    <x:row r="782" ht="27" customHeight="1">
      <x:c r="A782" s="2" t="str">
        <x:v>S012</x:v>
      </x:c>
      <x:c r="B782" s="2" t="n">
        <x:v>35</x:v>
      </x:c>
      <x:c r="C782" s="40" t="n">
        <x:v>15.040323138237</x:v>
      </x:c>
      <x:c r="D782" s="40" t="n">
        <x:v>21.24633640050888</x:v>
      </x:c>
      <x:c r="E782" s="40" t="n">
        <x:v>38.52992236614227</x:v>
      </x:c>
      <x:c r="F782" s="13" t="str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</x:row>
    <x:row r="783" ht="27" customHeight="1">
      <x:c r="A783" s="2" t="str">
        <x:v>S012</x:v>
      </x:c>
      <x:c r="B783" s="2" t="n">
        <x:v>36</x:v>
      </x:c>
      <x:c r="C783" s="40" t="n">
        <x:v>12.031703442335129</x:v>
      </x:c>
      <x:c r="D783" s="40" t="n">
        <x:v>20.070620477199554</x:v>
      </x:c>
      <x:c r="E783" s="40" t="n">
        <x:v>35.14160931110382</x:v>
      </x:c>
      <x:c r="F783" s="13" t="str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</x:row>
    <x:row r="784" ht="27" customHeight="1">
      <x:c r="A784" s="2" t="str">
        <x:v>S012</x:v>
      </x:c>
      <x:c r="B784" s="2" t="n">
        <x:v>37</x:v>
      </x:c>
      <x:c r="C784" s="40" t="n">
        <x:v>8.417502045631409</x:v>
      </x:c>
      <x:c r="D784" s="40" t="n">
        <x:v>18.79207670688629</x:v>
      </x:c>
      <x:c r="E784" s="40" t="n">
        <x:v>31.388239860534668</x:v>
      </x:c>
      <x:c r="F784" s="13" t="str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</x:row>
    <x:row r="785" ht="27" customHeight="1">
      <x:c r="A785" s="2" t="str">
        <x:v>S012</x:v>
      </x:c>
      <x:c r="B785" s="2" t="n">
        <x:v>38</x:v>
      </x:c>
      <x:c r="C785" s="40" t="n">
        <x:v>3.5453826189041138</x:v>
      </x:c>
      <x:c r="D785" s="40" t="n">
        <x:v>17.3933207988739</x:v>
      </x:c>
      <x:c r="E785" s="40" t="n">
        <x:v>27.1771240234375</x:v>
      </x:c>
      <x:c r="F785" s="13" t="str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</x:row>
    <x:row r="786" ht="27" customHeight="1">
      <x:c r="A786" s="2" t="str">
        <x:v>S012</x:v>
      </x:c>
      <x:c r="B786" s="2" t="n">
        <x:v>39</x:v>
      </x:c>
      <x:c r="C786" s="40"/>
      <x:c r="D786" s="40" t="n">
        <x:v>15.851492285728455</x:v>
      </x:c>
      <x:c r="E786" s="40" t="n">
        <x:v>22.3611581325531</x:v>
      </x:c>
      <x:c r="F786" s="13" t="str">
        <x:v>A型空载也不可行</x:v>
      </x:c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</x:row>
    <x:row r="787" ht="27" customHeight="1">
      <x:c r="A787" s="2" t="str">
        <x:v>S012</x:v>
      </x:c>
      <x:c r="B787" s="2" t="n">
        <x:v>40</x:v>
      </x:c>
      <x:c r="C787" s="40"/>
      <x:c r="D787" s="40" t="n">
        <x:v>14.135173559188843</x:v>
      </x:c>
      <x:c r="E787" s="40" t="n">
        <x:v>16.669130325317383</x:v>
      </x:c>
      <x:c r="F787" s="13" t="str">
        <x:v>A型空载也不可行</x:v>
      </x:c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</x:row>
    <x:row r="788" ht="27" customHeight="1">
      <x:c r="A788" s="2" t="str">
        <x:v>S012</x:v>
      </x:c>
      <x:c r="B788" s="2" t="n">
        <x:v>41</x:v>
      </x:c>
      <x:c r="C788" s="40"/>
      <x:c r="D788" s="40" t="n">
        <x:v>12.19840943813324</x:v>
      </x:c>
      <x:c r="E788" s="40" t="n">
        <x:v>9.42117989063263</x:v>
      </x:c>
      <x:c r="F788" s="13" t="str">
        <x:v>A型空载也不可行</x:v>
      </x:c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</x:row>
    <x:row r="789" ht="27" customHeight="1">
      <x:c r="A789" s="2" t="str">
        <x:v>S012</x:v>
      </x:c>
      <x:c r="B789" s="2" t="n">
        <x:v>42</x:v>
      </x:c>
      <x:c r="C789" s="40"/>
      <x:c r="D789" s="40" t="n">
        <x:v>9.967279136180878</x:v>
      </x:c>
      <x:c r="E789" s="40"/>
      <x:c r="F789" s="13" t="str">
        <x:v>A型空载也不可行；C型空载也不可行</x:v>
      </x:c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</x:row>
    <x:row r="790" ht="27" customHeight="1">
      <x:c r="A790" s="2" t="str">
        <x:v>S012</x:v>
      </x:c>
      <x:c r="B790" s="2" t="n">
        <x:v>43</x:v>
      </x:c>
      <x:c r="C790" s="40"/>
      <x:c r="D790" s="40" t="n">
        <x:v>7.302050292491913</x:v>
      </x:c>
      <x:c r="E790" s="40"/>
      <x:c r="F790" s="13" t="str">
        <x:v>A型空载也不可行；C型空载也不可行</x:v>
      </x:c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</x:row>
    <x:row r="791" ht="27" customHeight="1">
      <x:c r="A791" s="2" t="str">
        <x:v>S012</x:v>
      </x:c>
      <x:c r="B791" s="2" t="n">
        <x:v>44</x:v>
      </x:c>
      <x:c r="C791" s="40"/>
      <x:c r="D791" s="40" t="n">
        <x:v>3.8286003470420837</x:v>
      </x:c>
      <x:c r="E791" s="40"/>
      <x:c r="F791" s="13" t="str">
        <x:v>A型空载也不可行；C型空载也不可行</x:v>
      </x:c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</x:row>
    <x:row r="792" ht="27" customHeight="1">
      <x:c r="A792" s="2" t="str">
        <x:v>S012</x:v>
      </x:c>
      <x:c r="B792" s="2" t="n">
        <x:v>45</x:v>
      </x:c>
      <x:c r="C792" s="40"/>
      <x:c r="D792" s="40"/>
      <x:c r="E792" s="40"/>
      <x:c r="F792" s="13" t="str">
        <x:v>A型空载也不可行；B型空载也不可行；C型空载也不可行</x:v>
      </x:c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</x:row>
    <x:row r="793" ht="27" customHeight="1">
      <x:c r="A793" s="2" t="str">
        <x:v>S012</x:v>
      </x:c>
      <x:c r="B793" s="2" t="n">
        <x:v>46</x:v>
      </x:c>
      <x:c r="C793" s="40"/>
      <x:c r="D793" s="40"/>
      <x:c r="E793" s="40"/>
      <x:c r="F793" s="13" t="str">
        <x:v>A型空载也不可行；B型空载也不可行；C型空载也不可行</x:v>
      </x:c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</x:row>
    <x:row r="794" ht="27" customHeight="1">
      <x:c r="A794" s="2" t="str">
        <x:v>S012</x:v>
      </x:c>
      <x:c r="B794" s="2" t="n">
        <x:v>47</x:v>
      </x:c>
      <x:c r="C794" s="40"/>
      <x:c r="D794" s="40"/>
      <x:c r="E794" s="40"/>
      <x:c r="F794" s="13" t="str">
        <x:v>A型空载也不可行；B型空载也不可行；C型空载也不可行</x:v>
      </x:c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</x:row>
    <x:row r="795" ht="27" customHeight="1">
      <x:c r="A795" s="2" t="str">
        <x:v>S012</x:v>
      </x:c>
      <x:c r="B795" s="2" t="n">
        <x:v>48</x:v>
      </x:c>
      <x:c r="C795" s="40"/>
      <x:c r="D795" s="40"/>
      <x:c r="E795" s="40"/>
      <x:c r="F795" s="13" t="str">
        <x:v>A型空载也不可行；B型空载也不可行；C型空载也不可行</x:v>
      </x:c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</x:row>
    <x:row r="796" ht="27" customHeight="1">
      <x:c r="A796" s="2" t="str">
        <x:v>S012</x:v>
      </x:c>
      <x:c r="B796" s="2" t="n">
        <x:v>49</x:v>
      </x:c>
      <x:c r="C796" s="40"/>
      <x:c r="D796" s="40"/>
      <x:c r="E796" s="40"/>
      <x:c r="F796" s="13" t="str">
        <x:v>A型空载也不可行；B型空载也不可行；C型空载也不可行</x:v>
      </x:c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</x:row>
    <x:row r="797" ht="27" customHeight="1">
      <x:c r="A797" s="2" t="str">
        <x:v>S012</x:v>
      </x:c>
      <x:c r="B797" s="2" t="n">
        <x:v>50</x:v>
      </x:c>
      <x:c r="C797" s="40"/>
      <x:c r="D797" s="40"/>
      <x:c r="E797" s="40"/>
      <x:c r="F797" s="13" t="str">
        <x:v>A型空载也不可行；B型空载也不可行；C型空载也不可行</x:v>
      </x:c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</x:row>
    <x:row r="798" ht="27" customHeight="1">
      <x:c r="A798" s="2" t="str">
        <x:v>S012</x:v>
      </x:c>
      <x:c r="B798" s="2" t="n">
        <x:v>51</x:v>
      </x:c>
      <x:c r="C798" s="40"/>
      <x:c r="D798" s="40"/>
      <x:c r="E798" s="40"/>
      <x:c r="F798" s="13" t="str">
        <x:v>A型空载也不可行；B型空载也不可行；C型空载也不可行</x:v>
      </x:c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</x:row>
    <x:row r="799" ht="27" customHeight="1">
      <x:c r="A799" s="2" t="str">
        <x:v>S012</x:v>
      </x:c>
      <x:c r="B799" s="2" t="n">
        <x:v>52</x:v>
      </x:c>
      <x:c r="C799" s="40"/>
      <x:c r="D799" s="40"/>
      <x:c r="E799" s="40"/>
      <x:c r="F799" s="13" t="str">
        <x:v>A型空载也不可行；B型空载也不可行；C型空载也不可行</x:v>
      </x:c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</x:row>
    <x:row r="800" ht="27" customHeight="1">
      <x:c r="A800" s="2" t="str">
        <x:v>S012</x:v>
      </x:c>
      <x:c r="B800" s="2" t="n">
        <x:v>53</x:v>
      </x:c>
      <x:c r="C800" s="40"/>
      <x:c r="D800" s="40"/>
      <x:c r="E800" s="40"/>
      <x:c r="F800" s="13" t="str">
        <x:v>A型空载也不可行；B型空载也不可行；C型空载也不可行</x:v>
      </x:c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</x:row>
    <x:row r="801" ht="27" customHeight="1">
      <x:c r="A801" s="2" t="str">
        <x:v>S012</x:v>
      </x:c>
      <x:c r="B801" s="2" t="n">
        <x:v>54</x:v>
      </x:c>
      <x:c r="C801" s="40"/>
      <x:c r="D801" s="40"/>
      <x:c r="E801" s="40"/>
      <x:c r="F801" s="13" t="str">
        <x:v>A型空载也不可行；B型空载也不可行；C型空载也不可行</x:v>
      </x:c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</x:row>
    <x:row r="802" ht="27" customHeight="1">
      <x:c r="A802" s="2" t="str">
        <x:v>S012</x:v>
      </x:c>
      <x:c r="B802" s="2" t="n">
        <x:v>55</x:v>
      </x:c>
      <x:c r="C802" s="40"/>
      <x:c r="D802" s="40"/>
      <x:c r="E802" s="40"/>
      <x:c r="F802" s="13" t="str">
        <x:v>A型空载也不可行；B型空载也不可行；C型空载也不可行</x:v>
      </x:c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</x:row>
    <x:row r="803" ht="27" customHeight="1">
      <x:c r="A803" s="2" t="str">
        <x:v>S012</x:v>
      </x:c>
      <x:c r="B803" s="2" t="n">
        <x:v>56</x:v>
      </x:c>
      <x:c r="C803" s="40"/>
      <x:c r="D803" s="40"/>
      <x:c r="E803" s="40"/>
      <x:c r="F803" s="13" t="str">
        <x:v>A型空载也不可行；B型空载也不可行；C型空载也不可行</x:v>
      </x:c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</x:row>
    <x:row r="804" ht="27" customHeight="1">
      <x:c r="A804" s="2" t="str">
        <x:v>S012</x:v>
      </x:c>
      <x:c r="B804" s="2" t="n">
        <x:v>57</x:v>
      </x:c>
      <x:c r="C804" s="40"/>
      <x:c r="D804" s="40"/>
      <x:c r="E804" s="40"/>
      <x:c r="F804" s="13" t="str">
        <x:v>A型空载也不可行；B型空载也不可行；C型空载也不可行</x:v>
      </x:c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</x:row>
    <x:row r="805" ht="27" customHeight="1">
      <x:c r="A805" s="2" t="str">
        <x:v>S012</x:v>
      </x:c>
      <x:c r="B805" s="2" t="n">
        <x:v>58</x:v>
      </x:c>
      <x:c r="C805" s="40"/>
      <x:c r="D805" s="40"/>
      <x:c r="E805" s="40"/>
      <x:c r="F805" s="13" t="str">
        <x:v>A型空载也不可行；B型空载也不可行；C型空载也不可行</x:v>
      </x:c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</x:row>
    <x:row r="806" ht="27" customHeight="1">
      <x:c r="A806" s="2" t="str">
        <x:v>S012</x:v>
      </x:c>
      <x:c r="B806" s="2" t="n">
        <x:v>59</x:v>
      </x:c>
      <x:c r="C806" s="40"/>
      <x:c r="D806" s="40"/>
      <x:c r="E806" s="40"/>
      <x:c r="F806" s="13" t="str">
        <x:v>A型空载也不可行；B型空载也不可行；C型空载也不可行</x:v>
      </x:c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</x:row>
    <x:row r="807" ht="27" customHeight="1">
      <x:c r="A807" s="2" t="str">
        <x:v>S012</x:v>
      </x:c>
      <x:c r="B807" s="2" t="n">
        <x:v>60</x:v>
      </x:c>
      <x:c r="C807" s="40"/>
      <x:c r="D807" s="40"/>
      <x:c r="E807" s="40"/>
      <x:c r="F807" s="13" t="str">
        <x:v>A型空载也不可行；B型空载也不可行；C型空载也不可行</x:v>
      </x:c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</x:row>
    <x:row r="808" ht="27" customHeight="1">
      <x:c r="A808" s="2" t="str">
        <x:v>S013</x:v>
      </x:c>
      <x:c r="B808" s="2" t="n">
        <x:v>0</x:v>
      </x:c>
      <x:c r="C808" s="40" t="n">
        <x:v>25</x:v>
      </x:c>
      <x:c r="D808" s="40" t="n">
        <x:v>30</x:v>
      </x:c>
      <x:c r="E808" s="40" t="n">
        <x:v>80</x:v>
      </x:c>
      <x:c r="F808" s="13" t="str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</x:row>
    <x:row r="809" ht="27" customHeight="1">
      <x:c r="A809" s="2" t="str">
        <x:v>S013</x:v>
      </x:c>
      <x:c r="B809" s="2" t="n">
        <x:v>1</x:v>
      </x:c>
      <x:c r="C809" s="40" t="n">
        <x:v>25</x:v>
      </x:c>
      <x:c r="D809" s="40" t="n">
        <x:v>30</x:v>
      </x:c>
      <x:c r="E809" s="40" t="n">
        <x:v>80</x:v>
      </x:c>
      <x:c r="F809" s="13" t="str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</x:row>
    <x:row r="810" ht="27" customHeight="1">
      <x:c r="A810" s="2" t="str">
        <x:v>S013</x:v>
      </x:c>
      <x:c r="B810" s="2" t="n">
        <x:v>2</x:v>
      </x:c>
      <x:c r="C810" s="40" t="n">
        <x:v>25</x:v>
      </x:c>
      <x:c r="D810" s="40" t="n">
        <x:v>30</x:v>
      </x:c>
      <x:c r="E810" s="40" t="n">
        <x:v>80</x:v>
      </x:c>
      <x:c r="F810" s="13" t="str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</x:row>
    <x:row r="811" ht="27" customHeight="1">
      <x:c r="A811" s="2" t="str">
        <x:v>S013</x:v>
      </x:c>
      <x:c r="B811" s="2" t="n">
        <x:v>3</x:v>
      </x:c>
      <x:c r="C811" s="40" t="n">
        <x:v>25</x:v>
      </x:c>
      <x:c r="D811" s="40" t="n">
        <x:v>30</x:v>
      </x:c>
      <x:c r="E811" s="40" t="n">
        <x:v>80</x:v>
      </x:c>
      <x:c r="F811" s="13" t="str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</x:row>
    <x:row r="812" ht="27" customHeight="1">
      <x:c r="A812" s="2" t="str">
        <x:v>S013</x:v>
      </x:c>
      <x:c r="B812" s="2" t="n">
        <x:v>4</x:v>
      </x:c>
      <x:c r="C812" s="40" t="n">
        <x:v>25</x:v>
      </x:c>
      <x:c r="D812" s="40" t="n">
        <x:v>30</x:v>
      </x:c>
      <x:c r="E812" s="40" t="n">
        <x:v>80</x:v>
      </x:c>
      <x:c r="F812" s="13" t="str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</x:row>
    <x:row r="813" ht="27" customHeight="1">
      <x:c r="A813" s="2" t="str">
        <x:v>S013</x:v>
      </x:c>
      <x:c r="B813" s="2" t="n">
        <x:v>5</x:v>
      </x:c>
      <x:c r="C813" s="40" t="n">
        <x:v>25</x:v>
      </x:c>
      <x:c r="D813" s="40" t="n">
        <x:v>30</x:v>
      </x:c>
      <x:c r="E813" s="40" t="n">
        <x:v>80</x:v>
      </x:c>
      <x:c r="F813" s="13" t="str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</x:row>
    <x:row r="814" ht="27" customHeight="1">
      <x:c r="A814" s="2" t="str">
        <x:v>S013</x:v>
      </x:c>
      <x:c r="B814" s="2" t="n">
        <x:v>6</x:v>
      </x:c>
      <x:c r="C814" s="40" t="n">
        <x:v>25</x:v>
      </x:c>
      <x:c r="D814" s="40" t="n">
        <x:v>30</x:v>
      </x:c>
      <x:c r="E814" s="40" t="n">
        <x:v>80</x:v>
      </x:c>
      <x:c r="F814" s="13" t="str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</x:row>
    <x:row r="815" ht="27" customHeight="1">
      <x:c r="A815" s="2" t="str">
        <x:v>S013</x:v>
      </x:c>
      <x:c r="B815" s="2" t="n">
        <x:v>7</x:v>
      </x:c>
      <x:c r="C815" s="40" t="n">
        <x:v>25</x:v>
      </x:c>
      <x:c r="D815" s="40" t="n">
        <x:v>30</x:v>
      </x:c>
      <x:c r="E815" s="40" t="n">
        <x:v>80</x:v>
      </x:c>
      <x:c r="F815" s="13" t="str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</x:row>
    <x:row r="816" ht="27" customHeight="1">
      <x:c r="A816" s="2" t="str">
        <x:v>S013</x:v>
      </x:c>
      <x:c r="B816" s="2" t="n">
        <x:v>8</x:v>
      </x:c>
      <x:c r="C816" s="40" t="n">
        <x:v>25</x:v>
      </x:c>
      <x:c r="D816" s="40" t="n">
        <x:v>30</x:v>
      </x:c>
      <x:c r="E816" s="40" t="n">
        <x:v>80</x:v>
      </x:c>
      <x:c r="F816" s="13" t="str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</x:row>
    <x:row r="817" ht="27" customHeight="1">
      <x:c r="A817" s="2" t="str">
        <x:v>S013</x:v>
      </x:c>
      <x:c r="B817" s="2" t="n">
        <x:v>9</x:v>
      </x:c>
      <x:c r="C817" s="40" t="n">
        <x:v>25</x:v>
      </x:c>
      <x:c r="D817" s="40" t="n">
        <x:v>30</x:v>
      </x:c>
      <x:c r="E817" s="40" t="n">
        <x:v>80</x:v>
      </x:c>
      <x:c r="F817" s="13" t="str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</x:row>
    <x:row r="818" ht="27" customHeight="1">
      <x:c r="A818" s="2" t="str">
        <x:v>S013</x:v>
      </x:c>
      <x:c r="B818" s="2" t="n">
        <x:v>10</x:v>
      </x:c>
      <x:c r="C818" s="40" t="n">
        <x:v>25</x:v>
      </x:c>
      <x:c r="D818" s="40" t="n">
        <x:v>30</x:v>
      </x:c>
      <x:c r="E818" s="40" t="n">
        <x:v>80</x:v>
      </x:c>
      <x:c r="F818" s="13" t="str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</x:row>
    <x:row r="819" ht="27" customHeight="1">
      <x:c r="A819" s="2" t="str">
        <x:v>S013</x:v>
      </x:c>
      <x:c r="B819" s="2" t="n">
        <x:v>11</x:v>
      </x:c>
      <x:c r="C819" s="40" t="n">
        <x:v>25</x:v>
      </x:c>
      <x:c r="D819" s="40" t="n">
        <x:v>30</x:v>
      </x:c>
      <x:c r="E819" s="40" t="n">
        <x:v>80</x:v>
      </x:c>
      <x:c r="F819" s="13" t="str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</x:row>
    <x:row r="820" ht="27" customHeight="1">
      <x:c r="A820" s="2" t="str">
        <x:v>S013</x:v>
      </x:c>
      <x:c r="B820" s="2" t="n">
        <x:v>12</x:v>
      </x:c>
      <x:c r="C820" s="40" t="n">
        <x:v>25</x:v>
      </x:c>
      <x:c r="D820" s="40" t="n">
        <x:v>30</x:v>
      </x:c>
      <x:c r="E820" s="40" t="n">
        <x:v>80</x:v>
      </x:c>
      <x:c r="F820" s="13" t="str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</x:row>
    <x:row r="821" ht="27" customHeight="1">
      <x:c r="A821" s="2" t="str">
        <x:v>S013</x:v>
      </x:c>
      <x:c r="B821" s="2" t="n">
        <x:v>13</x:v>
      </x:c>
      <x:c r="C821" s="40" t="n">
        <x:v>25</x:v>
      </x:c>
      <x:c r="D821" s="40" t="n">
        <x:v>30</x:v>
      </x:c>
      <x:c r="E821" s="40" t="n">
        <x:v>80</x:v>
      </x:c>
      <x:c r="F821" s="13" t="str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</x:row>
    <x:row r="822" ht="27" customHeight="1">
      <x:c r="A822" s="2" t="str">
        <x:v>S013</x:v>
      </x:c>
      <x:c r="B822" s="2" t="n">
        <x:v>14</x:v>
      </x:c>
      <x:c r="C822" s="40" t="n">
        <x:v>25</x:v>
      </x:c>
      <x:c r="D822" s="40" t="n">
        <x:v>30</x:v>
      </x:c>
      <x:c r="E822" s="40" t="n">
        <x:v>80</x:v>
      </x:c>
      <x:c r="F822" s="13" t="str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</x:row>
    <x:row r="823" ht="27" customHeight="1">
      <x:c r="A823" s="2" t="str">
        <x:v>S013</x:v>
      </x:c>
      <x:c r="B823" s="2" t="n">
        <x:v>15</x:v>
      </x:c>
      <x:c r="C823" s="40" t="n">
        <x:v>25</x:v>
      </x:c>
      <x:c r="D823" s="40" t="n">
        <x:v>30</x:v>
      </x:c>
      <x:c r="E823" s="40" t="n">
        <x:v>80</x:v>
      </x:c>
      <x:c r="F823" s="13" t="str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</x:row>
    <x:row r="824" ht="27" customHeight="1">
      <x:c r="A824" s="2" t="str">
        <x:v>S013</x:v>
      </x:c>
      <x:c r="B824" s="2" t="n">
        <x:v>16</x:v>
      </x:c>
      <x:c r="C824" s="40" t="n">
        <x:v>25</x:v>
      </x:c>
      <x:c r="D824" s="40" t="n">
        <x:v>30</x:v>
      </x:c>
      <x:c r="E824" s="40" t="n">
        <x:v>80</x:v>
      </x:c>
      <x:c r="F824" s="13" t="str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</x:row>
    <x:row r="825" ht="27" customHeight="1">
      <x:c r="A825" s="2" t="str">
        <x:v>S013</x:v>
      </x:c>
      <x:c r="B825" s="2" t="n">
        <x:v>17</x:v>
      </x:c>
      <x:c r="C825" s="40" t="n">
        <x:v>25</x:v>
      </x:c>
      <x:c r="D825" s="40" t="n">
        <x:v>30</x:v>
      </x:c>
      <x:c r="E825" s="40" t="n">
        <x:v>80</x:v>
      </x:c>
      <x:c r="F825" s="13" t="str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</x:row>
    <x:row r="826" ht="27" customHeight="1">
      <x:c r="A826" s="2" t="str">
        <x:v>S013</x:v>
      </x:c>
      <x:c r="B826" s="2" t="n">
        <x:v>18</x:v>
      </x:c>
      <x:c r="C826" s="40" t="n">
        <x:v>25</x:v>
      </x:c>
      <x:c r="D826" s="40" t="n">
        <x:v>30</x:v>
      </x:c>
      <x:c r="E826" s="40" t="n">
        <x:v>80</x:v>
      </x:c>
      <x:c r="F826" s="13" t="str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</x:row>
    <x:row r="827" ht="27" customHeight="1">
      <x:c r="A827" s="2" t="str">
        <x:v>S013</x:v>
      </x:c>
      <x:c r="B827" s="2" t="n">
        <x:v>19</x:v>
      </x:c>
      <x:c r="C827" s="40" t="n">
        <x:v>25</x:v>
      </x:c>
      <x:c r="D827" s="40" t="n">
        <x:v>30</x:v>
      </x:c>
      <x:c r="E827" s="40" t="n">
        <x:v>80</x:v>
      </x:c>
      <x:c r="F827" s="13" t="str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</x:row>
    <x:row r="828" ht="27" customHeight="1">
      <x:c r="A828" s="2" t="str">
        <x:v>S013</x:v>
      </x:c>
      <x:c r="B828" s="2" t="n">
        <x:v>20</x:v>
      </x:c>
      <x:c r="C828" s="40" t="n">
        <x:v>25</x:v>
      </x:c>
      <x:c r="D828" s="40" t="n">
        <x:v>30</x:v>
      </x:c>
      <x:c r="E828" s="40" t="n">
        <x:v>80</x:v>
      </x:c>
      <x:c r="F828" s="13" t="str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</x:row>
    <x:row r="829" ht="27" customHeight="1">
      <x:c r="A829" s="2" t="str">
        <x:v>S013</x:v>
      </x:c>
      <x:c r="B829" s="2" t="n">
        <x:v>21</x:v>
      </x:c>
      <x:c r="C829" s="40" t="n">
        <x:v>25</x:v>
      </x:c>
      <x:c r="D829" s="40" t="n">
        <x:v>30</x:v>
      </x:c>
      <x:c r="E829" s="40" t="n">
        <x:v>80</x:v>
      </x:c>
      <x:c r="F829" s="13" t="str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</x:row>
    <x:row r="830" ht="27" customHeight="1">
      <x:c r="A830" s="2" t="str">
        <x:v>S013</x:v>
      </x:c>
      <x:c r="B830" s="2" t="n">
        <x:v>22</x:v>
      </x:c>
      <x:c r="C830" s="40" t="n">
        <x:v>25</x:v>
      </x:c>
      <x:c r="D830" s="40" t="n">
        <x:v>30</x:v>
      </x:c>
      <x:c r="E830" s="40" t="n">
        <x:v>80</x:v>
      </x:c>
      <x:c r="F830" s="13" t="str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</x:row>
    <x:row r="831" ht="27" customHeight="1">
      <x:c r="A831" s="2" t="str">
        <x:v>S013</x:v>
      </x:c>
      <x:c r="B831" s="2" t="n">
        <x:v>23</x:v>
      </x:c>
      <x:c r="C831" s="40" t="n">
        <x:v>25</x:v>
      </x:c>
      <x:c r="D831" s="40" t="n">
        <x:v>30</x:v>
      </x:c>
      <x:c r="E831" s="40" t="n">
        <x:v>80</x:v>
      </x:c>
      <x:c r="F831" s="13" t="str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</x:row>
    <x:row r="832" ht="27" customHeight="1">
      <x:c r="A832" s="2" t="str">
        <x:v>S013</x:v>
      </x:c>
      <x:c r="B832" s="2" t="n">
        <x:v>24</x:v>
      </x:c>
      <x:c r="C832" s="40" t="n">
        <x:v>25</x:v>
      </x:c>
      <x:c r="D832" s="40" t="n">
        <x:v>30</x:v>
      </x:c>
      <x:c r="E832" s="40" t="n">
        <x:v>80</x:v>
      </x:c>
      <x:c r="F832" s="13" t="str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</x:row>
    <x:row r="833" ht="27" customHeight="1">
      <x:c r="A833" s="2" t="str">
        <x:v>S013</x:v>
      </x:c>
      <x:c r="B833" s="2" t="n">
        <x:v>25</x:v>
      </x:c>
      <x:c r="C833" s="40" t="n">
        <x:v>25</x:v>
      </x:c>
      <x:c r="D833" s="40" t="n">
        <x:v>30</x:v>
      </x:c>
      <x:c r="E833" s="40" t="n">
        <x:v>80</x:v>
      </x:c>
      <x:c r="F833" s="13" t="str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</x:row>
    <x:row r="834" ht="27" customHeight="1">
      <x:c r="A834" s="2" t="str">
        <x:v>S013</x:v>
      </x:c>
      <x:c r="B834" s="2" t="n">
        <x:v>26</x:v>
      </x:c>
      <x:c r="C834" s="40" t="n">
        <x:v>25</x:v>
      </x:c>
      <x:c r="D834" s="40" t="n">
        <x:v>30</x:v>
      </x:c>
      <x:c r="E834" s="40" t="n">
        <x:v>80</x:v>
      </x:c>
      <x:c r="F834" s="13" t="str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</x:row>
    <x:row r="835" ht="27" customHeight="1">
      <x:c r="A835" s="2" t="str">
        <x:v>S013</x:v>
      </x:c>
      <x:c r="B835" s="2" t="n">
        <x:v>27</x:v>
      </x:c>
      <x:c r="C835" s="40" t="n">
        <x:v>25</x:v>
      </x:c>
      <x:c r="D835" s="40" t="n">
        <x:v>30</x:v>
      </x:c>
      <x:c r="E835" s="40" t="n">
        <x:v>80</x:v>
      </x:c>
      <x:c r="F835" s="13" t="str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</x:row>
    <x:row r="836" ht="27" customHeight="1">
      <x:c r="A836" s="2" t="str">
        <x:v>S013</x:v>
      </x:c>
      <x:c r="B836" s="2" t="n">
        <x:v>28</x:v>
      </x:c>
      <x:c r="C836" s="40" t="n">
        <x:v>25</x:v>
      </x:c>
      <x:c r="D836" s="40" t="n">
        <x:v>30</x:v>
      </x:c>
      <x:c r="E836" s="40" t="n">
        <x:v>80</x:v>
      </x:c>
      <x:c r="F836" s="13" t="str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</x:row>
    <x:row r="837" ht="27" customHeight="1">
      <x:c r="A837" s="2" t="str">
        <x:v>S013</x:v>
      </x:c>
      <x:c r="B837" s="2" t="n">
        <x:v>29</x:v>
      </x:c>
      <x:c r="C837" s="40" t="n">
        <x:v>25</x:v>
      </x:c>
      <x:c r="D837" s="40" t="n">
        <x:v>30</x:v>
      </x:c>
      <x:c r="E837" s="40" t="n">
        <x:v>80</x:v>
      </x:c>
      <x:c r="F837" s="13" t="str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</x:row>
    <x:row r="838" ht="27" customHeight="1">
      <x:c r="A838" s="2" t="str">
        <x:v>S013</x:v>
      </x:c>
      <x:c r="B838" s="2" t="n">
        <x:v>30</x:v>
      </x:c>
      <x:c r="C838" s="40" t="n">
        <x:v>25</x:v>
      </x:c>
      <x:c r="D838" s="40" t="n">
        <x:v>30</x:v>
      </x:c>
      <x:c r="E838" s="40" t="n">
        <x:v>80</x:v>
      </x:c>
      <x:c r="F838" s="13" t="str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</x:row>
    <x:row r="839" ht="27" customHeight="1">
      <x:c r="A839" s="2" t="str">
        <x:v>S013</x:v>
      </x:c>
      <x:c r="B839" s="2" t="n">
        <x:v>31</x:v>
      </x:c>
      <x:c r="C839" s="40" t="n">
        <x:v>25</x:v>
      </x:c>
      <x:c r="D839" s="40" t="n">
        <x:v>30</x:v>
      </x:c>
      <x:c r="E839" s="40" t="n">
        <x:v>80</x:v>
      </x:c>
      <x:c r="F839" s="13" t="str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</x:row>
    <x:row r="840" ht="27" customHeight="1">
      <x:c r="A840" s="2" t="str">
        <x:v>S013</x:v>
      </x:c>
      <x:c r="B840" s="2" t="n">
        <x:v>32</x:v>
      </x:c>
      <x:c r="C840" s="40" t="n">
        <x:v>25</x:v>
      </x:c>
      <x:c r="D840" s="40" t="n">
        <x:v>30</x:v>
      </x:c>
      <x:c r="E840" s="40" t="n">
        <x:v>80</x:v>
      </x:c>
      <x:c r="F840" s="13" t="str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</x:row>
    <x:row r="841" ht="27" customHeight="1">
      <x:c r="A841" s="2" t="str">
        <x:v>S013</x:v>
      </x:c>
      <x:c r="B841" s="2" t="n">
        <x:v>33</x:v>
      </x:c>
      <x:c r="C841" s="40" t="n">
        <x:v>25</x:v>
      </x:c>
      <x:c r="D841" s="40" t="n">
        <x:v>30</x:v>
      </x:c>
      <x:c r="E841" s="40" t="n">
        <x:v>80</x:v>
      </x:c>
      <x:c r="F841" s="13" t="str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</x:row>
    <x:row r="842" ht="27" customHeight="1">
      <x:c r="A842" s="2" t="str">
        <x:v>S013</x:v>
      </x:c>
      <x:c r="B842" s="2" t="n">
        <x:v>34</x:v>
      </x:c>
      <x:c r="C842" s="40" t="n">
        <x:v>25</x:v>
      </x:c>
      <x:c r="D842" s="40" t="n">
        <x:v>30</x:v>
      </x:c>
      <x:c r="E842" s="40" t="n">
        <x:v>80</x:v>
      </x:c>
      <x:c r="F842" s="13" t="str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</x:row>
    <x:row r="843" ht="27" customHeight="1">
      <x:c r="A843" s="2" t="str">
        <x:v>S013</x:v>
      </x:c>
      <x:c r="B843" s="2" t="n">
        <x:v>35</x:v>
      </x:c>
      <x:c r="C843" s="40" t="n">
        <x:v>25</x:v>
      </x:c>
      <x:c r="D843" s="40" t="n">
        <x:v>30</x:v>
      </x:c>
      <x:c r="E843" s="40" t="n">
        <x:v>80</x:v>
      </x:c>
      <x:c r="F843" s="13" t="str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</x:row>
    <x:row r="844" ht="27" customHeight="1">
      <x:c r="A844" s="2" t="str">
        <x:v>S013</x:v>
      </x:c>
      <x:c r="B844" s="2" t="n">
        <x:v>36</x:v>
      </x:c>
      <x:c r="C844" s="40" t="n">
        <x:v>25</x:v>
      </x:c>
      <x:c r="D844" s="40" t="n">
        <x:v>30</x:v>
      </x:c>
      <x:c r="E844" s="40" t="n">
        <x:v>80</x:v>
      </x:c>
      <x:c r="F844" s="13" t="str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</x:row>
    <x:row r="845" ht="27" customHeight="1">
      <x:c r="A845" s="2" t="str">
        <x:v>S013</x:v>
      </x:c>
      <x:c r="B845" s="2" t="n">
        <x:v>37</x:v>
      </x:c>
      <x:c r="C845" s="40" t="n">
        <x:v>25</x:v>
      </x:c>
      <x:c r="D845" s="40" t="n">
        <x:v>30</x:v>
      </x:c>
      <x:c r="E845" s="40" t="n">
        <x:v>80</x:v>
      </x:c>
      <x:c r="F845" s="13" t="str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</x:row>
    <x:row r="846" ht="27" customHeight="1">
      <x:c r="A846" s="2" t="str">
        <x:v>S013</x:v>
      </x:c>
      <x:c r="B846" s="2" t="n">
        <x:v>38</x:v>
      </x:c>
      <x:c r="C846" s="40" t="n">
        <x:v>25</x:v>
      </x:c>
      <x:c r="D846" s="40" t="n">
        <x:v>30</x:v>
      </x:c>
      <x:c r="E846" s="40" t="n">
        <x:v>80</x:v>
      </x:c>
      <x:c r="F846" s="13" t="str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</x:row>
    <x:row r="847" ht="27" customHeight="1">
      <x:c r="A847" s="2" t="str">
        <x:v>S013</x:v>
      </x:c>
      <x:c r="B847" s="2" t="n">
        <x:v>39</x:v>
      </x:c>
      <x:c r="C847" s="40" t="n">
        <x:v>25</x:v>
      </x:c>
      <x:c r="D847" s="40" t="n">
        <x:v>30</x:v>
      </x:c>
      <x:c r="E847" s="40" t="n">
        <x:v>79.83607769012451</x:v>
      </x:c>
      <x:c r="F847" s="13" t="str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</x:row>
    <x:row r="848" ht="27" customHeight="1">
      <x:c r="A848" s="2" t="str">
        <x:v>S013</x:v>
      </x:c>
      <x:c r="B848" s="2" t="n">
        <x:v>40</x:v>
      </x:c>
      <x:c r="C848" s="40" t="n">
        <x:v>25</x:v>
      </x:c>
      <x:c r="D848" s="40" t="n">
        <x:v>30</x:v>
      </x:c>
      <x:c r="E848" s="40" t="n">
        <x:v>78.68015766143799</x:v>
      </x:c>
      <x:c r="F848" s="13" t="str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</x:row>
    <x:row r="849" ht="27" customHeight="1">
      <x:c r="A849" s="2" t="str">
        <x:v>S013</x:v>
      </x:c>
      <x:c r="B849" s="2" t="n">
        <x:v>41</x:v>
      </x:c>
      <x:c r="C849" s="40" t="n">
        <x:v>25</x:v>
      </x:c>
      <x:c r="D849" s="40" t="n">
        <x:v>30</x:v>
      </x:c>
      <x:c r="E849" s="40" t="n">
        <x:v>77.45664894580841</x:v>
      </x:c>
      <x:c r="F849" s="13" t="str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</x:row>
    <x:row r="850" ht="27" customHeight="1">
      <x:c r="A850" s="2" t="str">
        <x:v>S013</x:v>
      </x:c>
      <x:c r="B850" s="2" t="n">
        <x:v>42</x:v>
      </x:c>
      <x:c r="C850" s="40" t="n">
        <x:v>25</x:v>
      </x:c>
      <x:c r="D850" s="40" t="n">
        <x:v>30</x:v>
      </x:c>
      <x:c r="E850" s="40" t="n">
        <x:v>76.15935027599335</x:v>
      </x:c>
      <x:c r="F850" s="13" t="str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</x:row>
    <x:row r="851" ht="27" customHeight="1">
      <x:c r="A851" s="2" t="str">
        <x:v>S013</x:v>
      </x:c>
      <x:c r="B851" s="2" t="n">
        <x:v>43</x:v>
      </x:c>
      <x:c r="C851" s="40" t="n">
        <x:v>25</x:v>
      </x:c>
      <x:c r="D851" s="40" t="n">
        <x:v>30</x:v>
      </x:c>
      <x:c r="E851" s="40" t="n">
        <x:v>74.7812557220459</x:v>
      </x:c>
      <x:c r="F851" s="13" t="str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</x:row>
    <x:row r="852" ht="27" customHeight="1">
      <x:c r="A852" s="2" t="str">
        <x:v>S013</x:v>
      </x:c>
      <x:c r="B852" s="2" t="n">
        <x:v>44</x:v>
      </x:c>
      <x:c r="C852" s="40" t="n">
        <x:v>25</x:v>
      </x:c>
      <x:c r="D852" s="40" t="n">
        <x:v>30</x:v>
      </x:c>
      <x:c r="E852" s="40" t="n">
        <x:v>73.31441819667816</x:v>
      </x:c>
      <x:c r="F852" s="13" t="str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</x:row>
    <x:row r="853" ht="27" customHeight="1">
      <x:c r="A853" s="2" t="str">
        <x:v>S013</x:v>
      </x:c>
      <x:c r="B853" s="2" t="n">
        <x:v>45</x:v>
      </x:c>
      <x:c r="C853" s="40" t="n">
        <x:v>25</x:v>
      </x:c>
      <x:c r="D853" s="40" t="n">
        <x:v>30</x:v>
      </x:c>
      <x:c r="E853" s="40" t="n">
        <x:v>71.74977898597717</x:v>
      </x:c>
      <x:c r="F853" s="13" t="str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</x:row>
    <x:row r="854" ht="27" customHeight="1">
      <x:c r="A854" s="2" t="str">
        <x:v>S013</x:v>
      </x:c>
      <x:c r="B854" s="2" t="n">
        <x:v>46</x:v>
      </x:c>
      <x:c r="C854" s="40" t="n">
        <x:v>25</x:v>
      </x:c>
      <x:c r="D854" s="40" t="n">
        <x:v>30</x:v>
      </x:c>
      <x:c r="E854" s="40" t="n">
        <x:v>70.07695257663727</x:v>
      </x:c>
      <x:c r="F854" s="13" t="str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</x:row>
    <x:row r="855" ht="27" customHeight="1">
      <x:c r="A855" s="2" t="str">
        <x:v>S013</x:v>
      </x:c>
      <x:c r="B855" s="2" t="n">
        <x:v>47</x:v>
      </x:c>
      <x:c r="C855" s="40" t="n">
        <x:v>25</x:v>
      </x:c>
      <x:c r="D855" s="40" t="n">
        <x:v>30</x:v>
      </x:c>
      <x:c r="E855" s="40" t="n">
        <x:v>68.28396677970886</x:v>
      </x:c>
      <x:c r="F855" s="13" t="str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</x:row>
    <x:row r="856" ht="27" customHeight="1">
      <x:c r="A856" s="2" t="str">
        <x:v>S013</x:v>
      </x:c>
      <x:c r="B856" s="2" t="n">
        <x:v>48</x:v>
      </x:c>
      <x:c r="C856" s="40" t="n">
        <x:v>25</x:v>
      </x:c>
      <x:c r="D856" s="40" t="n">
        <x:v>30</x:v>
      </x:c>
      <x:c r="E856" s="40" t="n">
        <x:v>66.35692238807678</x:v>
      </x:c>
      <x:c r="F856" s="13" t="str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</x:row>
    <x:row r="857" ht="27" customHeight="1">
      <x:c r="A857" s="2" t="str">
        <x:v>S013</x:v>
      </x:c>
      <x:c r="B857" s="2" t="n">
        <x:v>49</x:v>
      </x:c>
      <x:c r="C857" s="40" t="n">
        <x:v>25</x:v>
      </x:c>
      <x:c r="D857" s="40" t="n">
        <x:v>30</x:v>
      </x:c>
      <x:c r="E857" s="40" t="n">
        <x:v>64.27956223487854</x:v>
      </x:c>
      <x:c r="F857" s="13" t="str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</x:row>
    <x:row r="858" ht="27" customHeight="1">
      <x:c r="A858" s="2" t="str">
        <x:v>S013</x:v>
      </x:c>
      <x:c r="B858" s="2" t="n">
        <x:v>50</x:v>
      </x:c>
      <x:c r="C858" s="40" t="n">
        <x:v>25</x:v>
      </x:c>
      <x:c r="D858" s="40" t="n">
        <x:v>29.685247242450714</x:v>
      </x:c>
      <x:c r="E858" s="40" t="n">
        <x:v>62.03270614147186</x:v>
      </x:c>
      <x:c r="F858" s="13" t="str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</x:row>
    <x:row r="859" ht="27" customHeight="1">
      <x:c r="A859" s="2" t="str">
        <x:v>S013</x:v>
      </x:c>
      <x:c r="B859" s="2" t="n">
        <x:v>51</x:v>
      </x:c>
      <x:c r="C859" s="40" t="n">
        <x:v>25</x:v>
      </x:c>
      <x:c r="D859" s="40" t="n">
        <x:v>28.76428931951523</x:v>
      </x:c>
      <x:c r="E859" s="40" t="n">
        <x:v>59.59349036216736</x:v>
      </x:c>
      <x:c r="F859" s="13" t="str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</x:row>
    <x:row r="860" ht="27" customHeight="1">
      <x:c r="A860" s="2" t="str">
        <x:v>S013</x:v>
      </x:c>
      <x:c r="B860" s="2" t="n">
        <x:v>52</x:v>
      </x:c>
      <x:c r="C860" s="40" t="n">
        <x:v>25</x:v>
      </x:c>
      <x:c r="D860" s="40" t="n">
        <x:v>27.7646604180336</x:v>
      </x:c>
      <x:c r="E860" s="40" t="n">
        <x:v>56.93434000015259</x:v>
      </x:c>
      <x:c r="F860" s="13" t="str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</x:row>
    <x:row r="861" ht="27" customHeight="1">
      <x:c r="A861" s="2" t="str">
        <x:v>S013</x:v>
      </x:c>
      <x:c r="B861" s="2" t="n">
        <x:v>53</x:v>
      </x:c>
      <x:c r="C861" s="40" t="n">
        <x:v>25</x:v>
      </x:c>
      <x:c r="D861" s="40" t="n">
        <x:v>26.675274074077606</x:v>
      </x:c>
      <x:c r="E861" s="40" t="n">
        <x:v>54.021506905555725</x:v>
      </x:c>
      <x:c r="F861" s="13" t="str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</x:row>
    <x:row r="862" ht="27" customHeight="1">
      <x:c r="A862" s="2" t="str">
        <x:v>S013</x:v>
      </x:c>
      <x:c r="B862" s="2" t="n">
        <x:v>54</x:v>
      </x:c>
      <x:c r="C862" s="40" t="n">
        <x:v>24.756282567977905</x:v>
      </x:c>
      <x:c r="D862" s="40" t="n">
        <x:v>25.482669174671173</x:v>
      </x:c>
      <x:c r="E862" s="40" t="n">
        <x:v>50.81295728683472</x:v>
      </x:c>
      <x:c r="F862" s="13" t="str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</x:row>
    <x:row r="863" ht="27" customHeight="1">
      <x:c r="A863" s="2" t="str">
        <x:v>S013</x:v>
      </x:c>
      <x:c r="B863" s="2" t="n">
        <x:v>55</x:v>
      </x:c>
      <x:c r="C863" s="40" t="n">
        <x:v>21.96522206068039</x:v>
      </x:c>
      <x:c r="D863" s="40" t="n">
        <x:v>24.17025089263916</x:v>
      </x:c>
      <x:c r="E863" s="40" t="n">
        <x:v>47.25514113903046</x:v>
      </x:c>
      <x:c r="F863" s="13" t="str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</x:row>
    <x:row r="864" ht="27" customHeight="1">
      <x:c r="A864" s="2" t="str">
        <x:v>S013</x:v>
      </x:c>
      <x:c r="B864" s="2" t="n">
        <x:v>56</x:v>
      </x:c>
      <x:c r="C864" s="40" t="n">
        <x:v>18.75835657119751</x:v>
      </x:c>
      <x:c r="D864" s="40" t="n">
        <x:v>22.717178463935852</x:v>
      </x:c>
      <x:c r="E864" s="40" t="n">
        <x:v>43.27780485153198</x:v>
      </x:c>
      <x:c r="F864" s="13" t="str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</x:row>
    <x:row r="865" ht="27" customHeight="1">
      <x:c r="A865" s="2" t="str">
        <x:v>S013</x:v>
      </x:c>
      <x:c r="B865" s="2" t="n">
        <x:v>57</x:v>
      </x:c>
      <x:c r="C865" s="40" t="n">
        <x:v>14.98452052474022</x:v>
      </x:c>
      <x:c r="D865" s="40" t="n">
        <x:v>21.096653938293457</x:v>
      </x:c>
      <x:c r="E865" s="40" t="n">
        <x:v>38.78500521183014</x:v>
      </x:c>
      <x:c r="F865" s="13" t="str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</x:row>
    <x:row r="866" ht="27" customHeight="1">
      <x:c r="A866" s="2" t="str">
        <x:v>S013</x:v>
      </x:c>
      <x:c r="B866" s="2" t="n">
        <x:v>58</x:v>
      </x:c>
      <x:c r="C866" s="40" t="n">
        <x:v>10.342875868082047</x:v>
      </x:c>
      <x:c r="D866" s="40" t="n">
        <x:v>19.273130893707275</x:v>
      </x:c>
      <x:c r="E866" s="40" t="n">
        <x:v>33.637940883636475</x:v>
      </x:c>
      <x:c r="F866" s="13" t="str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</x:row>
    <x:row r="867" ht="27" customHeight="1">
      <x:c r="A867" s="2" t="str">
        <x:v>S013</x:v>
      </x:c>
      <x:c r="B867" s="2" t="n">
        <x:v>59</x:v>
      </x:c>
      <x:c r="C867" s="40" t="n">
        <x:v>3.861076384782791</x:v>
      </x:c>
      <x:c r="D867" s="40" t="n">
        <x:v>17.1973916888237</x:v>
      </x:c>
      <x:c r="E867" s="40" t="n">
        <x:v>27.61709690093994</x:v>
      </x:c>
      <x:c r="F867" s="13" t="str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</x:row>
    <x:row r="868" ht="27" customHeight="1">
      <x:c r="A868" s="2" t="str">
        <x:v>S013</x:v>
      </x:c>
      <x:c r="B868" s="2" t="n">
        <x:v>60</x:v>
      </x:c>
      <x:c r="C868" s="40"/>
      <x:c r="D868" s="40" t="n">
        <x:v>14.796892404556274</x:v>
      </x:c>
      <x:c r="E868" s="40" t="n">
        <x:v>20.3175288438797</x:v>
      </x:c>
      <x:c r="F868" s="13" t="str">
        <x:v>A型空载也不可行</x:v>
      </x:c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</x:row>
    <x:row r="869" ht="27" customHeight="1">
      <x:c r="A869" s="2" t="str">
        <x:v>S014</x:v>
      </x:c>
      <x:c r="B869" s="2" t="n">
        <x:v>0</x:v>
      </x:c>
      <x:c r="C869" s="40" t="n">
        <x:v>25</x:v>
      </x:c>
      <x:c r="D869" s="40" t="n">
        <x:v>30</x:v>
      </x:c>
      <x:c r="E869" s="40" t="n">
        <x:v>80</x:v>
      </x:c>
      <x:c r="F869" s="13" t="str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</x:row>
    <x:row r="870" ht="27" customHeight="1">
      <x:c r="A870" s="2" t="str">
        <x:v>S014</x:v>
      </x:c>
      <x:c r="B870" s="2" t="n">
        <x:v>1</x:v>
      </x:c>
      <x:c r="C870" s="40" t="n">
        <x:v>25</x:v>
      </x:c>
      <x:c r="D870" s="40" t="n">
        <x:v>30</x:v>
      </x:c>
      <x:c r="E870" s="40" t="n">
        <x:v>80</x:v>
      </x:c>
      <x:c r="F870" s="13" t="str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</x:row>
    <x:row r="871" ht="27" customHeight="1">
      <x:c r="A871" s="2" t="str">
        <x:v>S014</x:v>
      </x:c>
      <x:c r="B871" s="2" t="n">
        <x:v>2</x:v>
      </x:c>
      <x:c r="C871" s="40" t="n">
        <x:v>25</x:v>
      </x:c>
      <x:c r="D871" s="40" t="n">
        <x:v>30</x:v>
      </x:c>
      <x:c r="E871" s="40" t="n">
        <x:v>80</x:v>
      </x:c>
      <x:c r="F871" s="13" t="str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</x:row>
    <x:row r="872" ht="27" customHeight="1">
      <x:c r="A872" s="2" t="str">
        <x:v>S014</x:v>
      </x:c>
      <x:c r="B872" s="2" t="n">
        <x:v>3</x:v>
      </x:c>
      <x:c r="C872" s="40" t="n">
        <x:v>25</x:v>
      </x:c>
      <x:c r="D872" s="40" t="n">
        <x:v>30</x:v>
      </x:c>
      <x:c r="E872" s="40" t="n">
        <x:v>80</x:v>
      </x:c>
      <x:c r="F872" s="13" t="str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</x:row>
    <x:row r="873" ht="27" customHeight="1">
      <x:c r="A873" s="2" t="str">
        <x:v>S014</x:v>
      </x:c>
      <x:c r="B873" s="2" t="n">
        <x:v>4</x:v>
      </x:c>
      <x:c r="C873" s="40" t="n">
        <x:v>25</x:v>
      </x:c>
      <x:c r="D873" s="40" t="n">
        <x:v>30</x:v>
      </x:c>
      <x:c r="E873" s="40" t="n">
        <x:v>80</x:v>
      </x:c>
      <x:c r="F873" s="13" t="str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</x:row>
    <x:row r="874" ht="27" customHeight="1">
      <x:c r="A874" s="2" t="str">
        <x:v>S014</x:v>
      </x:c>
      <x:c r="B874" s="2" t="n">
        <x:v>5</x:v>
      </x:c>
      <x:c r="C874" s="40" t="n">
        <x:v>25</x:v>
      </x:c>
      <x:c r="D874" s="40" t="n">
        <x:v>30</x:v>
      </x:c>
      <x:c r="E874" s="40" t="n">
        <x:v>80</x:v>
      </x:c>
      <x:c r="F874" s="13" t="str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</x:row>
    <x:row r="875" ht="27" customHeight="1">
      <x:c r="A875" s="2" t="str">
        <x:v>S014</x:v>
      </x:c>
      <x:c r="B875" s="2" t="n">
        <x:v>6</x:v>
      </x:c>
      <x:c r="C875" s="40" t="n">
        <x:v>25</x:v>
      </x:c>
      <x:c r="D875" s="40" t="n">
        <x:v>30</x:v>
      </x:c>
      <x:c r="E875" s="40" t="n">
        <x:v>80</x:v>
      </x:c>
      <x:c r="F875" s="13" t="str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</x:row>
    <x:row r="876" ht="27" customHeight="1">
      <x:c r="A876" s="2" t="str">
        <x:v>S014</x:v>
      </x:c>
      <x:c r="B876" s="2" t="n">
        <x:v>7</x:v>
      </x:c>
      <x:c r="C876" s="40" t="n">
        <x:v>25</x:v>
      </x:c>
      <x:c r="D876" s="40" t="n">
        <x:v>30</x:v>
      </x:c>
      <x:c r="E876" s="40" t="n">
        <x:v>80</x:v>
      </x:c>
      <x:c r="F876" s="13" t="str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</x:row>
    <x:row r="877" ht="27" customHeight="1">
      <x:c r="A877" s="2" t="str">
        <x:v>S014</x:v>
      </x:c>
      <x:c r="B877" s="2" t="n">
        <x:v>8</x:v>
      </x:c>
      <x:c r="C877" s="40" t="n">
        <x:v>25</x:v>
      </x:c>
      <x:c r="D877" s="40" t="n">
        <x:v>30</x:v>
      </x:c>
      <x:c r="E877" s="40" t="n">
        <x:v>80</x:v>
      </x:c>
      <x:c r="F877" s="13" t="str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</x:row>
    <x:row r="878" ht="27" customHeight="1">
      <x:c r="A878" s="2" t="str">
        <x:v>S014</x:v>
      </x:c>
      <x:c r="B878" s="2" t="n">
        <x:v>9</x:v>
      </x:c>
      <x:c r="C878" s="40" t="n">
        <x:v>25</x:v>
      </x:c>
      <x:c r="D878" s="40" t="n">
        <x:v>30</x:v>
      </x:c>
      <x:c r="E878" s="40" t="n">
        <x:v>80</x:v>
      </x:c>
      <x:c r="F878" s="13" t="str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</x:row>
    <x:row r="879" ht="27" customHeight="1">
      <x:c r="A879" s="2" t="str">
        <x:v>S014</x:v>
      </x:c>
      <x:c r="B879" s="2" t="n">
        <x:v>10</x:v>
      </x:c>
      <x:c r="C879" s="40" t="n">
        <x:v>25</x:v>
      </x:c>
      <x:c r="D879" s="40" t="n">
        <x:v>30</x:v>
      </x:c>
      <x:c r="E879" s="40" t="n">
        <x:v>80</x:v>
      </x:c>
      <x:c r="F879" s="13" t="str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</x:row>
    <x:row r="880" ht="27" customHeight="1">
      <x:c r="A880" s="2" t="str">
        <x:v>S014</x:v>
      </x:c>
      <x:c r="B880" s="2" t="n">
        <x:v>11</x:v>
      </x:c>
      <x:c r="C880" s="40" t="n">
        <x:v>25</x:v>
      </x:c>
      <x:c r="D880" s="40" t="n">
        <x:v>30</x:v>
      </x:c>
      <x:c r="E880" s="40" t="n">
        <x:v>80</x:v>
      </x:c>
      <x:c r="F880" s="13" t="str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</x:row>
    <x:row r="881" ht="27" customHeight="1">
      <x:c r="A881" s="2" t="str">
        <x:v>S014</x:v>
      </x:c>
      <x:c r="B881" s="2" t="n">
        <x:v>12</x:v>
      </x:c>
      <x:c r="C881" s="40" t="n">
        <x:v>25</x:v>
      </x:c>
      <x:c r="D881" s="40" t="n">
        <x:v>30</x:v>
      </x:c>
      <x:c r="E881" s="40" t="n">
        <x:v>80</x:v>
      </x:c>
      <x:c r="F881" s="13" t="str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</x:row>
    <x:row r="882" ht="27" customHeight="1">
      <x:c r="A882" s="2" t="str">
        <x:v>S014</x:v>
      </x:c>
      <x:c r="B882" s="2" t="n">
        <x:v>13</x:v>
      </x:c>
      <x:c r="C882" s="40" t="n">
        <x:v>25</x:v>
      </x:c>
      <x:c r="D882" s="40" t="n">
        <x:v>30</x:v>
      </x:c>
      <x:c r="E882" s="40" t="n">
        <x:v>80</x:v>
      </x:c>
      <x:c r="F882" s="13" t="str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</x:row>
    <x:row r="883" ht="27" customHeight="1">
      <x:c r="A883" s="2" t="str">
        <x:v>S014</x:v>
      </x:c>
      <x:c r="B883" s="2" t="n">
        <x:v>14</x:v>
      </x:c>
      <x:c r="C883" s="40" t="n">
        <x:v>25</x:v>
      </x:c>
      <x:c r="D883" s="40" t="n">
        <x:v>30</x:v>
      </x:c>
      <x:c r="E883" s="40" t="n">
        <x:v>80</x:v>
      </x:c>
      <x:c r="F883" s="13" t="str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</x:row>
    <x:row r="884" ht="27" customHeight="1">
      <x:c r="A884" s="2" t="str">
        <x:v>S014</x:v>
      </x:c>
      <x:c r="B884" s="2" t="n">
        <x:v>15</x:v>
      </x:c>
      <x:c r="C884" s="40" t="n">
        <x:v>25</x:v>
      </x:c>
      <x:c r="D884" s="40" t="n">
        <x:v>30</x:v>
      </x:c>
      <x:c r="E884" s="40" t="n">
        <x:v>80</x:v>
      </x:c>
      <x:c r="F884" s="13" t="str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</x:row>
    <x:row r="885" ht="27" customHeight="1">
      <x:c r="A885" s="2" t="str">
        <x:v>S014</x:v>
      </x:c>
      <x:c r="B885" s="2" t="n">
        <x:v>16</x:v>
      </x:c>
      <x:c r="C885" s="40" t="n">
        <x:v>25</x:v>
      </x:c>
      <x:c r="D885" s="40" t="n">
        <x:v>30</x:v>
      </x:c>
      <x:c r="E885" s="40" t="n">
        <x:v>80</x:v>
      </x:c>
      <x:c r="F885" s="13" t="str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</x:row>
    <x:row r="886" ht="27" customHeight="1">
      <x:c r="A886" s="2" t="str">
        <x:v>S014</x:v>
      </x:c>
      <x:c r="B886" s="2" t="n">
        <x:v>17</x:v>
      </x:c>
      <x:c r="C886" s="40" t="n">
        <x:v>25</x:v>
      </x:c>
      <x:c r="D886" s="40" t="n">
        <x:v>30</x:v>
      </x:c>
      <x:c r="E886" s="40" t="n">
        <x:v>80</x:v>
      </x:c>
      <x:c r="F886" s="13" t="str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</x:row>
    <x:row r="887" ht="27" customHeight="1">
      <x:c r="A887" s="2" t="str">
        <x:v>S014</x:v>
      </x:c>
      <x:c r="B887" s="2" t="n">
        <x:v>18</x:v>
      </x:c>
      <x:c r="C887" s="40" t="n">
        <x:v>25</x:v>
      </x:c>
      <x:c r="D887" s="40" t="n">
        <x:v>30</x:v>
      </x:c>
      <x:c r="E887" s="40" t="n">
        <x:v>80</x:v>
      </x:c>
      <x:c r="F887" s="13" t="str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</x:row>
    <x:row r="888" ht="27" customHeight="1">
      <x:c r="A888" s="2" t="str">
        <x:v>S014</x:v>
      </x:c>
      <x:c r="B888" s="2" t="n">
        <x:v>19</x:v>
      </x:c>
      <x:c r="C888" s="40" t="n">
        <x:v>25</x:v>
      </x:c>
      <x:c r="D888" s="40" t="n">
        <x:v>30</x:v>
      </x:c>
      <x:c r="E888" s="40" t="n">
        <x:v>80</x:v>
      </x:c>
      <x:c r="F888" s="13" t="str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</x:row>
    <x:row r="889" ht="27" customHeight="1">
      <x:c r="A889" s="2" t="str">
        <x:v>S014</x:v>
      </x:c>
      <x:c r="B889" s="2" t="n">
        <x:v>20</x:v>
      </x:c>
      <x:c r="C889" s="40" t="n">
        <x:v>25</x:v>
      </x:c>
      <x:c r="D889" s="40" t="n">
        <x:v>30</x:v>
      </x:c>
      <x:c r="E889" s="40" t="n">
        <x:v>80</x:v>
      </x:c>
      <x:c r="F889" s="13" t="str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</x:row>
    <x:row r="890" ht="27" customHeight="1">
      <x:c r="A890" s="2" t="str">
        <x:v>S014</x:v>
      </x:c>
      <x:c r="B890" s="2" t="n">
        <x:v>21</x:v>
      </x:c>
      <x:c r="C890" s="40" t="n">
        <x:v>25</x:v>
      </x:c>
      <x:c r="D890" s="40" t="n">
        <x:v>30</x:v>
      </x:c>
      <x:c r="E890" s="40" t="n">
        <x:v>80</x:v>
      </x:c>
      <x:c r="F890" s="13" t="str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</x:row>
    <x:row r="891" ht="27" customHeight="1">
      <x:c r="A891" s="2" t="str">
        <x:v>S014</x:v>
      </x:c>
      <x:c r="B891" s="2" t="n">
        <x:v>22</x:v>
      </x:c>
      <x:c r="C891" s="40" t="n">
        <x:v>25</x:v>
      </x:c>
      <x:c r="D891" s="40" t="n">
        <x:v>30</x:v>
      </x:c>
      <x:c r="E891" s="40" t="n">
        <x:v>80</x:v>
      </x:c>
      <x:c r="F891" s="13" t="str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</x:row>
    <x:row r="892" ht="27" customHeight="1">
      <x:c r="A892" s="2" t="str">
        <x:v>S014</x:v>
      </x:c>
      <x:c r="B892" s="2" t="n">
        <x:v>23</x:v>
      </x:c>
      <x:c r="C892" s="40" t="n">
        <x:v>25</x:v>
      </x:c>
      <x:c r="D892" s="40" t="n">
        <x:v>30</x:v>
      </x:c>
      <x:c r="E892" s="40" t="n">
        <x:v>80</x:v>
      </x:c>
      <x:c r="F892" s="13" t="str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</x:row>
    <x:row r="893" ht="27" customHeight="1">
      <x:c r="A893" s="2" t="str">
        <x:v>S014</x:v>
      </x:c>
      <x:c r="B893" s="2" t="n">
        <x:v>24</x:v>
      </x:c>
      <x:c r="C893" s="40" t="n">
        <x:v>25</x:v>
      </x:c>
      <x:c r="D893" s="40" t="n">
        <x:v>30</x:v>
      </x:c>
      <x:c r="E893" s="40" t="n">
        <x:v>80</x:v>
      </x:c>
      <x:c r="F893" s="13" t="str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</x:row>
    <x:row r="894" ht="27" customHeight="1">
      <x:c r="A894" s="2" t="str">
        <x:v>S014</x:v>
      </x:c>
      <x:c r="B894" s="2" t="n">
        <x:v>25</x:v>
      </x:c>
      <x:c r="C894" s="40" t="n">
        <x:v>25</x:v>
      </x:c>
      <x:c r="D894" s="40" t="n">
        <x:v>30</x:v>
      </x:c>
      <x:c r="E894" s="40" t="n">
        <x:v>80</x:v>
      </x:c>
      <x:c r="F894" s="13" t="str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</x:row>
    <x:row r="895" ht="27" customHeight="1">
      <x:c r="A895" s="2" t="str">
        <x:v>S014</x:v>
      </x:c>
      <x:c r="B895" s="2" t="n">
        <x:v>26</x:v>
      </x:c>
      <x:c r="C895" s="40" t="n">
        <x:v>25</x:v>
      </x:c>
      <x:c r="D895" s="40" t="n">
        <x:v>30</x:v>
      </x:c>
      <x:c r="E895" s="40" t="n">
        <x:v>80</x:v>
      </x:c>
      <x:c r="F895" s="13" t="str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</x:row>
    <x:row r="896" ht="27" customHeight="1">
      <x:c r="A896" s="2" t="str">
        <x:v>S014</x:v>
      </x:c>
      <x:c r="B896" s="2" t="n">
        <x:v>27</x:v>
      </x:c>
      <x:c r="C896" s="40" t="n">
        <x:v>25</x:v>
      </x:c>
      <x:c r="D896" s="40" t="n">
        <x:v>30</x:v>
      </x:c>
      <x:c r="E896" s="40" t="n">
        <x:v>80</x:v>
      </x:c>
      <x:c r="F896" s="13" t="str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</x:row>
    <x:row r="897" ht="27" customHeight="1">
      <x:c r="A897" s="2" t="str">
        <x:v>S014</x:v>
      </x:c>
      <x:c r="B897" s="2" t="n">
        <x:v>28</x:v>
      </x:c>
      <x:c r="C897" s="40" t="n">
        <x:v>25</x:v>
      </x:c>
      <x:c r="D897" s="40" t="n">
        <x:v>30</x:v>
      </x:c>
      <x:c r="E897" s="40" t="n">
        <x:v>80</x:v>
      </x:c>
      <x:c r="F897" s="13" t="str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</x:row>
    <x:row r="898" ht="27" customHeight="1">
      <x:c r="A898" s="2" t="str">
        <x:v>S014</x:v>
      </x:c>
      <x:c r="B898" s="2" t="n">
        <x:v>29</x:v>
      </x:c>
      <x:c r="C898" s="40" t="n">
        <x:v>25</x:v>
      </x:c>
      <x:c r="D898" s="40" t="n">
        <x:v>30</x:v>
      </x:c>
      <x:c r="E898" s="40" t="n">
        <x:v>80</x:v>
      </x:c>
      <x:c r="F898" s="13" t="str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</x:row>
    <x:row r="899" ht="27" customHeight="1">
      <x:c r="A899" s="2" t="str">
        <x:v>S014</x:v>
      </x:c>
      <x:c r="B899" s="2" t="n">
        <x:v>30</x:v>
      </x:c>
      <x:c r="C899" s="40" t="n">
        <x:v>25</x:v>
      </x:c>
      <x:c r="D899" s="40" t="n">
        <x:v>30</x:v>
      </x:c>
      <x:c r="E899" s="40" t="n">
        <x:v>79.90587890148163</x:v>
      </x:c>
      <x:c r="F899" s="13" t="str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</x:row>
    <x:row r="900" ht="27" customHeight="1">
      <x:c r="A900" s="2" t="str">
        <x:v>S014</x:v>
      </x:c>
      <x:c r="B900" s="2" t="n">
        <x:v>31</x:v>
      </x:c>
      <x:c r="C900" s="40" t="n">
        <x:v>25</x:v>
      </x:c>
      <x:c r="D900" s="40" t="n">
        <x:v>30</x:v>
      </x:c>
      <x:c r="E900" s="40" t="n">
        <x:v>78.88635993003845</x:v>
      </x:c>
      <x:c r="F900" s="13" t="str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</x:row>
    <x:row r="901" ht="27" customHeight="1">
      <x:c r="A901" s="2" t="str">
        <x:v>S014</x:v>
      </x:c>
      <x:c r="B901" s="2" t="n">
        <x:v>32</x:v>
      </x:c>
      <x:c r="C901" s="40" t="n">
        <x:v>25</x:v>
      </x:c>
      <x:c r="D901" s="40" t="n">
        <x:v>30</x:v>
      </x:c>
      <x:c r="E901" s="40" t="n">
        <x:v>77.81480133533478</x:v>
      </x:c>
      <x:c r="F901" s="13" t="str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</x:row>
    <x:row r="902" ht="27" customHeight="1">
      <x:c r="A902" s="2" t="str">
        <x:v>S014</x:v>
      </x:c>
      <x:c r="B902" s="2" t="n">
        <x:v>33</x:v>
      </x:c>
      <x:c r="C902" s="40" t="n">
        <x:v>25</x:v>
      </x:c>
      <x:c r="D902" s="40" t="n">
        <x:v>30</x:v>
      </x:c>
      <x:c r="E902" s="40" t="n">
        <x:v>76.68708741664886</x:v>
      </x:c>
      <x:c r="F902" s="13" t="str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</x:row>
    <x:row r="903" ht="27" customHeight="1">
      <x:c r="A903" s="2" t="str">
        <x:v>S014</x:v>
      </x:c>
      <x:c r="B903" s="2" t="n">
        <x:v>34</x:v>
      </x:c>
      <x:c r="C903" s="40" t="n">
        <x:v>25</x:v>
      </x:c>
      <x:c r="D903" s="40" t="n">
        <x:v>30</x:v>
      </x:c>
      <x:c r="E903" s="40" t="n">
        <x:v>75.49865245819092</x:v>
      </x:c>
      <x:c r="F903" s="13" t="str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</x:row>
    <x:row r="904" ht="27" customHeight="1">
      <x:c r="A904" s="2" t="str">
        <x:v>S014</x:v>
      </x:c>
      <x:c r="B904" s="2" t="n">
        <x:v>35</x:v>
      </x:c>
      <x:c r="C904" s="40" t="n">
        <x:v>25</x:v>
      </x:c>
      <x:c r="D904" s="40" t="n">
        <x:v>30</x:v>
      </x:c>
      <x:c r="E904" s="40" t="n">
        <x:v>74.2444097995758</x:v>
      </x:c>
      <x:c r="F904" s="13" t="str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</x:row>
    <x:row r="905" ht="27" customHeight="1">
      <x:c r="A905" s="2" t="str">
        <x:v>S014</x:v>
      </x:c>
      <x:c r="B905" s="2" t="n">
        <x:v>36</x:v>
      </x:c>
      <x:c r="C905" s="40" t="n">
        <x:v>25</x:v>
      </x:c>
      <x:c r="D905" s="40" t="n">
        <x:v>30</x:v>
      </x:c>
      <x:c r="E905" s="40" t="n">
        <x:v>72.91867792606354</x:v>
      </x:c>
      <x:c r="F905" s="13" t="str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</x:row>
    <x:row r="906" ht="27" customHeight="1">
      <x:c r="A906" s="2" t="str">
        <x:v>S014</x:v>
      </x:c>
      <x:c r="B906" s="2" t="n">
        <x:v>37</x:v>
      </x:c>
      <x:c r="C906" s="40" t="n">
        <x:v>25</x:v>
      </x:c>
      <x:c r="D906" s="40" t="n">
        <x:v>30</x:v>
      </x:c>
      <x:c r="E906" s="40" t="n">
        <x:v>71.51508748531342</x:v>
      </x:c>
      <x:c r="F906" s="13" t="str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</x:row>
    <x:row r="907" ht="27" customHeight="1">
      <x:c r="A907" s="2" t="str">
        <x:v>S014</x:v>
      </x:c>
      <x:c r="B907" s="2" t="n">
        <x:v>38</x:v>
      </x:c>
      <x:c r="C907" s="40" t="n">
        <x:v>25</x:v>
      </x:c>
      <x:c r="D907" s="40" t="n">
        <x:v>30</x:v>
      </x:c>
      <x:c r="E907" s="40" t="n">
        <x:v>70.02646386623383</x:v>
      </x:c>
      <x:c r="F907" s="13" t="str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</x:row>
    <x:row r="908" ht="27" customHeight="1">
      <x:c r="A908" s="2" t="str">
        <x:v>S014</x:v>
      </x:c>
      <x:c r="B908" s="2" t="n">
        <x:v>39</x:v>
      </x:c>
      <x:c r="C908" s="40" t="n">
        <x:v>25</x:v>
      </x:c>
      <x:c r="D908" s="40" t="n">
        <x:v>30</x:v>
      </x:c>
      <x:c r="E908" s="40" t="n">
        <x:v>68.44469785690308</x:v>
      </x:c>
      <x:c r="F908" s="13" t="str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</x:row>
    <x:row r="909" ht="27" customHeight="1">
      <x:c r="A909" s="2" t="str">
        <x:v>S014</x:v>
      </x:c>
      <x:c r="B909" s="2" t="n">
        <x:v>40</x:v>
      </x:c>
      <x:c r="C909" s="40" t="n">
        <x:v>25</x:v>
      </x:c>
      <x:c r="D909" s="40" t="n">
        <x:v>30</x:v>
      </x:c>
      <x:c r="E909" s="40" t="n">
        <x:v>66.7605721950531</x:v>
      </x:c>
      <x:c r="F909" s="13" t="str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</x:row>
    <x:row r="910" ht="27" customHeight="1">
      <x:c r="A910" s="2" t="str">
        <x:v>S014</x:v>
      </x:c>
      <x:c r="B910" s="2" t="n">
        <x:v>41</x:v>
      </x:c>
      <x:c r="C910" s="40" t="n">
        <x:v>25</x:v>
      </x:c>
      <x:c r="D910" s="40" t="n">
        <x:v>30</x:v>
      </x:c>
      <x:c r="E910" s="40" t="n">
        <x:v>64.96355891227722</x:v>
      </x:c>
      <x:c r="F910" s="13" t="str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</x:row>
    <x:row r="911" ht="27" customHeight="1">
      <x:c r="A911" s="2" t="str">
        <x:v>S014</x:v>
      </x:c>
      <x:c r="B911" s="2" t="n">
        <x:v>42</x:v>
      </x:c>
      <x:c r="C911" s="40" t="n">
        <x:v>25</x:v>
      </x:c>
      <x:c r="D911" s="40" t="n">
        <x:v>29.309443831443787</x:v>
      </x:c>
      <x:c r="E911" s="40" t="n">
        <x:v>63.04155647754669</x:v>
      </x:c>
      <x:c r="F911" s="13" t="str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</x:row>
    <x:row r="912" ht="27" customHeight="1">
      <x:c r="A912" s="2" t="str">
        <x:v>S014</x:v>
      </x:c>
      <x:c r="B912" s="2" t="n">
        <x:v>43</x:v>
      </x:c>
      <x:c r="C912" s="40" t="n">
        <x:v>25</x:v>
      </x:c>
      <x:c r="D912" s="40" t="n">
        <x:v>28.471960723400116</x:v>
      </x:c>
      <x:c r="E912" s="40" t="n">
        <x:v>60.98055958747864</x:v>
      </x:c>
      <x:c r="F912" s="13" t="str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</x:row>
    <x:row r="913" ht="27" customHeight="1">
      <x:c r="A913" s="2" t="str">
        <x:v>S014</x:v>
      </x:c>
      <x:c r="B913" s="2" t="n">
        <x:v>44</x:v>
      </x:c>
      <x:c r="C913" s="40" t="n">
        <x:v>25</x:v>
      </x:c>
      <x:c r="D913" s="40" t="n">
        <x:v>27.571576237678528</x:v>
      </x:c>
      <x:c r="E913" s="40" t="n">
        <x:v>58.764232993125916</x:v>
      </x:c>
      <x:c r="F913" s="13" t="str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</x:row>
    <x:row r="914" ht="27" customHeight="1">
      <x:c r="A914" s="2" t="str">
        <x:v>S014</x:v>
      </x:c>
      <x:c r="B914" s="2" t="n">
        <x:v>45</x:v>
      </x:c>
      <x:c r="C914" s="40" t="n">
        <x:v>25</x:v>
      </x:c>
      <x:c r="D914" s="40" t="n">
        <x:v>26.60064071416855</x:v>
      </x:c>
      <x:c r="E914" s="40" t="n">
        <x:v>56.373342871665955</x:v>
      </x:c>
      <x:c r="F914" s="13" t="str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</x:row>
    <x:row r="915" ht="27" customHeight="1">
      <x:c r="A915" s="2" t="str">
        <x:v>S014</x:v>
      </x:c>
      <x:c r="B915" s="2" t="n">
        <x:v>46</x:v>
      </x:c>
      <x:c r="C915" s="40" t="n">
        <x:v>25</x:v>
      </x:c>
      <x:c r="D915" s="40" t="n">
        <x:v>25.550112426280975</x:v>
      </x:c>
      <x:c r="E915" s="40" t="n">
        <x:v>53.784998655319214</x:v>
      </x:c>
      <x:c r="F915" s="13" t="str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</x:row>
    <x:row r="916" ht="27" customHeight="1">
      <x:c r="A916" s="2" t="str">
        <x:v>S014</x:v>
      </x:c>
      <x:c r="B916" s="2" t="n">
        <x:v>47</x:v>
      </x:c>
      <x:c r="C916" s="40" t="n">
        <x:v>22.87638410925865</x:v>
      </x:c>
      <x:c r="D916" s="40" t="n">
        <x:v>24.409188330173492</x:v>
      </x:c>
      <x:c r="E916" s="40" t="n">
        <x:v>50.971593260765076</x:v>
      </x:c>
      <x:c r="F916" s="13" t="str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</x:row>
    <x:row r="917" ht="27" customHeight="1">
      <x:c r="A917" s="2" t="str">
        <x:v>S014</x:v>
      </x:c>
      <x:c r="B917" s="2" t="n">
        <x:v>48</x:v>
      </x:c>
      <x:c r="C917" s="40" t="n">
        <x:v>20.257901400327682</x:v>
      </x:c>
      <x:c r="D917" s="40" t="n">
        <x:v>23.164790868759155</x:v>
      </x:c>
      <x:c r="E917" s="40" t="n">
        <x:v>47.89928317070007</x:v>
      </x:c>
      <x:c r="F917" s="13" t="str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</x:row>
    <x:row r="918" ht="27" customHeight="1">
      <x:c r="A918" s="2" t="str">
        <x:v>S014</x:v>
      </x:c>
      <x:c r="B918" s="2" t="n">
        <x:v>49</x:v>
      </x:c>
      <x:c r="C918" s="40" t="n">
        <x:v>17.292414605617523</x:v>
      </x:c>
      <x:c r="D918" s="40" t="n">
        <x:v>21.800831258296967</x:v>
      </x:c>
      <x:c r="E918" s="40" t="n">
        <x:v>44.52571928501129</x:v>
      </x:c>
      <x:c r="F918" s="13" t="str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</x:row>
    <x:row r="919" ht="27" customHeight="1">
      <x:c r="A919" s="2" t="str">
        <x:v>S014</x:v>
      </x:c>
      <x:c r="B919" s="2" t="n">
        <x:v>50</x:v>
      </x:c>
      <x:c r="C919" s="40" t="n">
        <x:v>13.866068422794342</x:v>
      </x:c>
      <x:c r="D919" s="40" t="n">
        <x:v>20.29710352420807</x:v>
      </x:c>
      <x:c r="E919" s="40" t="n">
        <x:v>40.796456933021545</x:v>
      </x:c>
      <x:c r="F919" s="13" t="str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</x:row>
    <x:row r="920" ht="27" customHeight="1">
      <x:c r="A920" s="2" t="str">
        <x:v>S014</x:v>
      </x:c>
      <x:c r="B920" s="2" t="n">
        <x:v>51</x:v>
      </x:c>
      <x:c r="C920" s="40" t="n">
        <x:v>9.762823581695557</x:v>
      </x:c>
      <x:c r="D920" s="40" t="n">
        <x:v>18.627552688121796</x:v>
      </x:c>
      <x:c r="E920" s="40" t="n">
        <x:v>36.63891315460205</x:v>
      </x:c>
      <x:c r="F920" s="13" t="str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</x:row>
    <x:row r="921" ht="27" customHeight="1">
      <x:c r="A921" s="2" t="str">
        <x:v>S014</x:v>
      </x:c>
      <x:c r="B921" s="2" t="n">
        <x:v>52</x:v>
      </x:c>
      <x:c r="C921" s="40" t="n">
        <x:v>4.378429055213928</x:v>
      </x:c>
      <x:c r="D921" s="40" t="n">
        <x:v>16.757344007492065</x:v>
      </x:c>
      <x:c r="E921" s="40" t="n">
        <x:v>31.951206922531128</x:v>
      </x:c>
      <x:c r="F921" s="13" t="str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</x:row>
    <x:row r="922" ht="27" customHeight="1">
      <x:c r="A922" s="2" t="str">
        <x:v>S014</x:v>
      </x:c>
      <x:c r="B922" s="2" t="n">
        <x:v>53</x:v>
      </x:c>
      <x:c r="C922" s="40"/>
      <x:c r="D922" s="40" t="n">
        <x:v>14.637463688850403</x:v>
      </x:c>
      <x:c r="E922" s="40" t="n">
        <x:v>26.578840017318726</x:v>
      </x:c>
      <x:c r="F922" s="13" t="str">
        <x:v>A型空载也不可行</x:v>
      </x:c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</x:row>
    <x:row r="923" ht="27" customHeight="1">
      <x:c r="A923" s="2" t="str">
        <x:v>S014</x:v>
      </x:c>
      <x:c r="B923" s="2" t="n">
        <x:v>54</x:v>
      </x:c>
      <x:c r="C923" s="40"/>
      <x:c r="D923" s="40" t="n">
        <x:v>12.193423211574554</x:v>
      </x:c>
      <x:c r="E923" s="40" t="n">
        <x:v>20.25581419467926</x:v>
      </x:c>
      <x:c r="F923" s="13" t="str">
        <x:v>A型空载也不可行</x:v>
      </x:c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</x:row>
    <x:row r="924" ht="27" customHeight="1">
      <x:c r="A924" s="2" t="str">
        <x:v>S014</x:v>
      </x:c>
      <x:c r="B924" s="2" t="n">
        <x:v>55</x:v>
      </x:c>
      <x:c r="C924" s="40"/>
      <x:c r="D924" s="40" t="n">
        <x:v>9.296597242355347</x:v>
      </x:c>
      <x:c r="E924" s="40" t="n">
        <x:v>12.39642322063446</x:v>
      </x:c>
      <x:c r="F924" s="13" t="str">
        <x:v>A型空载也不可行</x:v>
      </x:c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</x:row>
    <x:row r="925" ht="27" customHeight="1">
      <x:c r="A925" s="2" t="str">
        <x:v>S014</x:v>
      </x:c>
      <x:c r="B925" s="2" t="n">
        <x:v>56</x:v>
      </x:c>
      <x:c r="C925" s="40"/>
      <x:c r="D925" s="40" t="n">
        <x:v>5.661572813987732</x:v>
      </x:c>
      <x:c r="E925" s="40"/>
      <x:c r="F925" s="13" t="str">
        <x:v>A型空载也不可行；C型空载也不可行</x:v>
      </x:c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</x:row>
    <x:row r="926" ht="27" customHeight="1">
      <x:c r="A926" s="2" t="str">
        <x:v>S014</x:v>
      </x:c>
      <x:c r="B926" s="2" t="n">
        <x:v>57</x:v>
      </x:c>
      <x:c r="C926" s="40"/>
      <x:c r="D926" s="40"/>
      <x:c r="E926" s="40"/>
      <x:c r="F926" s="13" t="str">
        <x:v>A型空载也不可行；B型空载也不可行；C型空载也不可行</x:v>
      </x:c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</x:row>
    <x:row r="927" ht="27" customHeight="1">
      <x:c r="A927" s="2" t="str">
        <x:v>S014</x:v>
      </x:c>
      <x:c r="B927" s="2" t="n">
        <x:v>58</x:v>
      </x:c>
      <x:c r="C927" s="40"/>
      <x:c r="D927" s="40"/>
      <x:c r="E927" s="40"/>
      <x:c r="F927" s="13" t="str">
        <x:v>A型空载也不可行；B型空载也不可行；C型空载也不可行</x:v>
      </x:c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</x:row>
    <x:row r="928" ht="27" customHeight="1">
      <x:c r="A928" s="2" t="str">
        <x:v>S014</x:v>
      </x:c>
      <x:c r="B928" s="2" t="n">
        <x:v>59</x:v>
      </x:c>
      <x:c r="C928" s="40"/>
      <x:c r="D928" s="40"/>
      <x:c r="E928" s="40"/>
      <x:c r="F928" s="13" t="str">
        <x:v>A型空载也不可行；B型空载也不可行；C型空载也不可行</x:v>
      </x:c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</x:row>
    <x:row r="929" ht="27" customHeight="1">
      <x:c r="A929" s="2" t="str">
        <x:v>S014</x:v>
      </x:c>
      <x:c r="B929" s="2" t="n">
        <x:v>60</x:v>
      </x:c>
      <x:c r="C929" s="40"/>
      <x:c r="D929" s="40"/>
      <x:c r="E929" s="40"/>
      <x:c r="F929" s="13" t="str">
        <x:v>A型空载也不可行；B型空载也不可行；C型空载也不可行</x:v>
      </x:c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</x:row>
    <x:row r="930" ht="27" customHeight="1">
      <x:c r="A930" s="2" t="str">
        <x:v>S015</x:v>
      </x:c>
      <x:c r="B930" s="2" t="n">
        <x:v>0</x:v>
      </x:c>
      <x:c r="C930" s="40" t="n">
        <x:v>25</x:v>
      </x:c>
      <x:c r="D930" s="40" t="n">
        <x:v>30</x:v>
      </x:c>
      <x:c r="E930" s="40" t="n">
        <x:v>80</x:v>
      </x:c>
      <x:c r="F930" s="13" t="str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</x:row>
    <x:row r="931" ht="27" customHeight="1">
      <x:c r="A931" s="2" t="str">
        <x:v>S015</x:v>
      </x:c>
      <x:c r="B931" s="2" t="n">
        <x:v>1</x:v>
      </x:c>
      <x:c r="C931" s="40" t="n">
        <x:v>25</x:v>
      </x:c>
      <x:c r="D931" s="40" t="n">
        <x:v>30</x:v>
      </x:c>
      <x:c r="E931" s="40" t="n">
        <x:v>80</x:v>
      </x:c>
      <x:c r="F931" s="13" t="str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</x:row>
    <x:row r="932" ht="27" customHeight="1">
      <x:c r="A932" s="2" t="str">
        <x:v>S015</x:v>
      </x:c>
      <x:c r="B932" s="2" t="n">
        <x:v>2</x:v>
      </x:c>
      <x:c r="C932" s="40" t="n">
        <x:v>25</x:v>
      </x:c>
      <x:c r="D932" s="40" t="n">
        <x:v>30</x:v>
      </x:c>
      <x:c r="E932" s="40" t="n">
        <x:v>80</x:v>
      </x:c>
      <x:c r="F932" s="13" t="str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</x:row>
    <x:row r="933" ht="27" customHeight="1">
      <x:c r="A933" s="2" t="str">
        <x:v>S015</x:v>
      </x:c>
      <x:c r="B933" s="2" t="n">
        <x:v>3</x:v>
      </x:c>
      <x:c r="C933" s="40" t="n">
        <x:v>25</x:v>
      </x:c>
      <x:c r="D933" s="40" t="n">
        <x:v>30</x:v>
      </x:c>
      <x:c r="E933" s="40" t="n">
        <x:v>80</x:v>
      </x:c>
      <x:c r="F933" s="13" t="str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</x:row>
    <x:row r="934" ht="27" customHeight="1">
      <x:c r="A934" s="2" t="str">
        <x:v>S015</x:v>
      </x:c>
      <x:c r="B934" s="2" t="n">
        <x:v>4</x:v>
      </x:c>
      <x:c r="C934" s="40" t="n">
        <x:v>25</x:v>
      </x:c>
      <x:c r="D934" s="40" t="n">
        <x:v>30</x:v>
      </x:c>
      <x:c r="E934" s="40" t="n">
        <x:v>80</x:v>
      </x:c>
      <x:c r="F934" s="13" t="str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</x:row>
    <x:row r="935" ht="27" customHeight="1">
      <x:c r="A935" s="2" t="str">
        <x:v>S015</x:v>
      </x:c>
      <x:c r="B935" s="2" t="n">
        <x:v>5</x:v>
      </x:c>
      <x:c r="C935" s="40" t="n">
        <x:v>25</x:v>
      </x:c>
      <x:c r="D935" s="40" t="n">
        <x:v>30</x:v>
      </x:c>
      <x:c r="E935" s="40" t="n">
        <x:v>80</x:v>
      </x:c>
      <x:c r="F935" s="13" t="str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</x:row>
    <x:row r="936" ht="27" customHeight="1">
      <x:c r="A936" s="2" t="str">
        <x:v>S015</x:v>
      </x:c>
      <x:c r="B936" s="2" t="n">
        <x:v>6</x:v>
      </x:c>
      <x:c r="C936" s="40" t="n">
        <x:v>25</x:v>
      </x:c>
      <x:c r="D936" s="40" t="n">
        <x:v>30</x:v>
      </x:c>
      <x:c r="E936" s="40" t="n">
        <x:v>80</x:v>
      </x:c>
      <x:c r="F936" s="13" t="str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</x:row>
    <x:row r="937" ht="27" customHeight="1">
      <x:c r="A937" s="2" t="str">
        <x:v>S015</x:v>
      </x:c>
      <x:c r="B937" s="2" t="n">
        <x:v>7</x:v>
      </x:c>
      <x:c r="C937" s="40" t="n">
        <x:v>25</x:v>
      </x:c>
      <x:c r="D937" s="40" t="n">
        <x:v>30</x:v>
      </x:c>
      <x:c r="E937" s="40" t="n">
        <x:v>80</x:v>
      </x:c>
      <x:c r="F937" s="13" t="str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</x:row>
    <x:row r="938" ht="27" customHeight="1">
      <x:c r="A938" s="2" t="str">
        <x:v>S015</x:v>
      </x:c>
      <x:c r="B938" s="2" t="n">
        <x:v>8</x:v>
      </x:c>
      <x:c r="C938" s="40" t="n">
        <x:v>25</x:v>
      </x:c>
      <x:c r="D938" s="40" t="n">
        <x:v>30</x:v>
      </x:c>
      <x:c r="E938" s="40" t="n">
        <x:v>80</x:v>
      </x:c>
      <x:c r="F938" s="13" t="str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</x:row>
    <x:row r="939" ht="27" customHeight="1">
      <x:c r="A939" s="2" t="str">
        <x:v>S015</x:v>
      </x:c>
      <x:c r="B939" s="2" t="n">
        <x:v>9</x:v>
      </x:c>
      <x:c r="C939" s="40" t="n">
        <x:v>25</x:v>
      </x:c>
      <x:c r="D939" s="40" t="n">
        <x:v>30</x:v>
      </x:c>
      <x:c r="E939" s="40" t="n">
        <x:v>80</x:v>
      </x:c>
      <x:c r="F939" s="13" t="str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</x:row>
    <x:row r="940" ht="27" customHeight="1">
      <x:c r="A940" s="2" t="str">
        <x:v>S015</x:v>
      </x:c>
      <x:c r="B940" s="2" t="n">
        <x:v>10</x:v>
      </x:c>
      <x:c r="C940" s="40" t="n">
        <x:v>25</x:v>
      </x:c>
      <x:c r="D940" s="40" t="n">
        <x:v>30</x:v>
      </x:c>
      <x:c r="E940" s="40" t="n">
        <x:v>80</x:v>
      </x:c>
      <x:c r="F940" s="13" t="str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</x:row>
    <x:row r="941" ht="27" customHeight="1">
      <x:c r="A941" s="2" t="str">
        <x:v>S015</x:v>
      </x:c>
      <x:c r="B941" s="2" t="n">
        <x:v>11</x:v>
      </x:c>
      <x:c r="C941" s="40" t="n">
        <x:v>25</x:v>
      </x:c>
      <x:c r="D941" s="40" t="n">
        <x:v>30</x:v>
      </x:c>
      <x:c r="E941" s="40" t="n">
        <x:v>80</x:v>
      </x:c>
      <x:c r="F941" s="13" t="str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</x:row>
    <x:row r="942" ht="27" customHeight="1">
      <x:c r="A942" s="2" t="str">
        <x:v>S015</x:v>
      </x:c>
      <x:c r="B942" s="2" t="n">
        <x:v>12</x:v>
      </x:c>
      <x:c r="C942" s="40" t="n">
        <x:v>25</x:v>
      </x:c>
      <x:c r="D942" s="40" t="n">
        <x:v>30</x:v>
      </x:c>
      <x:c r="E942" s="40" t="n">
        <x:v>80</x:v>
      </x:c>
      <x:c r="F942" s="13" t="str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</x:row>
    <x:row r="943" ht="27" customHeight="1">
      <x:c r="A943" s="2" t="str">
        <x:v>S015</x:v>
      </x:c>
      <x:c r="B943" s="2" t="n">
        <x:v>13</x:v>
      </x:c>
      <x:c r="C943" s="40" t="n">
        <x:v>25</x:v>
      </x:c>
      <x:c r="D943" s="40" t="n">
        <x:v>30</x:v>
      </x:c>
      <x:c r="E943" s="40" t="n">
        <x:v>80</x:v>
      </x:c>
      <x:c r="F943" s="13" t="str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</x:row>
    <x:row r="944" ht="27" customHeight="1">
      <x:c r="A944" s="2" t="str">
        <x:v>S015</x:v>
      </x:c>
      <x:c r="B944" s="2" t="n">
        <x:v>14</x:v>
      </x:c>
      <x:c r="C944" s="40" t="n">
        <x:v>25</x:v>
      </x:c>
      <x:c r="D944" s="40" t="n">
        <x:v>30</x:v>
      </x:c>
      <x:c r="E944" s="40" t="n">
        <x:v>80</x:v>
      </x:c>
      <x:c r="F944" s="13" t="str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</x:row>
    <x:row r="945" ht="27" customHeight="1">
      <x:c r="A945" s="2" t="str">
        <x:v>S015</x:v>
      </x:c>
      <x:c r="B945" s="2" t="n">
        <x:v>15</x:v>
      </x:c>
      <x:c r="C945" s="40" t="n">
        <x:v>25</x:v>
      </x:c>
      <x:c r="D945" s="40" t="n">
        <x:v>30</x:v>
      </x:c>
      <x:c r="E945" s="40" t="n">
        <x:v>80</x:v>
      </x:c>
      <x:c r="F945" s="13" t="str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</x:row>
    <x:row r="946" ht="27" customHeight="1">
      <x:c r="A946" s="2" t="str">
        <x:v>S015</x:v>
      </x:c>
      <x:c r="B946" s="2" t="n">
        <x:v>16</x:v>
      </x:c>
      <x:c r="C946" s="40" t="n">
        <x:v>25</x:v>
      </x:c>
      <x:c r="D946" s="40" t="n">
        <x:v>30</x:v>
      </x:c>
      <x:c r="E946" s="40" t="n">
        <x:v>80</x:v>
      </x:c>
      <x:c r="F946" s="13" t="str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</x:row>
    <x:row r="947" ht="27" customHeight="1">
      <x:c r="A947" s="2" t="str">
        <x:v>S015</x:v>
      </x:c>
      <x:c r="B947" s="2" t="n">
        <x:v>17</x:v>
      </x:c>
      <x:c r="C947" s="40" t="n">
        <x:v>25</x:v>
      </x:c>
      <x:c r="D947" s="40" t="n">
        <x:v>30</x:v>
      </x:c>
      <x:c r="E947" s="40" t="n">
        <x:v>80</x:v>
      </x:c>
      <x:c r="F947" s="13" t="str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</x:row>
    <x:row r="948" ht="27" customHeight="1">
      <x:c r="A948" s="2" t="str">
        <x:v>S015</x:v>
      </x:c>
      <x:c r="B948" s="2" t="n">
        <x:v>18</x:v>
      </x:c>
      <x:c r="C948" s="40" t="n">
        <x:v>25</x:v>
      </x:c>
      <x:c r="D948" s="40" t="n">
        <x:v>30</x:v>
      </x:c>
      <x:c r="E948" s="40" t="n">
        <x:v>80</x:v>
      </x:c>
      <x:c r="F948" s="13" t="str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</x:row>
    <x:row r="949" ht="27" customHeight="1">
      <x:c r="A949" s="2" t="str">
        <x:v>S015</x:v>
      </x:c>
      <x:c r="B949" s="2" t="n">
        <x:v>19</x:v>
      </x:c>
      <x:c r="C949" s="40" t="n">
        <x:v>25</x:v>
      </x:c>
      <x:c r="D949" s="40" t="n">
        <x:v>30</x:v>
      </x:c>
      <x:c r="E949" s="40" t="n">
        <x:v>80</x:v>
      </x:c>
      <x:c r="F949" s="13" t="str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</x:row>
    <x:row r="950" ht="27" customHeight="1">
      <x:c r="A950" s="2" t="str">
        <x:v>S015</x:v>
      </x:c>
      <x:c r="B950" s="2" t="n">
        <x:v>20</x:v>
      </x:c>
      <x:c r="C950" s="40" t="n">
        <x:v>25</x:v>
      </x:c>
      <x:c r="D950" s="40" t="n">
        <x:v>30</x:v>
      </x:c>
      <x:c r="E950" s="40" t="n">
        <x:v>80</x:v>
      </x:c>
      <x:c r="F950" s="13" t="str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</x:row>
    <x:row r="951" ht="27" customHeight="1">
      <x:c r="A951" s="2" t="str">
        <x:v>S015</x:v>
      </x:c>
      <x:c r="B951" s="2" t="n">
        <x:v>21</x:v>
      </x:c>
      <x:c r="C951" s="40" t="n">
        <x:v>25</x:v>
      </x:c>
      <x:c r="D951" s="40" t="n">
        <x:v>30</x:v>
      </x:c>
      <x:c r="E951" s="40" t="n">
        <x:v>80</x:v>
      </x:c>
      <x:c r="F951" s="13" t="str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</x:row>
    <x:row r="952" ht="27" customHeight="1">
      <x:c r="A952" s="2" t="str">
        <x:v>S015</x:v>
      </x:c>
      <x:c r="B952" s="2" t="n">
        <x:v>22</x:v>
      </x:c>
      <x:c r="C952" s="40" t="n">
        <x:v>25</x:v>
      </x:c>
      <x:c r="D952" s="40" t="n">
        <x:v>30</x:v>
      </x:c>
      <x:c r="E952" s="40" t="n">
        <x:v>80</x:v>
      </x:c>
      <x:c r="F952" s="13" t="str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</x:row>
    <x:row r="953" ht="27" customHeight="1">
      <x:c r="A953" s="2" t="str">
        <x:v>S015</x:v>
      </x:c>
      <x:c r="B953" s="2" t="n">
        <x:v>23</x:v>
      </x:c>
      <x:c r="C953" s="40" t="n">
        <x:v>25</x:v>
      </x:c>
      <x:c r="D953" s="40" t="n">
        <x:v>30</x:v>
      </x:c>
      <x:c r="E953" s="40" t="n">
        <x:v>80</x:v>
      </x:c>
      <x:c r="F953" s="13" t="str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</x:row>
    <x:row r="954" ht="27" customHeight="1">
      <x:c r="A954" s="2" t="str">
        <x:v>S015</x:v>
      </x:c>
      <x:c r="B954" s="2" t="n">
        <x:v>24</x:v>
      </x:c>
      <x:c r="C954" s="40" t="n">
        <x:v>25</x:v>
      </x:c>
      <x:c r="D954" s="40" t="n">
        <x:v>30</x:v>
      </x:c>
      <x:c r="E954" s="40" t="n">
        <x:v>79.3948245048523</x:v>
      </x:c>
      <x:c r="F954" s="13" t="str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</x:row>
    <x:row r="955" ht="27" customHeight="1">
      <x:c r="A955" s="2" t="str">
        <x:v>S015</x:v>
      </x:c>
      <x:c r="B955" s="2" t="n">
        <x:v>25</x:v>
      </x:c>
      <x:c r="C955" s="40" t="n">
        <x:v>25</x:v>
      </x:c>
      <x:c r="D955" s="40" t="n">
        <x:v>30</x:v>
      </x:c>
      <x:c r="E955" s="40" t="n">
        <x:v>78.45135569572449</x:v>
      </x:c>
      <x:c r="F955" s="13" t="str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</x:row>
    <x:row r="956" ht="27" customHeight="1">
      <x:c r="A956" s="2" t="str">
        <x:v>S015</x:v>
      </x:c>
      <x:c r="B956" s="2" t="n">
        <x:v>26</x:v>
      </x:c>
      <x:c r="C956" s="40" t="n">
        <x:v>25</x:v>
      </x:c>
      <x:c r="D956" s="40" t="n">
        <x:v>30</x:v>
      </x:c>
      <x:c r="E956" s="40" t="n">
        <x:v>77.46381044387817</x:v>
      </x:c>
      <x:c r="F956" s="13" t="str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</x:row>
    <x:row r="957" ht="27" customHeight="1">
      <x:c r="A957" s="2" t="str">
        <x:v>S015</x:v>
      </x:c>
      <x:c r="B957" s="2" t="n">
        <x:v>27</x:v>
      </x:c>
      <x:c r="C957" s="40" t="n">
        <x:v>25</x:v>
      </x:c>
      <x:c r="D957" s="40" t="n">
        <x:v>30</x:v>
      </x:c>
      <x:c r="E957" s="40" t="n">
        <x:v>76.4289939403534</x:v>
      </x:c>
      <x:c r="F957" s="13" t="str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</x:row>
    <x:row r="958" ht="27" customHeight="1">
      <x:c r="A958" s="2" t="str">
        <x:v>S015</x:v>
      </x:c>
      <x:c r="B958" s="2" t="n">
        <x:v>28</x:v>
      </x:c>
      <x:c r="C958" s="40" t="n">
        <x:v>25</x:v>
      </x:c>
      <x:c r="D958" s="40" t="n">
        <x:v>30</x:v>
      </x:c>
      <x:c r="E958" s="40" t="n">
        <x:v>75.34338772296906</x:v>
      </x:c>
      <x:c r="F958" s="13" t="str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</x:row>
    <x:row r="959" ht="27" customHeight="1">
      <x:c r="A959" s="2" t="str">
        <x:v>S015</x:v>
      </x:c>
      <x:c r="B959" s="2" t="n">
        <x:v>29</x:v>
      </x:c>
      <x:c r="C959" s="40" t="n">
        <x:v>25</x:v>
      </x:c>
      <x:c r="D959" s="40" t="n">
        <x:v>30</x:v>
      </x:c>
      <x:c r="E959" s="40" t="n">
        <x:v>74.20310974121094</x:v>
      </x:c>
      <x:c r="F959" s="13" t="str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</x:row>
    <x:row r="960" ht="27" customHeight="1">
      <x:c r="A960" s="2" t="str">
        <x:v>S015</x:v>
      </x:c>
      <x:c r="B960" s="2" t="n">
        <x:v>30</x:v>
      </x:c>
      <x:c r="C960" s="40" t="n">
        <x:v>25</x:v>
      </x:c>
      <x:c r="D960" s="40" t="n">
        <x:v>30</x:v>
      </x:c>
      <x:c r="E960" s="40" t="n">
        <x:v>73.00386071205139</x:v>
      </x:c>
      <x:c r="F960" s="13" t="str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</x:row>
    <x:row r="961" ht="27" customHeight="1">
      <x:c r="A961" s="2" t="str">
        <x:v>S015</x:v>
      </x:c>
      <x:c r="B961" s="2" t="n">
        <x:v>31</x:v>
      </x:c>
      <x:c r="C961" s="40" t="n">
        <x:v>25</x:v>
      </x:c>
      <x:c r="D961" s="40" t="n">
        <x:v>30</x:v>
      </x:c>
      <x:c r="E961" s="40" t="n">
        <x:v>71.74086511135101</x:v>
      </x:c>
      <x:c r="F961" s="13" t="str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</x:row>
    <x:row r="962" ht="27" customHeight="1">
      <x:c r="A962" s="2" t="str">
        <x:v>S015</x:v>
      </x:c>
      <x:c r="B962" s="2" t="n">
        <x:v>32</x:v>
      </x:c>
      <x:c r="C962" s="40" t="n">
        <x:v>25</x:v>
      </x:c>
      <x:c r="D962" s="40" t="n">
        <x:v>30</x:v>
      </x:c>
      <x:c r="E962" s="40" t="n">
        <x:v>70.40880143642426</x:v>
      </x:c>
      <x:c r="F962" s="13" t="str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</x:row>
    <x:row r="963" ht="27" customHeight="1">
      <x:c r="A963" s="2" t="str">
        <x:v>S015</x:v>
      </x:c>
      <x:c r="B963" s="2" t="n">
        <x:v>33</x:v>
      </x:c>
      <x:c r="C963" s="40" t="n">
        <x:v>25</x:v>
      </x:c>
      <x:c r="D963" s="40" t="n">
        <x:v>30</x:v>
      </x:c>
      <x:c r="E963" s="40" t="n">
        <x:v>69.00171875953674</x:v>
      </x:c>
      <x:c r="F963" s="13" t="str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</x:row>
    <x:row r="964" ht="27" customHeight="1">
      <x:c r="A964" s="2" t="str">
        <x:v>S015</x:v>
      </x:c>
      <x:c r="B964" s="2" t="n">
        <x:v>34</x:v>
      </x:c>
      <x:c r="C964" s="40" t="n">
        <x:v>25</x:v>
      </x:c>
      <x:c r="D964" s="40" t="n">
        <x:v>30</x:v>
      </x:c>
      <x:c r="E964" s="40" t="n">
        <x:v>67.51293182373047</x:v>
      </x:c>
      <x:c r="F964" s="13" t="str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</x:row>
    <x:row r="965" ht="27" customHeight="1">
      <x:c r="A965" s="2" t="str">
        <x:v>S015</x:v>
      </x:c>
      <x:c r="B965" s="2" t="n">
        <x:v>35</x:v>
      </x:c>
      <x:c r="C965" s="40" t="n">
        <x:v>25</x:v>
      </x:c>
      <x:c r="D965" s="40" t="n">
        <x:v>30</x:v>
      </x:c>
      <x:c r="E965" s="40" t="n">
        <x:v>65.93490183353424</x:v>
      </x:c>
      <x:c r="F965" s="13" t="str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</x:row>
    <x:row r="966" ht="27" customHeight="1">
      <x:c r="A966" s="2" t="str">
        <x:v>S015</x:v>
      </x:c>
      <x:c r="B966" s="2" t="n">
        <x:v>36</x:v>
      </x:c>
      <x:c r="C966" s="40" t="n">
        <x:v>25</x:v>
      </x:c>
      <x:c r="D966" s="40" t="n">
        <x:v>30</x:v>
      </x:c>
      <x:c r="E966" s="40" t="n">
        <x:v>64.25908088684082</x:v>
      </x:c>
      <x:c r="F966" s="13" t="str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</x:row>
    <x:row r="967" ht="27" customHeight="1">
      <x:c r="A967" s="2" t="str">
        <x:v>S015</x:v>
      </x:c>
      <x:c r="B967" s="2" t="n">
        <x:v>37</x:v>
      </x:c>
      <x:c r="C967" s="40" t="n">
        <x:v>25</x:v>
      </x:c>
      <x:c r="D967" s="40" t="n">
        <x:v>29.569152295589447</x:v>
      </x:c>
      <x:c r="E967" s="40" t="n">
        <x:v>62.47572720050812</x:v>
      </x:c>
      <x:c r="F967" s="13" t="str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</x:row>
    <x:row r="968" ht="27" customHeight="1">
      <x:c r="A968" s="2" t="str">
        <x:v>S015</x:v>
      </x:c>
      <x:c r="B968" s="2" t="n">
        <x:v>38</x:v>
      </x:c>
      <x:c r="C968" s="40" t="n">
        <x:v>25</x:v>
      </x:c>
      <x:c r="D968" s="40" t="n">
        <x:v>28.829864859580994</x:v>
      </x:c>
      <x:c r="E968" s="40" t="n">
        <x:v>60.573667883872986</x:v>
      </x:c>
      <x:c r="F968" s="13" t="str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</x:row>
    <x:row r="969" ht="27" customHeight="1">
      <x:c r="A969" s="2" t="str">
        <x:v>S015</x:v>
      </x:c>
      <x:c r="B969" s="2" t="n">
        <x:v>39</x:v>
      </x:c>
      <x:c r="C969" s="40" t="n">
        <x:v>25</x:v>
      </x:c>
      <x:c r="D969" s="40" t="n">
        <x:v>28.041008412837982</x:v>
      </x:c>
      <x:c r="E969" s="40" t="n">
        <x:v>58.539997935295105</x:v>
      </x:c>
      <x:c r="F969" s="13" t="str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</x:row>
    <x:row r="970" ht="27" customHeight="1">
      <x:c r="A970" s="2" t="str">
        <x:v>S015</x:v>
      </x:c>
      <x:c r="B970" s="2" t="n">
        <x:v>40</x:v>
      </x:c>
      <x:c r="C970" s="40" t="n">
        <x:v>25</x:v>
      </x:c>
      <x:c r="D970" s="40" t="n">
        <x:v>27.19721406698227</x:v>
      </x:c>
      <x:c r="E970" s="40" t="n">
        <x:v>56.35968863964081</x:v>
      </x:c>
      <x:c r="F970" s="13" t="str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</x:row>
    <x:row r="971" ht="27" customHeight="1">
      <x:c r="A971" s="2" t="str">
        <x:v>S015</x:v>
      </x:c>
      <x:c r="B971" s="2" t="n">
        <x:v>41</x:v>
      </x:c>
      <x:c r="C971" s="40" t="n">
        <x:v>25</x:v>
      </x:c>
      <x:c r="D971" s="40" t="n">
        <x:v>26.292250156402588</x:v>
      </x:c>
      <x:c r="E971" s="40" t="n">
        <x:v>54.015071392059326</x:v>
      </x:c>
      <x:c r="F971" s="13" t="str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</x:row>
    <x:row r="972" ht="27" customHeight="1">
      <x:c r="A972" s="2" t="str">
        <x:v>S015</x:v>
      </x:c>
      <x:c r="B972" s="2" t="n">
        <x:v>42</x:v>
      </x:c>
      <x:c r="C972" s="40" t="n">
        <x:v>24.570319056510925</x:v>
      </x:c>
      <x:c r="D972" s="40" t="n">
        <x:v>25.31882017850876</x:v>
      </x:c>
      <x:c r="E972" s="40" t="n">
        <x:v>51.48513734340668</x:v>
      </x:c>
      <x:c r="F972" s="13" t="str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</x:row>
    <x:row r="973" ht="27" customHeight="1">
      <x:c r="A973" s="2" t="str">
        <x:v>S015</x:v>
      </x:c>
      <x:c r="B973" s="2" t="n">
        <x:v>43</x:v>
      </x:c>
      <x:c r="C973" s="40" t="n">
        <x:v>22.373633831739426</x:v>
      </x:c>
      <x:c r="D973" s="40" t="n">
        <x:v>24.268302619457245</x:v>
      </x:c>
      <x:c r="E973" s="40" t="n">
        <x:v>48.744561076164246</x:v>
      </x:c>
      <x:c r="F973" s="13" t="str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</x:row>
    <x:row r="974" ht="27" customHeight="1">
      <x:c r="A974" s="2" t="str">
        <x:v>S015</x:v>
      </x:c>
      <x:c r="B974" s="2" t="n">
        <x:v>44</x:v>
      </x:c>
      <x:c r="C974" s="40" t="n">
        <x:v>19.933203607797623</x:v>
      </x:c>
      <x:c r="D974" s="40" t="n">
        <x:v>23.13038170337677</x:v>
      </x:c>
      <x:c r="E974" s="40" t="n">
        <x:v>45.762287974357605</x:v>
      </x:c>
      <x:c r="F974" s="13" t="str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</x:row>
    <x:row r="975" ht="27" customHeight="1">
      <x:c r="A975" s="2" t="str">
        <x:v>S015</x:v>
      </x:c>
      <x:c r="B975" s="2" t="n">
        <x:v>45</x:v>
      </x:c>
      <x:c r="C975" s="40" t="n">
        <x:v>17.188909649848938</x:v>
      </x:c>
      <x:c r="D975" s="40" t="n">
        <x:v>21.89254492521286</x:v>
      </x:c>
      <x:c r="E975" s="40" t="n">
        <x:v>42.499417662620544</x:v>
      </x:c>
      <x:c r="F975" s="13" t="str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</x:row>
    <x:row r="976" ht="27" customHeight="1">
      <x:c r="A976" s="2" t="str">
        <x:v>S015</x:v>
      </x:c>
      <x:c r="B976" s="2" t="n">
        <x:v>46</x:v>
      </x:c>
      <x:c r="C976" s="40" t="n">
        <x:v>14.046574383974075</x:v>
      </x:c>
      <x:c r="D976" s="40" t="n">
        <x:v>20.539341866970062</x:v>
      </x:c>
      <x:c r="E976" s="40" t="n">
        <x:v>38.9058393239975</x:v>
      </x:c>
      <x:c r="F976" s="13" t="str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</x:row>
    <x:row r="977" ht="27" customHeight="1">
      <x:c r="A977" s="2" t="str">
        <x:v>S015</x:v>
      </x:c>
      <x:c r="B977" s="2" t="n">
        <x:v>47</x:v>
      </x:c>
      <x:c r="C977" s="40" t="n">
        <x:v>10.335049033164978</x:v>
      </x:c>
      <x:c r="D977" s="40" t="n">
        <x:v>19.05126303434372</x:v>
      </x:c>
      <x:c r="E977" s="40" t="n">
        <x:v>34.91452693939209</x:v>
      </x:c>
      <x:c r="F977" s="13" t="str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</x:row>
    <x:row r="978" ht="27" customHeight="1">
      <x:c r="A978" s="2" t="str">
        <x:v>S015</x:v>
      </x:c>
      <x:c r="B978" s="2" t="n">
        <x:v>48</x:v>
      </x:c>
      <x:c r="C978" s="40" t="n">
        <x:v>5.631808936595917</x:v>
      </x:c>
      <x:c r="D978" s="40" t="n">
        <x:v>17.40294188261032</x:v>
      </x:c>
      <x:c r="E978" s="40" t="n">
        <x:v>30.430961847305298</x:v>
      </x:c>
      <x:c r="F978" s="13" t="str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</x:row>
    <x:row r="979" ht="27" customHeight="1">
      <x:c r="A979" s="2" t="str">
        <x:v>S015</x:v>
      </x:c>
      <x:c r="B979" s="2" t="n">
        <x:v>49</x:v>
      </x:c>
      <x:c r="C979" s="40"/>
      <x:c r="D979" s="40" t="n">
        <x:v>15.560052394866943</x:v>
      </x:c>
      <x:c r="E979" s="40" t="n">
        <x:v>25.31090557575226</x:v>
      </x:c>
      <x:c r="F979" s="13" t="str">
        <x:v>A型空载也不可行</x:v>
      </x:c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</x:row>
    <x:row r="980" ht="27" customHeight="1">
      <x:c r="A980" s="2" t="str">
        <x:v>S015</x:v>
      </x:c>
      <x:c r="B980" s="2" t="n">
        <x:v>50</x:v>
      </x:c>
      <x:c r="C980" s="40"/>
      <x:c r="D980" s="40" t="n">
        <x:v>13.473422527313232</x:v>
      </x:c>
      <x:c r="E980" s="40" t="n">
        <x:v>19.304014444351196</x:v>
      </x:c>
      <x:c r="F980" s="13" t="str">
        <x:v>A型空载也不可行</x:v>
      </x:c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</x:row>
    <x:row r="981" ht="27" customHeight="1">
      <x:c r="A981" s="2" t="str">
        <x:v>S015</x:v>
      </x:c>
      <x:c r="B981" s="2" t="n">
        <x:v>51</x:v>
      </x:c>
      <x:c r="C981" s="40"/>
      <x:c r="D981" s="40" t="n">
        <x:v>11.066228449344635</x:v>
      </x:c>
      <x:c r="E981" s="40" t="n">
        <x:v>11.853420734405518</x:v>
      </x:c>
      <x:c r="F981" s="13" t="str">
        <x:v>A型空载也不可行</x:v>
      </x:c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</x:row>
    <x:row r="982" ht="27" customHeight="1">
      <x:c r="A982" s="2" t="str">
        <x:v>S015</x:v>
      </x:c>
      <x:c r="B982" s="2" t="n">
        <x:v>52</x:v>
      </x:c>
      <x:c r="C982" s="40"/>
      <x:c r="D982" s="40" t="n">
        <x:v>8.199507594108582</x:v>
      </x:c>
      <x:c r="E982" s="40"/>
      <x:c r="F982" s="13" t="str">
        <x:v>A型空载也不可行；C型空载也不可行</x:v>
      </x:c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</x:row>
    <x:row r="983" ht="27" customHeight="1">
      <x:c r="A983" s="2" t="str">
        <x:v>S015</x:v>
      </x:c>
      <x:c r="B983" s="2" t="n">
        <x:v>53</x:v>
      </x:c>
      <x:c r="C983" s="40"/>
      <x:c r="D983" s="40" t="n">
        <x:v>4.5325979590415955</x:v>
      </x:c>
      <x:c r="E983" s="40"/>
      <x:c r="F983" s="13" t="str">
        <x:v>A型空载也不可行；C型空载也不可行</x:v>
      </x:c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</x:row>
    <x:row r="984" ht="27" customHeight="1">
      <x:c r="A984" s="2" t="str">
        <x:v>S015</x:v>
      </x:c>
      <x:c r="B984" s="2" t="n">
        <x:v>54</x:v>
      </x:c>
      <x:c r="C984" s="40"/>
      <x:c r="D984" s="40"/>
      <x:c r="E984" s="40"/>
      <x:c r="F984" s="13" t="str">
        <x:v>A型空载也不可行；B型空载也不可行；C型空载也不可行</x:v>
      </x:c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</x:row>
    <x:row r="985" ht="27" customHeight="1">
      <x:c r="A985" s="2" t="str">
        <x:v>S015</x:v>
      </x:c>
      <x:c r="B985" s="2" t="n">
        <x:v>55</x:v>
      </x:c>
      <x:c r="C985" s="40"/>
      <x:c r="D985" s="40"/>
      <x:c r="E985" s="40"/>
      <x:c r="F985" s="13" t="str">
        <x:v>A型空载也不可行；B型空载也不可行；C型空载也不可行</x:v>
      </x:c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</x:row>
    <x:row r="986" ht="27" customHeight="1">
      <x:c r="A986" s="2" t="str">
        <x:v>S015</x:v>
      </x:c>
      <x:c r="B986" s="2" t="n">
        <x:v>56</x:v>
      </x:c>
      <x:c r="C986" s="40"/>
      <x:c r="D986" s="40"/>
      <x:c r="E986" s="40"/>
      <x:c r="F986" s="13" t="str">
        <x:v>A型空载也不可行；B型空载也不可行；C型空载也不可行</x:v>
      </x:c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</x:row>
    <x:row r="987" ht="27" customHeight="1">
      <x:c r="A987" s="2" t="str">
        <x:v>S015</x:v>
      </x:c>
      <x:c r="B987" s="2" t="n">
        <x:v>57</x:v>
      </x:c>
      <x:c r="C987" s="40"/>
      <x:c r="D987" s="40"/>
      <x:c r="E987" s="40"/>
      <x:c r="F987" s="13" t="str">
        <x:v>A型空载也不可行；B型空载也不可行；C型空载也不可行</x:v>
      </x:c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</x:row>
    <x:row r="988" ht="27" customHeight="1">
      <x:c r="A988" s="2" t="str">
        <x:v>S015</x:v>
      </x:c>
      <x:c r="B988" s="2" t="n">
        <x:v>58</x:v>
      </x:c>
      <x:c r="C988" s="40"/>
      <x:c r="D988" s="40"/>
      <x:c r="E988" s="40"/>
      <x:c r="F988" s="13" t="str">
        <x:v>A型空载也不可行；B型空载也不可行；C型空载也不可行</x:v>
      </x:c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</x:row>
    <x:row r="989" ht="27" customHeight="1">
      <x:c r="A989" s="2" t="str">
        <x:v>S015</x:v>
      </x:c>
      <x:c r="B989" s="2" t="n">
        <x:v>59</x:v>
      </x:c>
      <x:c r="C989" s="40"/>
      <x:c r="D989" s="40"/>
      <x:c r="E989" s="40"/>
      <x:c r="F989" s="13" t="str">
        <x:v>A型空载也不可行；B型空载也不可行；C型空载也不可行</x:v>
      </x:c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</x:row>
    <x:row r="990" ht="27" customHeight="1">
      <x:c r="A990" s="2" t="str">
        <x:v>S015</x:v>
      </x:c>
      <x:c r="B990" s="2" t="n">
        <x:v>60</x:v>
      </x:c>
      <x:c r="C990" s="40"/>
      <x:c r="D990" s="40"/>
      <x:c r="E990" s="40"/>
      <x:c r="F990" s="13" t="str">
        <x:v>A型空载也不可行；B型空载也不可行；C型空载也不可行</x:v>
      </x:c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</x:row>
    <x:row r="991" ht="27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</x:row>
    <x:row r="992" ht="27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</x:row>
    <x:row r="993" ht="27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</x:row>
    <x:row r="994" ht="27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</x:row>
    <x:row r="995" ht="27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</x:row>
    <x:row r="996" ht="27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</x:row>
    <x:row r="997" ht="27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</x:row>
    <x:row r="998" ht="27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</x:row>
    <x:row r="999" ht="27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</x:row>
    <x:row r="1000" ht="27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</x:row>
    <x:row r="1001" ht="27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</x:row>
    <x:row r="1002" ht="27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</x:row>
    <x:row r="1003" ht="27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</x:row>
    <x:row r="1004" ht="27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</x:row>
    <x:row r="1005" ht="27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</x:row>
    <x:row r="1006" ht="27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</x:row>
    <x:row r="1007" ht="27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</x:row>
    <x:row r="1008" ht="27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</x:row>
    <x:row r="1009" ht="27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</x:row>
    <x:row r="1010" ht="27" customHeight="1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</x:row>
  </x:sheetData>
  <x:pageMargins left="0.7" right="0.7" top="0.75" bottom="0.75" header="0.3" footer="0.3"/>
  <x:drawing xmlns:r="http://schemas.openxmlformats.org/officeDocument/2006/relationships" r:id="R9626447c08714e97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19.3799991607666" hidden="0" customWidth="1"/>
    <x:col min="3" max="3" width="19.3799991607666" hidden="0" customWidth="1"/>
    <x:col min="4" max="4" width="18.75" hidden="0" customWidth="1"/>
    <x:col min="5" max="5" width="13.25" hidden="0" customWidth="1"/>
    <x:col min="6" max="6" width="18.1299991607666" hidden="0" customWidth="1"/>
    <x:col min="7" max="7" width="20" hidden="0" customWidth="1"/>
    <x:col min="8" max="8" width="16.25" hidden="0" customWidth="1"/>
    <x:col min="9" max="9" width="17.1299991607666" hidden="0" customWidth="1"/>
    <x:col min="10" max="10" width="18.75" hidden="0" customWidth="1"/>
    <x:col min="11" max="11" width="11.880000114440918" hidden="0" customWidth="1"/>
    <x:col min="12" max="12" width="16.8799991607666" hidden="0" customWidth="1"/>
    <x:col min="13" max="13" width="19.3799991607666" hidden="0" customWidth="1"/>
  </x:cols>
  <x:sheetData>
    <x:row r="1" ht="32" customHeight="1">
      <x:c r="A1" s="3" t="str">
        <x:v>最优组批的精确安全余量区间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12" t="str">
        <x:v>临界值等号属于左侧旧方案；第一段左端含0，其余左开右闭。临界余量保留9位小数。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4" customHeight="1">
      <x:c r="A4" s="8" t="str">
        <x:v>方案ID</x:v>
      </x:c>
      <x:c r="B4" s="9" t="str">
        <x:v>余量下界（%）</x:v>
      </x:c>
      <x:c r="C4" s="9" t="str">
        <x:v>余量上界（%）</x:v>
      </x:c>
      <x:c r="D4" s="9" t="str">
        <x:v>端点规则</x:v>
      </x:c>
      <x:c r="E4" s="9" t="str">
        <x:v>架次数</x:v>
      </x:c>
      <x:c r="F4" s="9" t="str">
        <x:v>总能耗（kWh）</x:v>
      </x:c>
      <x:c r="G4" s="9" t="str">
        <x:v>累计作业（s）</x:v>
      </x:c>
      <x:c r="H4" s="9" t="str">
        <x:v>累计作业（h）</x:v>
      </x:c>
      <x:c r="I4" s="9" t="str">
        <x:v>A/B/C型架次数</x:v>
      </x:c>
      <x:c r="J4" s="10" t="str">
        <x:v>最低SOC（%）</x:v>
      </x:c>
      <x:c r="K4" s="2"/>
      <x:c r="L4" s="2"/>
      <x:c r="M4" s="2"/>
    </x:row>
    <x:row r="5" ht="27" customHeight="1">
      <x:c r="A5" s="2" t="str">
        <x:v>R001</x:v>
      </x:c>
      <x:c r="B5" s="14" t="n">
        <x:v>0</x:v>
      </x:c>
      <x:c r="C5" s="14" t="n">
        <x:v>23.089248385317727</x:v>
      </x:c>
      <x:c r="D5" s="2" t="str">
        <x:v>[下界,上界]</x:v>
      </x:c>
      <x:c r="E5" s="2" t="n">
        <x:v>18</x:v>
      </x:c>
      <x:c r="F5" s="40" t="n">
        <x:v>59.13226032599277</x:v>
      </x:c>
      <x:c r="G5" s="42" t="n">
        <x:v>32776.5167822769</x:v>
      </x:c>
      <x:c r="H5" s="40" t="n">
        <x:f>G5/3600</x:f>
        <x:v>9.104587995076917</x:v>
      </x:c>
      <x:c r="I5" s="2" t="str">
        <x:v>0 / 9 / 9</x:v>
      </x:c>
      <x:c r="J5" s="14" t="n">
        <x:v>23.089248385317727</x:v>
      </x:c>
      <x:c r="K5" s="2"/>
      <x:c r="L5" s="2"/>
      <x:c r="M5" s="2"/>
    </x:row>
    <x:row r="6" ht="27" customHeight="1">
      <x:c r="A6" s="15" t="str">
        <x:v>R002</x:v>
      </x:c>
      <x:c r="B6" s="17" t="n">
        <x:v>23.089248385317727</x:v>
      </x:c>
      <x:c r="C6" s="17" t="n">
        <x:v>27.04974165042051</x:v>
      </x:c>
      <x:c r="D6" s="15" t="str">
        <x:v>(下界,上界]</x:v>
      </x:c>
      <x:c r="E6" s="15" t="n">
        <x:v>19</x:v>
      </x:c>
      <x:c r="F6" s="41" t="n">
        <x:v>61.07431115757807</x:v>
      </x:c>
      <x:c r="G6" s="43" t="n">
        <x:v>34566.15844562943</x:v>
      </x:c>
      <x:c r="H6" s="41" t="n">
        <x:f>G6/3600</x:f>
        <x:v>9.601710679341508</x:v>
      </x:c>
      <x:c r="I6" s="15" t="str">
        <x:v>0 / 10 / 9</x:v>
      </x:c>
      <x:c r="J6" s="17" t="n">
        <x:v>27.04974165042051</x:v>
      </x:c>
      <x:c r="K6" s="2"/>
      <x:c r="L6" s="2"/>
      <x:c r="M6" s="2"/>
    </x:row>
    <x:row r="7" ht="27" customHeight="1">
      <x:c r="A7" s="2" t="str">
        <x:v>R003</x:v>
      </x:c>
      <x:c r="B7" s="14" t="n">
        <x:v>27.04974165042051</x:v>
      </x:c>
      <x:c r="C7" s="14" t="n">
        <x:v>27.93294131270203</x:v>
      </x:c>
      <x:c r="D7" s="2" t="str">
        <x:v>(下界,上界]</x:v>
      </x:c>
      <x:c r="E7" s="2" t="n">
        <x:v>20</x:v>
      </x:c>
      <x:c r="F7" s="40" t="n">
        <x:v>63.291051673035774</x:v>
      </x:c>
      <x:c r="G7" s="42" t="n">
        <x:v>36336.00019280513</x:v>
      </x:c>
      <x:c r="H7" s="40" t="n">
        <x:f>G7/3600</x:f>
        <x:v>10.093333386890313</x:v>
      </x:c>
      <x:c r="I7" s="2" t="str">
        <x:v>0 / 11 / 9</x:v>
      </x:c>
      <x:c r="J7" s="14" t="n">
        <x:v>27.93294131270203</x:v>
      </x:c>
      <x:c r="K7" s="2"/>
      <x:c r="L7" s="2"/>
      <x:c r="M7" s="2"/>
    </x:row>
    <x:row r="8" ht="27" customHeight="1">
      <x:c r="A8" s="15" t="str">
        <x:v>R004</x:v>
      </x:c>
      <x:c r="B8" s="17" t="n">
        <x:v>27.93294131270203</x:v>
      </x:c>
      <x:c r="C8" s="17" t="n">
        <x:v>28.48304745067569</x:v>
      </x:c>
      <x:c r="D8" s="15" t="str">
        <x:v>(下界,上界]</x:v>
      </x:c>
      <x:c r="E8" s="15" t="n">
        <x:v>20</x:v>
      </x:c>
      <x:c r="F8" s="41" t="n">
        <x:v>65.24374637868848</x:v>
      </x:c>
      <x:c r="G8" s="43" t="n">
        <x:v>36493.568238866326</x:v>
      </x:c>
      <x:c r="H8" s="41" t="n">
        <x:f>G8/3600</x:f>
        <x:v>10.13710228857398</x:v>
      </x:c>
      <x:c r="I8" s="15" t="str">
        <x:v>0 / 10 / 10</x:v>
      </x:c>
      <x:c r="J8" s="17" t="n">
        <x:v>28.48304745067569</x:v>
      </x:c>
      <x:c r="K8" s="2"/>
      <x:c r="L8" s="2"/>
      <x:c r="M8" s="2"/>
    </x:row>
    <x:row r="9" ht="27" customHeight="1">
      <x:c r="A9" s="2" t="str">
        <x:v>R005</x:v>
      </x:c>
      <x:c r="B9" s="14" t="n">
        <x:v>28.48304745067569</x:v>
      </x:c>
      <x:c r="C9" s="14" t="n">
        <x:v>31.019547278321667</x:v>
      </x:c>
      <x:c r="D9" s="2" t="str">
        <x:v>(下界,上界]</x:v>
      </x:c>
      <x:c r="E9" s="2" t="n">
        <x:v>20</x:v>
      </x:c>
      <x:c r="F9" s="40" t="n">
        <x:v>67.2287315236232</x:v>
      </x:c>
      <x:c r="G9" s="42" t="n">
        <x:v>36586.686323583126</x:v>
      </x:c>
      <x:c r="H9" s="40" t="n">
        <x:f>G9/3600</x:f>
        <x:v>10.162968423217535</x:v>
      </x:c>
      <x:c r="I9" s="2" t="str">
        <x:v>0 / 9 / 11</x:v>
      </x:c>
      <x:c r="J9" s="14" t="n">
        <x:v>31.019547278321667</x:v>
      </x:c>
      <x:c r="K9" s="2"/>
      <x:c r="L9" s="2"/>
      <x:c r="M9" s="2"/>
    </x:row>
    <x:row r="10" ht="27" customHeight="1">
      <x:c r="A10" s="15" t="str">
        <x:v>R006</x:v>
      </x:c>
      <x:c r="B10" s="17" t="n">
        <x:v>31.019547278321667</x:v>
      </x:c>
      <x:c r="C10" s="17" t="n">
        <x:v>31.185001142751688</x:v>
      </x:c>
      <x:c r="D10" s="15" t="str">
        <x:v>(下界,上界]</x:v>
      </x:c>
      <x:c r="E10" s="15" t="n">
        <x:v>20</x:v>
      </x:c>
      <x:c r="F10" s="41" t="n">
        <x:v>67.23874008286306</x:v>
      </x:c>
      <x:c r="G10" s="43" t="n">
        <x:v>36586.686323583126</x:v>
      </x:c>
      <x:c r="H10" s="41" t="n">
        <x:f>G10/3600</x:f>
        <x:v>10.162968423217535</x:v>
      </x:c>
      <x:c r="I10" s="15" t="str">
        <x:v>0 / 9 / 11</x:v>
      </x:c>
      <x:c r="J10" s="17" t="n">
        <x:v>31.185001142751688</x:v>
      </x:c>
      <x:c r="K10" s="2"/>
      <x:c r="L10" s="2"/>
      <x:c r="M10" s="2"/>
    </x:row>
    <x:row r="11" ht="27" customHeight="1">
      <x:c r="A11" s="2" t="str">
        <x:v>R007</x:v>
      </x:c>
      <x:c r="B11" s="14" t="n">
        <x:v>31.185001142751688</x:v>
      </x:c>
      <x:c r="C11" s="14" t="n">
        <x:v>31.707188360601833</x:v>
      </x:c>
      <x:c r="D11" s="2" t="str">
        <x:v>(下界,上界]</x:v>
      </x:c>
      <x:c r="E11" s="2" t="n">
        <x:v>20</x:v>
      </x:c>
      <x:c r="F11" s="40" t="n">
        <x:v>69.40851960863192</x:v>
      </x:c>
      <x:c r="G11" s="42" t="n">
        <x:v>36704.53665520747</x:v>
      </x:c>
      <x:c r="H11" s="40" t="n">
        <x:f>G11/3600</x:f>
        <x:v>10.195704626446519</x:v>
      </x:c>
      <x:c r="I11" s="2" t="str">
        <x:v>0 / 8 / 12</x:v>
      </x:c>
      <x:c r="J11" s="14" t="n">
        <x:v>31.707188360601833</x:v>
      </x:c>
      <x:c r="K11" s="2"/>
      <x:c r="L11" s="2"/>
      <x:c r="M11" s="2"/>
    </x:row>
    <x:row r="12" ht="27" customHeight="1">
      <x:c r="A12" s="15" t="str">
        <x:v>R008</x:v>
      </x:c>
      <x:c r="B12" s="17" t="n">
        <x:v>31.707188360601833</x:v>
      </x:c>
      <x:c r="C12" s="17" t="n">
        <x:v>32.04250135030689</x:v>
      </x:c>
      <x:c r="D12" s="15" t="str">
        <x:v>(下界,上界]</x:v>
      </x:c>
      <x:c r="E12" s="15" t="n">
        <x:v>20</x:v>
      </x:c>
      <x:c r="F12" s="41" t="n">
        <x:v>69.424945962401</x:v>
      </x:c>
      <x:c r="G12" s="43" t="n">
        <x:v>36704.53665520747</x:v>
      </x:c>
      <x:c r="H12" s="41" t="n">
        <x:f>G12/3600</x:f>
        <x:v>10.195704626446519</x:v>
      </x:c>
      <x:c r="I12" s="15" t="str">
        <x:v>0 / 8 / 12</x:v>
      </x:c>
      <x:c r="J12" s="17" t="n">
        <x:v>32.04250135030689</x:v>
      </x:c>
      <x:c r="K12" s="2"/>
      <x:c r="L12" s="2"/>
      <x:c r="M12" s="2"/>
    </x:row>
    <x:row r="13" ht="27" customHeight="1">
      <x:c r="A13" s="2" t="str">
        <x:v>R009</x:v>
      </x:c>
      <x:c r="B13" s="14" t="n">
        <x:v>32.04250135030689</x:v>
      </x:c>
      <x:c r="C13" s="14" t="n">
        <x:v>32.481159227475295</x:v>
      </x:c>
      <x:c r="D13" s="2" t="str">
        <x:v>(下界,上界]</x:v>
      </x:c>
      <x:c r="E13" s="2" t="n">
        <x:v>20</x:v>
      </x:c>
      <x:c r="F13" s="40" t="n">
        <x:v>71.76060278959002</x:v>
      </x:c>
      <x:c r="G13" s="42" t="n">
        <x:v>36819.94971062739</x:v>
      </x:c>
      <x:c r="H13" s="40" t="n">
        <x:f>G13/3600</x:f>
        <x:v>10.227763808507609</x:v>
      </x:c>
      <x:c r="I13" s="2" t="str">
        <x:v>0 / 7 / 13</x:v>
      </x:c>
      <x:c r="J13" s="14" t="n">
        <x:v>32.481159227475295</x:v>
      </x:c>
      <x:c r="K13" s="2"/>
      <x:c r="L13" s="2"/>
      <x:c r="M13" s="2"/>
    </x:row>
    <x:row r="14" ht="27" customHeight="1">
      <x:c r="A14" s="15" t="str">
        <x:v>R010</x:v>
      </x:c>
      <x:c r="B14" s="17" t="n">
        <x:v>32.481159227475295</x:v>
      </x:c>
      <x:c r="C14" s="17" t="n">
        <x:v>33.625670586616486</x:v>
      </x:c>
      <x:c r="D14" s="15" t="str">
        <x:v>(下界,上界]</x:v>
      </x:c>
      <x:c r="E14" s="15" t="n">
        <x:v>20</x:v>
      </x:c>
      <x:c r="F14" s="41" t="n">
        <x:v>74.29464357072257</x:v>
      </x:c>
      <x:c r="G14" s="43" t="n">
        <x:v>36919.819488052526</x:v>
      </x:c>
      <x:c r="H14" s="41" t="n">
        <x:f>G14/3600</x:f>
        <x:v>10.255505413347924</x:v>
      </x:c>
      <x:c r="I14" s="15" t="str">
        <x:v>0 / 6 / 14</x:v>
      </x:c>
      <x:c r="J14" s="17" t="n">
        <x:v>33.625670586616486</x:v>
      </x:c>
      <x:c r="K14" s="2"/>
      <x:c r="L14" s="2"/>
      <x:c r="M14" s="2"/>
    </x:row>
    <x:row r="15" ht="27" customHeight="1">
      <x:c r="A15" s="2" t="str">
        <x:v>R011</x:v>
      </x:c>
      <x:c r="B15" s="14" t="n">
        <x:v>33.625670586616486</x:v>
      </x:c>
      <x:c r="C15" s="14" t="n">
        <x:v>33.83397543431236</x:v>
      </x:c>
      <x:c r="D15" s="2" t="str">
        <x:v>(下界,上界]</x:v>
      </x:c>
      <x:c r="E15" s="2" t="n">
        <x:v>21</x:v>
      </x:c>
      <x:c r="F15" s="40" t="n">
        <x:v>74.06352420478905</x:v>
      </x:c>
      <x:c r="G15" s="42" t="n">
        <x:v>38595.7914578031</x:v>
      </x:c>
      <x:c r="H15" s="40" t="n">
        <x:f>G15/3600</x:f>
        <x:v>10.721053182723082</x:v>
      </x:c>
      <x:c r="I15" s="2" t="str">
        <x:v>0 / 8 / 13</x:v>
      </x:c>
      <x:c r="J15" s="14" t="n">
        <x:v>33.83397543431236</x:v>
      </x:c>
      <x:c r="K15" s="2"/>
      <x:c r="L15" s="2"/>
      <x:c r="M15" s="2"/>
    </x:row>
    <x:row r="16" ht="27" customHeight="1">
      <x:c r="A16" s="15" t="str">
        <x:v>R012</x:v>
      </x:c>
      <x:c r="B16" s="17" t="n">
        <x:v>33.83397543431236</x:v>
      </x:c>
      <x:c r="C16" s="17" t="n">
        <x:v>33.892330509767845</x:v>
      </x:c>
      <x:c r="D16" s="15" t="str">
        <x:v>(下界,上界]</x:v>
      </x:c>
      <x:c r="E16" s="15" t="n">
        <x:v>21</x:v>
      </x:c>
      <x:c r="F16" s="41" t="n">
        <x:v>74.06757009931174</x:v>
      </x:c>
      <x:c r="G16" s="43" t="n">
        <x:v>38595.7914578031</x:v>
      </x:c>
      <x:c r="H16" s="41" t="n">
        <x:f>G16/3600</x:f>
        <x:v>10.721053182723082</x:v>
      </x:c>
      <x:c r="I16" s="15" t="str">
        <x:v>0 / 8 / 13</x:v>
      </x:c>
      <x:c r="J16" s="17" t="n">
        <x:v>33.892330509767845</x:v>
      </x:c>
      <x:c r="K16" s="2"/>
      <x:c r="L16" s="2"/>
      <x:c r="M16" s="2"/>
    </x:row>
    <x:row r="17" ht="27" customHeight="1">
      <x:c r="A17" s="2" t="str">
        <x:v>R013</x:v>
      </x:c>
      <x:c r="B17" s="14" t="n">
        <x:v>33.892330509767845</x:v>
      </x:c>
      <x:c r="C17" s="14" t="n">
        <x:v>34.23082016410171</x:v>
      </x:c>
      <x:c r="D17" s="2" t="str">
        <x:v>(下界,上界]</x:v>
      </x:c>
      <x:c r="E17" s="2" t="n">
        <x:v>22</x:v>
      </x:c>
      <x:c r="F17" s="40" t="n">
        <x:v>76.15534610424601</x:v>
      </x:c>
      <x:c r="G17" s="42" t="n">
        <x:v>40490.40112284116</x:v>
      </x:c>
      <x:c r="H17" s="40" t="n">
        <x:f>G17/3600</x:f>
        <x:v>11.247333645233656</x:v>
      </x:c>
      <x:c r="I17" s="2" t="str">
        <x:v>0 / 9 / 13</x:v>
      </x:c>
      <x:c r="J17" s="14" t="n">
        <x:v>34.23082016410171</x:v>
      </x:c>
      <x:c r="K17" s="2"/>
      <x:c r="L17" s="2"/>
      <x:c r="M17" s="2"/>
    </x:row>
    <x:row r="18" ht="27" customHeight="1">
      <x:c r="A18" s="15" t="str">
        <x:v>R014</x:v>
      </x:c>
      <x:c r="B18" s="17" t="n">
        <x:v>34.23082016410171</x:v>
      </x:c>
      <x:c r="C18" s="17" t="n">
        <x:v>34.37428683208703</x:v>
      </x:c>
      <x:c r="D18" s="15" t="str">
        <x:v>(下界,上界]</x:v>
      </x:c>
      <x:c r="E18" s="15" t="n">
        <x:v>22</x:v>
      </x:c>
      <x:c r="F18" s="41" t="n">
        <x:v>76.17564414674078</x:v>
      </x:c>
      <x:c r="G18" s="43" t="n">
        <x:v>40490.40112284116</x:v>
      </x:c>
      <x:c r="H18" s="41" t="n">
        <x:f>G18/3600</x:f>
        <x:v>11.247333645233656</x:v>
      </x:c>
      <x:c r="I18" s="15" t="str">
        <x:v>0 / 9 / 13</x:v>
      </x:c>
      <x:c r="J18" s="17" t="n">
        <x:v>34.37428683208703</x:v>
      </x:c>
      <x:c r="K18" s="2"/>
      <x:c r="L18" s="2"/>
      <x:c r="M18" s="2"/>
    </x:row>
    <x:row r="19" ht="27" customHeight="1">
      <x:c r="A19" s="2" t="str">
        <x:v>R015</x:v>
      </x:c>
      <x:c r="B19" s="14" t="n">
        <x:v>34.37428683208703</x:v>
      </x:c>
      <x:c r="C19" s="14" t="n">
        <x:v>34.390361769385734</x:v>
      </x:c>
      <x:c r="D19" s="2" t="str">
        <x:v>(下界,上界]</x:v>
      </x:c>
      <x:c r="E19" s="2" t="n">
        <x:v>23</x:v>
      </x:c>
      <x:c r="F19" s="40" t="n">
        <x:v>76.003313418332</x:v>
      </x:c>
      <x:c r="G19" s="42" t="n">
        <x:v>42164.62973077376</x:v>
      </x:c>
      <x:c r="H19" s="40" t="n">
        <x:f>G19/3600</x:f>
        <x:v>11.712397147437157</x:v>
      </x:c>
      <x:c r="I19" s="2" t="str">
        <x:v>0 / 11 / 12</x:v>
      </x:c>
      <x:c r="J19" s="14" t="n">
        <x:v>34.390361769385734</x:v>
      </x:c>
      <x:c r="K19" s="2"/>
      <x:c r="L19" s="2"/>
      <x:c r="M19" s="2"/>
    </x:row>
    <x:row r="20" ht="27" customHeight="1">
      <x:c r="A20" s="15" t="str">
        <x:v>R016</x:v>
      </x:c>
      <x:c r="B20" s="17" t="n">
        <x:v>34.390361769385734</x:v>
      </x:c>
      <x:c r="C20" s="17" t="n">
        <x:v>34.77774518918476</x:v>
      </x:c>
      <x:c r="D20" s="15" t="str">
        <x:v>(下界,上界]</x:v>
      </x:c>
      <x:c r="E20" s="15" t="n">
        <x:v>24</x:v>
      </x:c>
      <x:c r="F20" s="41" t="n">
        <x:v>75.8637037342195</x:v>
      </x:c>
      <x:c r="G20" s="43" t="n">
        <x:v>43702.23572736472</x:v>
      </x:c>
      <x:c r="H20" s="41" t="n">
        <x:f>G20/3600</x:f>
        <x:v>12.139509924267978</x:v>
      </x:c>
      <x:c r="I20" s="15" t="str">
        <x:v>0 / 13 / 11</x:v>
      </x:c>
      <x:c r="J20" s="17" t="n">
        <x:v>34.77774518918476</x:v>
      </x:c>
      <x:c r="K20" s="2"/>
      <x:c r="L20" s="2"/>
      <x:c r="M20" s="2"/>
    </x:row>
    <x:row r="21" ht="27" customHeight="1">
      <x:c r="A21" s="2" t="str">
        <x:v>R017</x:v>
      </x:c>
      <x:c r="B21" s="14" t="n">
        <x:v>34.77774518918476</x:v>
      </x:c>
      <x:c r="C21" s="14" t="n">
        <x:v>35.11850882805334</x:v>
      </x:c>
      <x:c r="D21" s="2" t="str">
        <x:v>(下界,上界]</x:v>
      </x:c>
      <x:c r="E21" s="2" t="n">
        <x:v>25</x:v>
      </x:c>
      <x:c r="F21" s="40" t="n">
        <x:v>75.60892914897875</x:v>
      </x:c>
      <x:c r="G21" s="42" t="n">
        <x:v>45384.20769711529</x:v>
      </x:c>
      <x:c r="H21" s="40" t="n">
        <x:f>G21/3600</x:f>
        <x:v>12.606724360309803</x:v>
      </x:c>
      <x:c r="I21" s="2" t="str">
        <x:v>0 / 15 / 10</x:v>
      </x:c>
      <x:c r="J21" s="14" t="n">
        <x:v>35.11850882805334</x:v>
      </x:c>
      <x:c r="K21" s="2"/>
      <x:c r="L21" s="2"/>
      <x:c r="M21" s="2"/>
    </x:row>
    <x:row r="22" ht="27" customHeight="1">
      <x:c r="A22" s="15" t="str">
        <x:v>R018</x:v>
      </x:c>
      <x:c r="B22" s="17" t="n">
        <x:v>35.11850882805334</x:v>
      </x:c>
      <x:c r="C22" s="17" t="n">
        <x:v>35.266593693194835</x:v>
      </x:c>
      <x:c r="D22" s="15" t="str">
        <x:v>(下界,上界]</x:v>
      </x:c>
      <x:c r="E22" s="15" t="n">
        <x:v>25</x:v>
      </x:c>
      <x:c r="F22" s="41" t="n">
        <x:v>78.03068486372133</x:v>
      </x:c>
      <x:c r="G22" s="43" t="n">
        <x:v>45505.620752535215</x:v>
      </x:c>
      <x:c r="H22" s="41" t="n">
        <x:f>G22/3600</x:f>
        <x:v>12.64045020903756</x:v>
      </x:c>
      <x:c r="I22" s="15" t="str">
        <x:v>0 / 14 / 11</x:v>
      </x:c>
      <x:c r="J22" s="17" t="n">
        <x:v>35.266593693194835</x:v>
      </x:c>
      <x:c r="K22" s="2"/>
      <x:c r="L22" s="2"/>
      <x:c r="M22" s="2"/>
    </x:row>
    <x:row r="23" ht="27" customHeight="1">
      <x:c r="A23" s="2" t="str">
        <x:v>R019</x:v>
      </x:c>
      <x:c r="B23" s="14" t="n">
        <x:v>35.266593693194835</x:v>
      </x:c>
      <x:c r="C23" s="14" t="n">
        <x:v>35.26764734919061</x:v>
      </x:c>
      <x:c r="D23" s="2" t="str">
        <x:v>(下界,上界]</x:v>
      </x:c>
      <x:c r="E23" s="2" t="n">
        <x:v>25</x:v>
      </x:c>
      <x:c r="F23" s="40" t="n">
        <x:v>83.20918878330642</x:v>
      </x:c>
      <x:c r="G23" s="42" t="n">
        <x:v>45693.360307385476</x:v>
      </x:c>
      <x:c r="H23" s="40" t="n">
        <x:f>G23/3600</x:f>
        <x:v>12.692600085384854</x:v>
      </x:c>
      <x:c r="I23" s="2" t="str">
        <x:v>0 / 12 / 13</x:v>
      </x:c>
      <x:c r="J23" s="14" t="n">
        <x:v>35.26764734919061</x:v>
      </x:c>
      <x:c r="K23" s="2"/>
      <x:c r="L23" s="2"/>
      <x:c r="M23" s="2"/>
    </x:row>
    <x:row r="24" ht="27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8" customHeight="1">
      <x:c r="A25" s="12" t="str">
        <x:v>rho &gt; 35.267647349191%时全任务不可行；因此不填写架次数、能耗或时间。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32" customHeight="1">
      <x:c r="A27" s="3" t="str">
        <x:v>跨越临界值后具体改变的组批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44" customHeight="1">
      <x:c r="A29" s="8" t="str">
        <x:v>临界余量（%）</x:v>
      </x:c>
      <x:c r="B29" s="9" t="str">
        <x:v>等号处方案</x:v>
      </x:c>
      <x:c r="C29" s="9" t="str">
        <x:v>刚超过后方案</x:v>
      </x:c>
      <x:c r="D29" s="9" t="str">
        <x:v>改变服务区</x:v>
      </x:c>
      <x:c r="E29" s="9" t="str">
        <x:v>原组批：机型[MED/WAT/FOD/HYG]</x:v>
      </x:c>
      <x:c r="F29" s="9"/>
      <x:c r="G29" s="9"/>
      <x:c r="H29" s="9" t="str">
        <x:v>新组批：机型[MED/WAT/FOD/HYG]</x:v>
      </x:c>
      <x:c r="I29" s="9"/>
      <x:c r="J29" s="9"/>
      <x:c r="K29" s="9" t="str">
        <x:v>架次数差</x:v>
      </x:c>
      <x:c r="L29" s="9" t="str">
        <x:v>能耗差（kWh）</x:v>
      </x:c>
      <x:c r="M29" s="10" t="str">
        <x:v>作业时间差（s）</x:v>
      </x:c>
    </x:row>
    <x:row r="30" ht="50" customHeight="1">
      <x:c r="A30" s="14" t="n">
        <x:v>23.089248385317727</x:v>
      </x:c>
      <x:c r="B30" s="2" t="str">
        <x:v>R001</x:v>
      </x:c>
      <x:c r="C30" s="2" t="str">
        <x:v>R002</x:v>
      </x:c>
      <x:c r="D30" s="2" t="str">
        <x:v>S004</x:v>
      </x:c>
      <x:c r="E30" s="13" t="str">
        <x:v>S004: C[1/3/1/1]</x:v>
      </x:c>
      <x:c r="F30" s="13"/>
      <x:c r="G30" s="13"/>
      <x:c r="H30" s="13" t="str">
        <x:v>S004: B[1/1/0/0] + C[0/2/1/1]</x:v>
      </x:c>
      <x:c r="I30" s="13"/>
      <x:c r="J30" s="13"/>
      <x:c r="K30" s="2" t="n">
        <x:f>E6-E5</x:f>
        <x:v>1</x:v>
      </x:c>
      <x:c r="L30" s="40" t="n">
        <x:f>F6-F5</x:f>
        <x:v>1.9420508315853056</x:v>
      </x:c>
      <x:c r="M30" s="42" t="n">
        <x:f>G6-G5</x:f>
        <x:v>1789.6416633525296</x:v>
      </x:c>
    </x:row>
    <x:row r="31" ht="50" customHeight="1">
      <x:c r="A31" s="17" t="n">
        <x:v>27.04974165042051</x:v>
      </x:c>
      <x:c r="B31" s="15" t="str">
        <x:v>R002</x:v>
      </x:c>
      <x:c r="C31" s="15" t="str">
        <x:v>R003</x:v>
      </x:c>
      <x:c r="D31" s="15" t="str">
        <x:v>S008</x:v>
      </x:c>
      <x:c r="E31" s="16" t="str">
        <x:v>S008: C[1/2/1/1]</x:v>
      </x:c>
      <x:c r="F31" s="16"/>
      <x:c r="G31" s="16"/>
      <x:c r="H31" s="16" t="str">
        <x:v>S008: B[0/0/1/1] + C[1/2/0/0]</x:v>
      </x:c>
      <x:c r="I31" s="16"/>
      <x:c r="J31" s="16"/>
      <x:c r="K31" s="15" t="n">
        <x:f>E7-E6</x:f>
        <x:v>1</x:v>
      </x:c>
      <x:c r="L31" s="41" t="n">
        <x:f>F7-F6</x:f>
        <x:v>2.216740515457701</x:v>
      </x:c>
      <x:c r="M31" s="43" t="n">
        <x:f>G7-G6</x:f>
        <x:v>1769.8417471756984</x:v>
      </x:c>
    </x:row>
    <x:row r="32" ht="50" customHeight="1">
      <x:c r="A32" s="14" t="n">
        <x:v>27.93294131270203</x:v>
      </x:c>
      <x:c r="B32" s="2" t="str">
        <x:v>R003</x:v>
      </x:c>
      <x:c r="C32" s="2" t="str">
        <x:v>R004</x:v>
      </x:c>
      <x:c r="D32" s="2" t="str">
        <x:v>S003</x:v>
      </x:c>
      <x:c r="E32" s="13" t="str">
        <x:v>S003: B[1/1/1/0] + C[0/3/1/1]</x:v>
      </x:c>
      <x:c r="F32" s="13"/>
      <x:c r="G32" s="13"/>
      <x:c r="H32" s="13" t="str">
        <x:v>S003: C[0/2/1/1] + C[1/2/1/0]</x:v>
      </x:c>
      <x:c r="I32" s="13"/>
      <x:c r="J32" s="13"/>
      <x:c r="K32" s="2" t="n">
        <x:f>E8-E7</x:f>
        <x:v>0</x:v>
      </x:c>
      <x:c r="L32" s="40" t="n">
        <x:f>F8-F7</x:f>
        <x:v>1.9526947056527106</x:v>
      </x:c>
      <x:c r="M32" s="42" t="n">
        <x:f>G8-G7</x:f>
        <x:v>157.5680460611984</x:v>
      </x:c>
    </x:row>
    <x:row r="33" ht="50" customHeight="1">
      <x:c r="A33" s="17" t="n">
        <x:v>28.48304745067569</x:v>
      </x:c>
      <x:c r="B33" s="15" t="str">
        <x:v>R004</x:v>
      </x:c>
      <x:c r="C33" s="15" t="str">
        <x:v>R005</x:v>
      </x:c>
      <x:c r="D33" s="15" t="str">
        <x:v>S002</x:v>
      </x:c>
      <x:c r="E33" s="16" t="str">
        <x:v>S002: B[1/1/1/0] + C[0/3/1/1]</x:v>
      </x:c>
      <x:c r="F33" s="16"/>
      <x:c r="G33" s="16"/>
      <x:c r="H33" s="16" t="str">
        <x:v>S002: C[0/2/1/1] + C[1/2/1/0]</x:v>
      </x:c>
      <x:c r="I33" s="16"/>
      <x:c r="J33" s="16"/>
      <x:c r="K33" s="15" t="n">
        <x:f>E9-E8</x:f>
        <x:v>0</x:v>
      </x:c>
      <x:c r="L33" s="41" t="n">
        <x:f>F9-F8</x:f>
        <x:v>1.9849851449347113</x:v>
      </x:c>
      <x:c r="M33" s="43" t="n">
        <x:f>G9-G8</x:f>
        <x:v>93.11808471679979</x:v>
      </x:c>
    </x:row>
    <x:row r="34" ht="50" customHeight="1">
      <x:c r="A34" s="14" t="n">
        <x:v>31.019547278321667</x:v>
      </x:c>
      <x:c r="B34" s="2" t="str">
        <x:v>R005</x:v>
      </x:c>
      <x:c r="C34" s="2" t="str">
        <x:v>R006</x:v>
      </x:c>
      <x:c r="D34" s="2" t="str">
        <x:v>S004</x:v>
      </x:c>
      <x:c r="E34" s="13" t="str">
        <x:v>S004: B[1/1/0/0] + C[0/2/1/1]</x:v>
      </x:c>
      <x:c r="F34" s="13"/>
      <x:c r="G34" s="13"/>
      <x:c r="H34" s="13" t="str">
        <x:v>S004: B[0/1/0/1] + C[1/2/1/0]</x:v>
      </x:c>
      <x:c r="I34" s="13"/>
      <x:c r="J34" s="13"/>
      <x:c r="K34" s="2" t="n">
        <x:f>E10-E9</x:f>
        <x:v>0</x:v>
      </x:c>
      <x:c r="L34" s="40" t="n">
        <x:f>F10-F9</x:f>
        <x:v>0.010008559239864212</x:v>
      </x:c>
      <x:c r="M34" s="42" t="n">
        <x:f>G10-G9</x:f>
        <x:v>0</x:v>
      </x:c>
    </x:row>
    <x:row r="35" ht="50" customHeight="1">
      <x:c r="A35" s="17" t="n">
        <x:v>31.185001142751688</x:v>
      </x:c>
      <x:c r="B35" s="15" t="str">
        <x:v>R006</x:v>
      </x:c>
      <x:c r="C35" s="15" t="str">
        <x:v>R007</x:v>
      </x:c>
      <x:c r="D35" s="15" t="str">
        <x:v>S012</x:v>
      </x:c>
      <x:c r="E35" s="16" t="str">
        <x:v>S012: B[1/1/1/0]</x:v>
      </x:c>
      <x:c r="F35" s="16"/>
      <x:c r="G35" s="16"/>
      <x:c r="H35" s="16" t="str">
        <x:v>S012: C[1/1/1/0]</x:v>
      </x:c>
      <x:c r="I35" s="16"/>
      <x:c r="J35" s="16"/>
      <x:c r="K35" s="15" t="n">
        <x:f>E11-E10</x:f>
        <x:v>0</x:v>
      </x:c>
      <x:c r="L35" s="41" t="n">
        <x:f>F11-F10</x:f>
        <x:v>2.1697795257688597</x:v>
      </x:c>
      <x:c r="M35" s="43" t="n">
        <x:f>G11-G10</x:f>
        <x:v>117.85033162434411</x:v>
      </x:c>
    </x:row>
    <x:row r="36" ht="50" customHeight="1">
      <x:c r="A36" s="14" t="n">
        <x:v>31.707188360601833</x:v>
      </x:c>
      <x:c r="B36" s="2" t="str">
        <x:v>R007</x:v>
      </x:c>
      <x:c r="C36" s="2" t="str">
        <x:v>R008</x:v>
      </x:c>
      <x:c r="D36" s="2" t="str">
        <x:v>S008</x:v>
      </x:c>
      <x:c r="E36" s="13" t="str">
        <x:v>S008: B[0/0/1/1] + C[1/2/0/0]</x:v>
      </x:c>
      <x:c r="F36" s="13"/>
      <x:c r="G36" s="13"/>
      <x:c r="H36" s="13" t="str">
        <x:v>S008: B[1/1/0/0] + C[0/1/1/1]</x:v>
      </x:c>
      <x:c r="I36" s="13"/>
      <x:c r="J36" s="13"/>
      <x:c r="K36" s="2" t="n">
        <x:f>E12-E11</x:f>
        <x:v>0</x:v>
      </x:c>
      <x:c r="L36" s="40" t="n">
        <x:f>F12-F11</x:f>
        <x:v>0.016426353769077195</x:v>
      </x:c>
      <x:c r="M36" s="42" t="n">
        <x:f>G12-G11</x:f>
        <x:v>0</x:v>
      </x:c>
    </x:row>
    <x:row r="37" ht="50" customHeight="1">
      <x:c r="A37" s="17" t="n">
        <x:v>32.04250135030689</x:v>
      </x:c>
      <x:c r="B37" s="15" t="str">
        <x:v>R008</x:v>
      </x:c>
      <x:c r="C37" s="15" t="str">
        <x:v>R009</x:v>
      </x:c>
      <x:c r="D37" s="15" t="str">
        <x:v>S004</x:v>
      </x:c>
      <x:c r="E37" s="16" t="str">
        <x:v>S004: B[0/1/0/1] + C[1/2/1/0]</x:v>
      </x:c>
      <x:c r="F37" s="16"/>
      <x:c r="G37" s="16"/>
      <x:c r="H37" s="16" t="str">
        <x:v>S004: C[0/1/1/1] + C[1/2/0/0]</x:v>
      </x:c>
      <x:c r="I37" s="16"/>
      <x:c r="J37" s="16"/>
      <x:c r="K37" s="15" t="n">
        <x:f>E13-E12</x:f>
        <x:v>0</x:v>
      </x:c>
      <x:c r="L37" s="41" t="n">
        <x:f>F13-F12</x:f>
        <x:v>2.335656827189027</x:v>
      </x:c>
      <x:c r="M37" s="43" t="n">
        <x:f>G13-G12</x:f>
        <x:v>115.41305541992188</x:v>
      </x:c>
    </x:row>
    <x:row r="38" ht="50" customHeight="1">
      <x:c r="A38" s="14" t="n">
        <x:v>32.481159227475295</x:v>
      </x:c>
      <x:c r="B38" s="2" t="str">
        <x:v>R009</x:v>
      </x:c>
      <x:c r="C38" s="2" t="str">
        <x:v>R010</x:v>
      </x:c>
      <x:c r="D38" s="2" t="str">
        <x:v>S008</x:v>
      </x:c>
      <x:c r="E38" s="13" t="str">
        <x:v>S008: B[1/1/0/0] + C[0/1/1/1]</x:v>
      </x:c>
      <x:c r="F38" s="13"/>
      <x:c r="G38" s="13"/>
      <x:c r="H38" s="13" t="str">
        <x:v>S008: C[0/1/1/0] + C[1/1/0/1]</x:v>
      </x:c>
      <x:c r="I38" s="13"/>
      <x:c r="J38" s="13"/>
      <x:c r="K38" s="2" t="n">
        <x:f>E14-E13</x:f>
        <x:v>0</x:v>
      </x:c>
      <x:c r="L38" s="40" t="n">
        <x:f>F14-F13</x:f>
        <x:v>2.5340407811325463</x:v>
      </x:c>
      <x:c r="M38" s="42" t="n">
        <x:f>G14-G13</x:f>
        <x:v>99.86977742513409</x:v>
      </x:c>
    </x:row>
    <x:row r="39" ht="50" customHeight="1">
      <x:c r="A39" s="17" t="n">
        <x:v>33.625670586616486</x:v>
      </x:c>
      <x:c r="B39" s="15" t="str">
        <x:v>R010</x:v>
      </x:c>
      <x:c r="C39" s="15" t="str">
        <x:v>R011</x:v>
      </x:c>
      <x:c r="D39" s="15" t="str">
        <x:v>S008</x:v>
      </x:c>
      <x:c r="E39" s="16" t="str">
        <x:v>S008: C[0/1/1/0] + C[1/1/0/1]</x:v>
      </x:c>
      <x:c r="F39" s="16"/>
      <x:c r="G39" s="16"/>
      <x:c r="H39" s="16" t="str">
        <x:v>S008: B[0/1/0/0] + B[1/0/0/1] + C[0/1/1/0]</x:v>
      </x:c>
      <x:c r="I39" s="16"/>
      <x:c r="J39" s="16"/>
      <x:c r="K39" s="15" t="n">
        <x:f>E15-E14</x:f>
        <x:v>1</x:v>
      </x:c>
      <x:c r="L39" s="41" t="n">
        <x:f>F15-F14</x:f>
        <x:v>-0.2311193659335231</x:v>
      </x:c>
      <x:c r="M39" s="43" t="n">
        <x:f>G15-G14</x:f>
        <x:v>1675.9719697505716</x:v>
      </x:c>
    </x:row>
    <x:row r="40" ht="50" customHeight="1">
      <x:c r="A40" s="14" t="n">
        <x:v>33.83397543431236</x:v>
      </x:c>
      <x:c r="B40" s="2" t="str">
        <x:v>R011</x:v>
      </x:c>
      <x:c r="C40" s="2" t="str">
        <x:v>R012</x:v>
      </x:c>
      <x:c r="D40" s="2" t="str">
        <x:v>S008</x:v>
      </x:c>
      <x:c r="E40" s="13" t="str">
        <x:v>S008: B[0/1/0/0] + B[1/0/0/1] + C[0/1/1/0]</x:v>
      </x:c>
      <x:c r="F40" s="13"/>
      <x:c r="G40" s="13"/>
      <x:c r="H40" s="13" t="str">
        <x:v>S008: B[0/1/0/0] + B[1/0/1/0] + C[0/1/0/1]</x:v>
      </x:c>
      <x:c r="I40" s="13"/>
      <x:c r="J40" s="13"/>
      <x:c r="K40" s="2" t="n">
        <x:f>E16-E15</x:f>
        <x:v>0</x:v>
      </x:c>
      <x:c r="L40" s="40" t="n">
        <x:f>F16-F15</x:f>
        <x:v>0.004045894522690219</x:v>
      </x:c>
      <x:c r="M40" s="42" t="n">
        <x:f>G16-G15</x:f>
        <x:v>0</x:v>
      </x:c>
    </x:row>
    <x:row r="41" ht="50" customHeight="1">
      <x:c r="A41" s="17" t="n">
        <x:v>33.892330509767845</x:v>
      </x:c>
      <x:c r="B41" s="15" t="str">
        <x:v>R012</x:v>
      </x:c>
      <x:c r="C41" s="15" t="str">
        <x:v>R013</x:v>
      </x:c>
      <x:c r="D41" s="15" t="str">
        <x:v>S003</x:v>
      </x:c>
      <x:c r="E41" s="16" t="str">
        <x:v>S003: C[0/2/1/1] + C[1/2/1/0]</x:v>
      </x:c>
      <x:c r="F41" s="16"/>
      <x:c r="G41" s="16"/>
      <x:c r="H41" s="16" t="str">
        <x:v>S003: B[0/1/0/0] + C[0/2/0/1] + C[1/1/2/0]</x:v>
      </x:c>
      <x:c r="I41" s="16"/>
      <x:c r="J41" s="16"/>
      <x:c r="K41" s="15" t="n">
        <x:f>E17-E16</x:f>
        <x:v>1</x:v>
      </x:c>
      <x:c r="L41" s="41" t="n">
        <x:f>F17-F16</x:f>
        <x:v>2.0877760049342697</x:v>
      </x:c>
      <x:c r="M41" s="43" t="n">
        <x:f>G17-G16</x:f>
        <x:v>1894.6096650380641</x:v>
      </x:c>
    </x:row>
    <x:row r="42" ht="50" customHeight="1">
      <x:c r="A42" s="14" t="n">
        <x:v>34.23082016410171</x:v>
      </x:c>
      <x:c r="B42" s="2" t="str">
        <x:v>R013</x:v>
      </x:c>
      <x:c r="C42" s="2" t="str">
        <x:v>R014</x:v>
      </x:c>
      <x:c r="D42" s="2" t="str">
        <x:v>S008</x:v>
      </x:c>
      <x:c r="E42" s="13" t="str">
        <x:v>S008: B[0/1/0/0] + B[1/0/1/0] + C[0/1/0/1]</x:v>
      </x:c>
      <x:c r="F42" s="13"/>
      <x:c r="G42" s="13"/>
      <x:c r="H42" s="13" t="str">
        <x:v>S008: B[0/0/1/1] + B[0/1/0/0] + C[1/1/0/0]</x:v>
      </x:c>
      <x:c r="I42" s="13"/>
      <x:c r="J42" s="13"/>
      <x:c r="K42" s="2" t="n">
        <x:f>E18-E17</x:f>
        <x:v>0</x:v>
      </x:c>
      <x:c r="L42" s="40" t="n">
        <x:f>F18-F17</x:f>
        <x:v>0.020298042494772517</x:v>
      </x:c>
      <x:c r="M42" s="42" t="n">
        <x:f>G18-G17</x:f>
        <x:v>0</x:v>
      </x:c>
    </x:row>
    <x:row r="43" ht="50" customHeight="1">
      <x:c r="A43" s="17" t="n">
        <x:v>34.37428683208703</x:v>
      </x:c>
      <x:c r="B43" s="15" t="str">
        <x:v>R014</x:v>
      </x:c>
      <x:c r="C43" s="15" t="str">
        <x:v>R015</x:v>
      </x:c>
      <x:c r="D43" s="15" t="str">
        <x:v>S004</x:v>
      </x:c>
      <x:c r="E43" s="16" t="str">
        <x:v>S004: C[0/1/1/1] + C[1/2/0/0]</x:v>
      </x:c>
      <x:c r="F43" s="16"/>
      <x:c r="G43" s="16"/>
      <x:c r="H43" s="16" t="str">
        <x:v>S004: B[0/0/1/1] + B[1/1/0/0] + C[0/2/0/0]</x:v>
      </x:c>
      <x:c r="I43" s="16"/>
      <x:c r="J43" s="16"/>
      <x:c r="K43" s="15" t="n">
        <x:f>E19-E18</x:f>
        <x:v>1</x:v>
      </x:c>
      <x:c r="L43" s="41" t="n">
        <x:f>F19-F18</x:f>
        <x:v>-0.17233072840878094</x:v>
      </x:c>
      <x:c r="M43" s="43" t="n">
        <x:f>G19-G18</x:f>
        <x:v>1674.2286079326004</x:v>
      </x:c>
    </x:row>
    <x:row r="44" ht="50" customHeight="1">
      <x:c r="A44" s="14" t="n">
        <x:v>34.390361769385734</x:v>
      </x:c>
      <x:c r="B44" s="2" t="str">
        <x:v>R015</x:v>
      </x:c>
      <x:c r="C44" s="2" t="str">
        <x:v>R016</x:v>
      </x:c>
      <x:c r="D44" s="2" t="str">
        <x:v>S002</x:v>
      </x:c>
      <x:c r="E44" s="13" t="str">
        <x:v>S002: C[0/2/1/1] + C[1/2/1/0]</x:v>
      </x:c>
      <x:c r="F44" s="13"/>
      <x:c r="G44" s="13"/>
      <x:c r="H44" s="13" t="str">
        <x:v>S002: B[0/1/0/1] + B[0/1/1/0] + C[1/2/1/0]</x:v>
      </x:c>
      <x:c r="I44" s="13"/>
      <x:c r="J44" s="13"/>
      <x:c r="K44" s="2" t="n">
        <x:f>E20-E19</x:f>
        <x:v>1</x:v>
      </x:c>
      <x:c r="L44" s="40" t="n">
        <x:f>F20-F19</x:f>
        <x:v>-0.13960968411250008</x:v>
      </x:c>
      <x:c r="M44" s="42" t="n">
        <x:f>G20-G19</x:f>
        <x:v>1537.605996590959</x:v>
      </x:c>
    </x:row>
    <x:row r="45" ht="50" customHeight="1">
      <x:c r="A45" s="17" t="n">
        <x:v>34.77774518918476</x:v>
      </x:c>
      <x:c r="B45" s="15" t="str">
        <x:v>R016</x:v>
      </x:c>
      <x:c r="C45" s="15" t="str">
        <x:v>R017</x:v>
      </x:c>
      <x:c r="D45" s="15" t="str">
        <x:v>S008</x:v>
      </x:c>
      <x:c r="E45" s="16" t="str">
        <x:v>S008: B[0/0/1/1] + B[0/1/0/0] + C[1/1/0/0]</x:v>
      </x:c>
      <x:c r="F45" s="16"/>
      <x:c r="G45" s="16"/>
      <x:c r="H45" s="16" t="str">
        <x:v>S008: B[0/0/1/0] + B[0/1/0/0] + B[0/1/0/0] + B[1/0/0/1]</x:v>
      </x:c>
      <x:c r="I45" s="16"/>
      <x:c r="J45" s="16"/>
      <x:c r="K45" s="15" t="n">
        <x:f>E21-E20</x:f>
        <x:v>1</x:v>
      </x:c>
      <x:c r="L45" s="41" t="n">
        <x:f>F21-F20</x:f>
        <x:v>-0.254774585240753</x:v>
      </x:c>
      <x:c r="M45" s="43" t="n">
        <x:f>G21-G20</x:f>
        <x:v>1681.9719697505716</x:v>
      </x:c>
    </x:row>
    <x:row r="46" ht="50" customHeight="1">
      <x:c r="A46" s="14" t="n">
        <x:v>35.11850882805334</x:v>
      </x:c>
      <x:c r="B46" s="2" t="str">
        <x:v>R017</x:v>
      </x:c>
      <x:c r="C46" s="2" t="str">
        <x:v>R018</x:v>
      </x:c>
      <x:c r="D46" s="2" t="str">
        <x:v>S004</x:v>
      </x:c>
      <x:c r="E46" s="13" t="str">
        <x:v>S004: B[0/0/1/1] + B[1/1/0/0] + C[0/2/0/0]</x:v>
      </x:c>
      <x:c r="F46" s="13"/>
      <x:c r="G46" s="13"/>
      <x:c r="H46" s="13" t="str">
        <x:v>S004: B[0/1/0/0] + C[0/1/1/0] + C[1/1/0/1]</x:v>
      </x:c>
      <x:c r="I46" s="13"/>
      <x:c r="J46" s="13"/>
      <x:c r="K46" s="2" t="n">
        <x:f>E22-E21</x:f>
        <x:v>0</x:v>
      </x:c>
      <x:c r="L46" s="40" t="n">
        <x:f>F22-F21</x:f>
        <x:v>2.421755714742588</x:v>
      </x:c>
      <x:c r="M46" s="42" t="n">
        <x:f>G22-G21</x:f>
        <x:v>121.41305541992188</x:v>
      </x:c>
    </x:row>
    <x:row r="47" ht="50" customHeight="1">
      <x:c r="A47" s="17" t="n">
        <x:v>35.266593693194835</x:v>
      </x:c>
      <x:c r="B47" s="15" t="str">
        <x:v>R018</x:v>
      </x:c>
      <x:c r="C47" s="15" t="str">
        <x:v>R019</x:v>
      </x:c>
      <x:c r="D47" s="15" t="str">
        <x:v>S008</x:v>
      </x:c>
      <x:c r="E47" s="16" t="str">
        <x:v>S008: B[0/0/1/0] + B[0/1/0/0] + B[0/1/0/0] + B[1/0/0/1]</x:v>
      </x:c>
      <x:c r="F47" s="16"/>
      <x:c r="G47" s="16"/>
      <x:c r="H47" s="16" t="str">
        <x:v>S008: B[0/0/1/0] + B[1/0/0/1] + C[0/1/0/0] + C[0/1/0/0]</x:v>
      </x:c>
      <x:c r="I47" s="16"/>
      <x:c r="J47" s="16"/>
      <x:c r="K47" s="15" t="n">
        <x:f>E23-E22</x:f>
        <x:v>0</x:v>
      </x:c>
      <x:c r="L47" s="41" t="n">
        <x:f>F23-F22</x:f>
        <x:v>5.178503919585083</x:v>
      </x:c>
      <x:c r="M47" s="43" t="n">
        <x:f>G23-G22</x:f>
        <x:v>187.7395548502609</x:v>
      </x:c>
    </x:row>
    <x:row r="48" ht="27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7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</x:sheetData>
  <x:mergeCells>
    <x:mergeCell ref="E29:G29"/>
    <x:mergeCell ref="H29:J29"/>
    <x:mergeCell ref="E30:G30"/>
    <x:mergeCell ref="H30:J30"/>
    <x:mergeCell ref="E31:G31"/>
    <x:mergeCell ref="H31:J31"/>
    <x:mergeCell ref="E32:G32"/>
    <x:mergeCell ref="H32:J32"/>
    <x:mergeCell ref="E33:G33"/>
    <x:mergeCell ref="H33:J33"/>
    <x:mergeCell ref="E34:G34"/>
    <x:mergeCell ref="H34:J34"/>
    <x:mergeCell ref="E35:G35"/>
    <x:mergeCell ref="H35:J35"/>
    <x:mergeCell ref="E36:G36"/>
    <x:mergeCell ref="H36:J36"/>
    <x:mergeCell ref="E37:G37"/>
    <x:mergeCell ref="H37:J37"/>
    <x:mergeCell ref="E38:G38"/>
    <x:mergeCell ref="H38:J38"/>
    <x:mergeCell ref="E39:G39"/>
    <x:mergeCell ref="H39:J39"/>
    <x:mergeCell ref="E40:G40"/>
    <x:mergeCell ref="H40:J40"/>
    <x:mergeCell ref="E41:G41"/>
    <x:mergeCell ref="H41:J41"/>
    <x:mergeCell ref="E42:G42"/>
    <x:mergeCell ref="H42:J42"/>
    <x:mergeCell ref="E43:G43"/>
    <x:mergeCell ref="H43:J43"/>
    <x:mergeCell ref="E44:G44"/>
    <x:mergeCell ref="H44:J44"/>
    <x:mergeCell ref="E45:G45"/>
    <x:mergeCell ref="H45:J45"/>
    <x:mergeCell ref="E46:G46"/>
    <x:mergeCell ref="H46:J46"/>
    <x:mergeCell ref="E47:G47"/>
    <x:mergeCell ref="H47:J4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1.25" hidden="0" customWidth="1"/>
    <x:col min="2" max="2" width="13.75" hidden="0" customWidth="1"/>
    <x:col min="3" max="3" width="14" hidden="0" customWidth="1"/>
    <x:col min="4" max="4" width="11" hidden="0" customWidth="1"/>
    <x:col min="5" max="5" width="8.5" hidden="0" customWidth="1"/>
    <x:col min="6" max="6" width="56" hidden="0" customWidth="1"/>
    <x:col min="7" max="7" width="13.130000114440918" hidden="0" customWidth="1"/>
    <x:col min="8" max="8" width="13.25" hidden="0" customWidth="1"/>
    <x:col min="9" max="9" width="15" hidden="0" customWidth="1"/>
    <x:col min="10" max="10" width="16" hidden="0" customWidth="1"/>
    <x:col min="11" max="11" width="16.75" hidden="0" customWidth="1"/>
    <x:col min="12" max="12" width="15" hidden="0" customWidth="1"/>
    <x:col min="13" max="13" width="14.75" hidden="0" customWidth="1"/>
    <x:col min="14" max="14" width="14.380000114440918" hidden="0" customWidth="1"/>
    <x:col min="15" max="15" width="16" hidden="0" customWidth="1"/>
    <x:col min="16" max="16" width="11.75" hidden="0" customWidth="1"/>
  </x:cols>
  <x:sheetData>
    <x:row r="1" ht="32" customHeight="1">
      <x:c r="A1" s="3" t="str">
        <x:v>典型可行情景的完整组批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12" t="str">
        <x:v>只列可行情景；不同情景独立覆盖全部80箱。准备、装载与交接已计入累计作业时间。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8" t="str">
        <x:v>情景ID</x:v>
      </x:c>
      <x:c r="B4" s="9" t="str">
        <x:v>安全余量（%）</x:v>
      </x:c>
      <x:c r="C4" s="9" t="str">
        <x:v>架次编号</x:v>
      </x:c>
      <x:c r="D4" s="9" t="str">
        <x:v>服务区</x:v>
      </x:c>
      <x:c r="E4" s="9" t="str">
        <x:v>机型</x:v>
      </x:c>
      <x:c r="F4" s="9" t="str">
        <x:v>货箱编号列表</x:v>
      </x:c>
      <x:c r="G4" s="9" t="str">
        <x:v>质量（kg）</x:v>
      </x:c>
      <x:c r="H4" s="9" t="str">
        <x:v>体积（m³）</x:v>
      </x:c>
      <x:c r="I4" s="9" t="str">
        <x:v>纯飞行（s）</x:v>
      </x:c>
      <x:c r="J4" s="9" t="str">
        <x:v>能耗（kWh）</x:v>
      </x:c>
      <x:c r="K4" s="9" t="str">
        <x:v>累计作业（s）</x:v>
      </x:c>
      <x:c r="L4" s="9" t="str">
        <x:v>返航SOC（%）</x:v>
      </x:c>
      <x:c r="M4" s="9" t="str">
        <x:v>载荷余量（kg）</x:v>
      </x:c>
      <x:c r="N4" s="9" t="str">
        <x:v>体积余量（m³）</x:v>
      </x:c>
      <x:c r="O4" s="9" t="str">
        <x:v>能量余量（kWh）</x:v>
      </x:c>
      <x:c r="P4" s="10" t="str">
        <x:v>约束检验</x:v>
      </x:c>
    </x:row>
    <x:row r="5" ht="61" customHeight="1">
      <x:c r="A5" s="2" t="str">
        <x:v>SC001</x:v>
      </x:c>
      <x:c r="B5" s="14" t="n">
        <x:v>0</x:v>
      </x:c>
      <x:c r="C5" s="2" t="str">
        <x:v>SC001-001</x:v>
      </x:c>
      <x:c r="D5" s="2" t="str">
        <x:v>S001</x:v>
      </x:c>
      <x:c r="E5" s="2" t="str">
        <x:v>C</x:v>
      </x:c>
      <x:c r="F5" s="13" t="str">
        <x:v>S001-WAT-01; S001-WAT-02; S001-WAT-03; S001-FOD-01; S001-FOD-02; S001-FOD-03; S001-HYG-01; S001-HYG-02</x:v>
      </x:c>
      <x:c r="G5" s="20" t="n">
        <x:v>78</x:v>
      </x:c>
      <x:c r="H5" s="22" t="n">
        <x:v>0.235</x:v>
      </x:c>
      <x:c r="I5" s="20" t="n">
        <x:v>618.1750458620229</x:v>
      </x:c>
      <x:c r="J5" s="24" t="n">
        <x:v>2.9957758049046697</x:v>
      </x:c>
      <x:c r="K5" s="20" t="n">
        <x:v>1626.175045862023</x:v>
      </x:c>
      <x:c r="L5" s="20" t="n">
        <x:f>(1-J5/VLOOKUP(E5,'口径说明'!$A$6:$E$8,4,FALSE))*100</x:f>
        <x:v>62.552802438691636</x:v>
      </x:c>
      <x:c r="M5" s="20" t="n">
        <x:f>VLOOKUP(E5,'口径说明'!$A$6:$E$8,2,FALSE)-G5</x:f>
        <x:v>2</x:v>
      </x:c>
      <x:c r="N5" s="22" t="n">
        <x:f>VLOOKUP(E5,'口径说明'!$A$6:$E$8,3,FALSE)-H5</x:f>
        <x:v>0.015000000000000013</x:v>
      </x:c>
      <x:c r="O5" s="24" t="n">
        <x:f>VLOOKUP(E5,'口径说明'!$A$6:$E$8,4,FALSE)*(1-B5/100)-J5</x:f>
        <x:v>5.004224195095331</x:v>
      </x:c>
      <x:c r="P5" s="26" t="str">
        <x:f>IF(AND(M5&gt;=-0.0000001,N5&gt;=-0.0000001,O5&gt;=-0.0000001),"满足","不满足")</x:f>
        <x:v>满足</x:v>
      </x:c>
    </x:row>
    <x:row r="6" ht="44" customHeight="1">
      <x:c r="A6" s="15" t="str">
        <x:v>SC001</x:v>
      </x:c>
      <x:c r="B6" s="17" t="n">
        <x:v>0</x:v>
      </x:c>
      <x:c r="C6" s="15" t="str">
        <x:v>SC001-002</x:v>
      </x:c>
      <x:c r="D6" s="15" t="str">
        <x:v>S001</x:v>
      </x:c>
      <x:c r="E6" s="15" t="str">
        <x:v>C</x:v>
      </x:c>
      <x:c r="F6" s="16" t="str">
        <x:v>S001-MED-01; S001-MED-02; S001-WAT-04; S001-WAT-05; S001-WAT-06; S001-WAT-07; S001-WAT-08</x:v>
      </x:c>
      <x:c r="G6" s="21" t="n">
        <x:v>76</x:v>
      </x:c>
      <x:c r="H6" s="23" t="n">
        <x:v>0.159</x:v>
      </x:c>
      <x:c r="I6" s="21" t="n">
        <x:v>618.1750458620229</x:v>
      </x:c>
      <x:c r="J6" s="25" t="n">
        <x:v>2.917588095586827</x:v>
      </x:c>
      <x:c r="K6" s="21" t="n">
        <x:v>1560.175045862023</x:v>
      </x:c>
      <x:c r="L6" s="21" t="n">
        <x:f>(1-J6/VLOOKUP(E6,'口径说明'!$A$6:$E$8,4,FALSE))*100</x:f>
        <x:v>63.53014880516466</x:v>
      </x:c>
      <x:c r="M6" s="21" t="n">
        <x:f>VLOOKUP(E6,'口径说明'!$A$6:$E$8,2,FALSE)-G6</x:f>
        <x:v>4</x:v>
      </x:c>
      <x:c r="N6" s="23" t="n">
        <x:f>VLOOKUP(E6,'口径说明'!$A$6:$E$8,3,FALSE)-H6</x:f>
        <x:v>0.091</x:v>
      </x:c>
      <x:c r="O6" s="25" t="n">
        <x:f>VLOOKUP(E6,'口径说明'!$A$6:$E$8,4,FALSE)*(1-B6/100)-J6</x:f>
        <x:v>5.082411904413172</x:v>
      </x:c>
      <x:c r="P6" s="27" t="str">
        <x:f>IF(AND(M6&gt;=-0.0000001,N6&gt;=-0.0000001,O6&gt;=-0.0000001),"满足","不满足")</x:f>
        <x:v>满足</x:v>
      </x:c>
    </x:row>
    <x:row r="7" ht="30" customHeight="1">
      <x:c r="A7" s="2" t="str">
        <x:v>SC001</x:v>
      </x:c>
      <x:c r="B7" s="14" t="n">
        <x:v>0</x:v>
      </x:c>
      <x:c r="C7" s="2" t="str">
        <x:v>SC001-003</x:v>
      </x:c>
      <x:c r="D7" s="2" t="str">
        <x:v>S002</x:v>
      </x:c>
      <x:c r="E7" s="2" t="str">
        <x:v>B</x:v>
      </x:c>
      <x:c r="F7" s="13" t="str">
        <x:v>S002-MED-01; S002-WAT-01; S002-FOD-01</x:v>
      </x:c>
      <x:c r="G7" s="20" t="n">
        <x:v>25</x:v>
      </x:c>
      <x:c r="H7" s="22" t="n">
        <x:v>0.067</x:v>
      </x:c>
      <x:c r="I7" s="20" t="n">
        <x:v>1186.7240813077576</x:v>
      </x:c>
      <x:c r="J7" s="24" t="n">
        <x:v>2.7134729412419873</x:v>
      </x:c>
      <x:c r="K7" s="20" t="n">
        <x:v>1816.7240813077576</x:v>
      </x:c>
      <x:c r="L7" s="20" t="n">
        <x:f>(1-J7/VLOOKUP(E7,'口径说明'!$A$6:$E$8,4,FALSE))*100</x:f>
        <x:v>32.16317646895032</x:v>
      </x:c>
      <x:c r="M7" s="20" t="n">
        <x:f>VLOOKUP(E7,'口径说明'!$A$6:$E$8,2,FALSE)-G7</x:f>
        <x:v>5</x:v>
      </x:c>
      <x:c r="N7" s="22" t="n">
        <x:f>VLOOKUP(E7,'口径说明'!$A$6:$E$8,3,FALSE)-H7</x:f>
        <x:v>0.0059999999999999915</x:v>
      </x:c>
      <x:c r="O7" s="24" t="n">
        <x:f>VLOOKUP(E7,'口径说明'!$A$6:$E$8,4,FALSE)*(1-B7/100)-J7</x:f>
        <x:v>1.2865270587580127</x:v>
      </x:c>
      <x:c r="P7" s="26" t="str">
        <x:f>IF(AND(M7&gt;=-0.0000001,N7&gt;=-0.0000001,O7&gt;=-0.0000001),"满足","不满足")</x:f>
        <x:v>满足</x:v>
      </x:c>
    </x:row>
    <x:row r="8" ht="44" customHeight="1">
      <x:c r="A8" s="15" t="str">
        <x:v>SC001</x:v>
      </x:c>
      <x:c r="B8" s="17" t="n">
        <x:v>0</x:v>
      </x:c>
      <x:c r="C8" s="15" t="str">
        <x:v>SC001-004</x:v>
      </x:c>
      <x:c r="D8" s="15" t="str">
        <x:v>S002</x:v>
      </x:c>
      <x:c r="E8" s="15" t="str">
        <x:v>C</x:v>
      </x:c>
      <x:c r="F8" s="16" t="str">
        <x:v>S002-WAT-02; S002-WAT-03; S002-WAT-04; S002-FOD-02; S002-HYG-01</x:v>
      </x:c>
      <x:c r="G8" s="21" t="n">
        <x:v>56</x:v>
      </x:c>
      <x:c r="H8" s="23" t="n">
        <x:v>0.144</x:v>
      </x:c>
      <x:c r="I8" s="21" t="n">
        <x:v>1231.8421660245544</x:v>
      </x:c>
      <x:c r="J8" s="25" t="n">
        <x:v>5.721356203945945</x:v>
      </x:c>
      <x:c r="K8" s="21" t="n">
        <x:v>2041.8421660245544</x:v>
      </x:c>
      <x:c r="L8" s="21" t="n">
        <x:f>(1-J8/VLOOKUP(E8,'口径说明'!$A$6:$E$8,4,FALSE))*100</x:f>
        <x:v>28.48304745067569</x:v>
      </x:c>
      <x:c r="M8" s="21" t="n">
        <x:f>VLOOKUP(E8,'口径说明'!$A$6:$E$8,2,FALSE)-G8</x:f>
        <x:v>24</x:v>
      </x:c>
      <x:c r="N8" s="23" t="n">
        <x:f>VLOOKUP(E8,'口径说明'!$A$6:$E$8,3,FALSE)-H8</x:f>
        <x:v>0.10600000000000001</x:v>
      </x:c>
      <x:c r="O8" s="25" t="n">
        <x:f>VLOOKUP(E8,'口径说明'!$A$6:$E$8,4,FALSE)*(1-B8/100)-J8</x:f>
        <x:v>2.2786437960540553</x:v>
      </x:c>
      <x:c r="P8" s="27" t="str">
        <x:f>IF(AND(M8&gt;=-0.0000001,N8&gt;=-0.0000001,O8&gt;=-0.0000001),"满足","不满足")</x:f>
        <x:v>满足</x:v>
      </x:c>
    </x:row>
    <x:row r="9" ht="30" customHeight="1">
      <x:c r="A9" s="2" t="str">
        <x:v>SC001</x:v>
      </x:c>
      <x:c r="B9" s="14" t="n">
        <x:v>0</x:v>
      </x:c>
      <x:c r="C9" s="2" t="str">
        <x:v>SC001-005</x:v>
      </x:c>
      <x:c r="D9" s="2" t="str">
        <x:v>S003</x:v>
      </x:c>
      <x:c r="E9" s="2" t="str">
        <x:v>B</x:v>
      </x:c>
      <x:c r="F9" s="13" t="str">
        <x:v>S003-MED-01; S003-WAT-01; S003-FOD-01</x:v>
      </x:c>
      <x:c r="G9" s="20" t="n">
        <x:v>25</x:v>
      </x:c>
      <x:c r="H9" s="22" t="n">
        <x:v>0.067</x:v>
      </x:c>
      <x:c r="I9" s="20" t="n">
        <x:v>1450.6096650380623</x:v>
      </x:c>
      <x:c r="J9" s="24" t="n">
        <x:v>2.7800780342326075</x:v>
      </x:c>
      <x:c r="K9" s="20" t="n">
        <x:v>2080.6096650380623</x:v>
      </x:c>
      <x:c r="L9" s="20" t="n">
        <x:f>(1-J9/VLOOKUP(E9,'口径说明'!$A$6:$E$8,4,FALSE))*100</x:f>
        <x:v>30.49804914418481</x:v>
      </x:c>
      <x:c r="M9" s="20" t="n">
        <x:f>VLOOKUP(E9,'口径说明'!$A$6:$E$8,2,FALSE)-G9</x:f>
        <x:v>5</x:v>
      </x:c>
      <x:c r="N9" s="22" t="n">
        <x:f>VLOOKUP(E9,'口径说明'!$A$6:$E$8,3,FALSE)-H9</x:f>
        <x:v>0.0059999999999999915</x:v>
      </x:c>
      <x:c r="O9" s="24" t="n">
        <x:f>VLOOKUP(E9,'口径说明'!$A$6:$E$8,4,FALSE)*(1-B9/100)-J9</x:f>
        <x:v>1.2199219657673925</x:v>
      </x:c>
      <x:c r="P9" s="26" t="str">
        <x:f>IF(AND(M9&gt;=-0.0000001,N9&gt;=-0.0000001,O9&gt;=-0.0000001),"满足","不满足")</x:f>
        <x:v>满足</x:v>
      </x:c>
    </x:row>
    <x:row r="10" ht="44" customHeight="1">
      <x:c r="A10" s="15" t="str">
        <x:v>SC001</x:v>
      </x:c>
      <x:c r="B10" s="17" t="n">
        <x:v>0</x:v>
      </x:c>
      <x:c r="C10" s="15" t="str">
        <x:v>SC001-006</x:v>
      </x:c>
      <x:c r="D10" s="15" t="str">
        <x:v>S003</x:v>
      </x:c>
      <x:c r="E10" s="15" t="str">
        <x:v>C</x:v>
      </x:c>
      <x:c r="F10" s="16" t="str">
        <x:v>S003-WAT-02; S003-WAT-03; S003-WAT-04; S003-FOD-02; S003-HYG-01</x:v>
      </x:c>
      <x:c r="G10" s="21" t="n">
        <x:v>56</x:v>
      </x:c>
      <x:c r="H10" s="23" t="n">
        <x:v>0.144</x:v>
      </x:c>
      <x:c r="I10" s="21" t="n">
        <x:v>1560.1777110992603</x:v>
      </x:c>
      <x:c r="J10" s="25" t="n">
        <x:v>5.7653646949838375</x:v>
      </x:c>
      <x:c r="K10" s="21" t="n">
        <x:v>2370.1777110992603</x:v>
      </x:c>
      <x:c r="L10" s="21" t="n">
        <x:f>(1-J10/VLOOKUP(E10,'口径说明'!$A$6:$E$8,4,FALSE))*100</x:f>
        <x:v>27.93294131270203</x:v>
      </x:c>
      <x:c r="M10" s="21" t="n">
        <x:f>VLOOKUP(E10,'口径说明'!$A$6:$E$8,2,FALSE)-G10</x:f>
        <x:v>24</x:v>
      </x:c>
      <x:c r="N10" s="23" t="n">
        <x:f>VLOOKUP(E10,'口径说明'!$A$6:$E$8,3,FALSE)-H10</x:f>
        <x:v>0.10600000000000001</x:v>
      </x:c>
      <x:c r="O10" s="25" t="n">
        <x:f>VLOOKUP(E10,'口径说明'!$A$6:$E$8,4,FALSE)*(1-B10/100)-J10</x:f>
        <x:v>2.2346353050161625</x:v>
      </x:c>
      <x:c r="P10" s="27" t="str">
        <x:f>IF(AND(M10&gt;=-0.0000001,N10&gt;=-0.0000001,O10&gt;=-0.0000001),"满足","不满足")</x:f>
        <x:v>满足</x:v>
      </x:c>
    </x:row>
    <x:row r="11" ht="44" customHeight="1">
      <x:c r="A11" s="2" t="str">
        <x:v>SC001</x:v>
      </x:c>
      <x:c r="B11" s="14" t="n">
        <x:v>0</x:v>
      </x:c>
      <x:c r="C11" s="2" t="str">
        <x:v>SC001-007</x:v>
      </x:c>
      <x:c r="D11" s="2" t="str">
        <x:v>S004</x:v>
      </x:c>
      <x:c r="E11" s="2" t="str">
        <x:v>C</x:v>
      </x:c>
      <x:c r="F11" s="13" t="str">
        <x:v>S004-MED-01; S004-WAT-01; S004-WAT-02; S004-WAT-03; S004-FOD-01; S004-HYG-01</x:v>
      </x:c>
      <x:c r="G11" s="20" t="n">
        <x:v>59</x:v>
      </x:c>
      <x:c r="H11" s="22" t="n">
        <x:v>0.156</x:v>
      </x:c>
      <x:c r="I11" s="20" t="n">
        <x:v>1425.0547187724458</x:v>
      </x:c>
      <x:c r="J11" s="24" t="n">
        <x:v>6.152860129174582</x:v>
      </x:c>
      <x:c r="K11" s="20" t="n">
        <x:v>2301.054718772446</x:v>
      </x:c>
      <x:c r="L11" s="20" t="n">
        <x:f>(1-J11/VLOOKUP(E11,'口径说明'!$A$6:$E$8,4,FALSE))*100</x:f>
        <x:v>23.089248385317727</x:v>
      </x:c>
      <x:c r="M11" s="20" t="n">
        <x:f>VLOOKUP(E11,'口径说明'!$A$6:$E$8,2,FALSE)-G11</x:f>
        <x:v>21</x:v>
      </x:c>
      <x:c r="N11" s="22" t="n">
        <x:f>VLOOKUP(E11,'口径说明'!$A$6:$E$8,3,FALSE)-H11</x:f>
        <x:v>0.094</x:v>
      </x:c>
      <x:c r="O11" s="24" t="n">
        <x:f>VLOOKUP(E11,'口径说明'!$A$6:$E$8,4,FALSE)*(1-B11/100)-J11</x:f>
        <x:v>1.8471398708254183</x:v>
      </x:c>
      <x:c r="P11" s="26" t="str">
        <x:f>IF(AND(M11&gt;=-0.0000001,N11&gt;=-0.0000001,O11&gt;=-0.0000001),"满足","不满足")</x:f>
        <x:v>满足</x:v>
      </x:c>
    </x:row>
    <x:row r="12" ht="44" customHeight="1">
      <x:c r="A12" s="15" t="str">
        <x:v>SC001</x:v>
      </x:c>
      <x:c r="B12" s="17" t="n">
        <x:v>0</x:v>
      </x:c>
      <x:c r="C12" s="15" t="str">
        <x:v>SC001-008</x:v>
      </x:c>
      <x:c r="D12" s="15" t="str">
        <x:v>S005</x:v>
      </x:c>
      <x:c r="E12" s="15" t="str">
        <x:v>C</x:v>
      </x:c>
      <x:c r="F12" s="16" t="str">
        <x:v>S005-MED-01; S005-WAT-01; S005-WAT-02; S005-WAT-03; S005-FOD-01; S005-HYG-01</x:v>
      </x:c>
      <x:c r="G12" s="21" t="n">
        <x:v>59</x:v>
      </x:c>
      <x:c r="H12" s="23" t="n">
        <x:v>0.156</x:v>
      </x:c>
      <x:c r="I12" s="21" t="n">
        <x:v>1001.1887154914712</x:v>
      </x:c>
      <x:c r="J12" s="25" t="n">
        <x:v>4.222137373445114</x:v>
      </x:c>
      <x:c r="K12" s="21" t="n">
        <x:v>1877.1887154914712</x:v>
      </x:c>
      <x:c r="L12" s="21" t="n">
        <x:f>(1-J12/VLOOKUP(E12,'口径说明'!$A$6:$E$8,4,FALSE))*100</x:f>
        <x:v>47.223282831936075</x:v>
      </x:c>
      <x:c r="M12" s="21" t="n">
        <x:f>VLOOKUP(E12,'口径说明'!$A$6:$E$8,2,FALSE)-G12</x:f>
        <x:v>21</x:v>
      </x:c>
      <x:c r="N12" s="23" t="n">
        <x:f>VLOOKUP(E12,'口径说明'!$A$6:$E$8,3,FALSE)-H12</x:f>
        <x:v>0.094</x:v>
      </x:c>
      <x:c r="O12" s="25" t="n">
        <x:f>VLOOKUP(E12,'口径说明'!$A$6:$E$8,4,FALSE)*(1-B12/100)-J12</x:f>
        <x:v>3.777862626554886</x:v>
      </x:c>
      <x:c r="P12" s="27" t="str">
        <x:f>IF(AND(M12&gt;=-0.0000001,N12&gt;=-0.0000001,O12&gt;=-0.0000001),"满足","不满足")</x:f>
        <x:v>满足</x:v>
      </x:c>
    </x:row>
    <x:row r="13" ht="44" customHeight="1">
      <x:c r="A13" s="2" t="str">
        <x:v>SC001</x:v>
      </x:c>
      <x:c r="B13" s="14" t="n">
        <x:v>0</x:v>
      </x:c>
      <x:c r="C13" s="2" t="str">
        <x:v>SC001-009</x:v>
      </x:c>
      <x:c r="D13" s="2" t="str">
        <x:v>S006</x:v>
      </x:c>
      <x:c r="E13" s="2" t="str">
        <x:v>C</x:v>
      </x:c>
      <x:c r="F13" s="13" t="str">
        <x:v>S006-MED-01; S006-WAT-01; S006-WAT-02; S006-WAT-03; S006-FOD-01; S006-HYG-01</x:v>
      </x:c>
      <x:c r="G13" s="20" t="n">
        <x:v>59</x:v>
      </x:c>
      <x:c r="H13" s="22" t="n">
        <x:v>0.156</x:v>
      </x:c>
      <x:c r="I13" s="20" t="n">
        <x:v>685.5526244866224</x:v>
      </x:c>
      <x:c r="J13" s="24" t="n">
        <x:v>2.5979362904386822</x:v>
      </x:c>
      <x:c r="K13" s="20" t="n">
        <x:v>1561.5526244866223</x:v>
      </x:c>
      <x:c r="L13" s="20" t="n">
        <x:f>(1-J13/VLOOKUP(E13,'口径说明'!$A$6:$E$8,4,FALSE))*100</x:f>
        <x:v>67.52579636951648</x:v>
      </x:c>
      <x:c r="M13" s="20" t="n">
        <x:f>VLOOKUP(E13,'口径说明'!$A$6:$E$8,2,FALSE)-G13</x:f>
        <x:v>21</x:v>
      </x:c>
      <x:c r="N13" s="22" t="n">
        <x:f>VLOOKUP(E13,'口径说明'!$A$6:$E$8,3,FALSE)-H13</x:f>
        <x:v>0.094</x:v>
      </x:c>
      <x:c r="O13" s="24" t="n">
        <x:f>VLOOKUP(E13,'口径说明'!$A$6:$E$8,4,FALSE)*(1-B13/100)-J13</x:f>
        <x:v>5.402063709561318</x:v>
      </x:c>
      <x:c r="P13" s="26" t="str">
        <x:f>IF(AND(M13&gt;=-0.0000001,N13&gt;=-0.0000001,O13&gt;=-0.0000001),"满足","不满足")</x:f>
        <x:v>满足</x:v>
      </x:c>
    </x:row>
    <x:row r="14" ht="44" customHeight="1">
      <x:c r="A14" s="15" t="str">
        <x:v>SC001</x:v>
      </x:c>
      <x:c r="B14" s="17" t="n">
        <x:v>0</x:v>
      </x:c>
      <x:c r="C14" s="15" t="str">
        <x:v>SC001-010</x:v>
      </x:c>
      <x:c r="D14" s="15" t="str">
        <x:v>S007</x:v>
      </x:c>
      <x:c r="E14" s="15" t="str">
        <x:v>C</x:v>
      </x:c>
      <x:c r="F14" s="16" t="str">
        <x:v>S007-MED-01; S007-WAT-01; S007-WAT-02; S007-FOD-01; S007-HYG-01</x:v>
      </x:c>
      <x:c r="G14" s="21" t="n">
        <x:v>45</x:v>
      </x:c>
      <x:c r="H14" s="23" t="n">
        <x:v>0.129</x:v>
      </x:c>
      <x:c r="I14" s="21" t="n">
        <x:v>1097.600698410691</x:v>
      </x:c>
      <x:c r="J14" s="25" t="n">
        <x:v>3.4110038084433194</x:v>
      </x:c>
      <x:c r="K14" s="21" t="n">
        <x:v>1907.600698410691</x:v>
      </x:c>
      <x:c r="L14" s="21" t="n">
        <x:f>(1-J14/VLOOKUP(E14,'口径说明'!$A$6:$E$8,4,FALSE))*100</x:f>
        <x:v>57.36245239445851</x:v>
      </x:c>
      <x:c r="M14" s="21" t="n">
        <x:f>VLOOKUP(E14,'口径说明'!$A$6:$E$8,2,FALSE)-G14</x:f>
        <x:v>35</x:v>
      </x:c>
      <x:c r="N14" s="23" t="n">
        <x:f>VLOOKUP(E14,'口径说明'!$A$6:$E$8,3,FALSE)-H14</x:f>
        <x:v>0.121</x:v>
      </x:c>
      <x:c r="O14" s="25" t="n">
        <x:f>VLOOKUP(E14,'口径说明'!$A$6:$E$8,4,FALSE)*(1-B14/100)-J14</x:f>
        <x:v>4.588996191556681</x:v>
      </x:c>
      <x:c r="P14" s="27" t="str">
        <x:f>IF(AND(M14&gt;=-0.0000001,N14&gt;=-0.0000001,O14&gt;=-0.0000001),"满足","不满足")</x:f>
        <x:v>满足</x:v>
      </x:c>
    </x:row>
    <x:row r="15" ht="44" customHeight="1">
      <x:c r="A15" s="2" t="str">
        <x:v>SC001</x:v>
      </x:c>
      <x:c r="B15" s="14" t="n">
        <x:v>0</x:v>
      </x:c>
      <x:c r="C15" s="2" t="str">
        <x:v>SC001-011</x:v>
      </x:c>
      <x:c r="D15" s="2" t="str">
        <x:v>S008</x:v>
      </x:c>
      <x:c r="E15" s="2" t="str">
        <x:v>C</x:v>
      </x:c>
      <x:c r="F15" s="13" t="str">
        <x:v>S008-MED-01; S008-WAT-01; S008-WAT-02; S008-FOD-01; S008-HYG-01</x:v>
      </x:c>
      <x:c r="G15" s="20" t="n">
        <x:v>45</x:v>
      </x:c>
      <x:c r="H15" s="22" t="n">
        <x:v>0.129</x:v>
      </x:c>
      <x:c r="I15" s="20" t="n">
        <x:v>1389.7115246008332</x:v>
      </x:c>
      <x:c r="J15" s="24" t="n">
        <x:v>5.836020667966359</x:v>
      </x:c>
      <x:c r="K15" s="20" t="n">
        <x:v>2199.7115246008334</x:v>
      </x:c>
      <x:c r="L15" s="20" t="n">
        <x:f>(1-J15/VLOOKUP(E15,'口径说明'!$A$6:$E$8,4,FALSE))*100</x:f>
        <x:v>27.04974165042051</x:v>
      </x:c>
      <x:c r="M15" s="20" t="n">
        <x:f>VLOOKUP(E15,'口径说明'!$A$6:$E$8,2,FALSE)-G15</x:f>
        <x:v>35</x:v>
      </x:c>
      <x:c r="N15" s="22" t="n">
        <x:f>VLOOKUP(E15,'口径说明'!$A$6:$E$8,3,FALSE)-H15</x:f>
        <x:v>0.121</x:v>
      </x:c>
      <x:c r="O15" s="24" t="n">
        <x:f>VLOOKUP(E15,'口径说明'!$A$6:$E$8,4,FALSE)*(1-B15/100)-J15</x:f>
        <x:v>2.163979332033641</x:v>
      </x:c>
      <x:c r="P15" s="26" t="str">
        <x:f>IF(AND(M15&gt;=-0.0000001,N15&gt;=-0.0000001,O15&gt;=-0.0000001),"满足","不满足")</x:f>
        <x:v>满足</x:v>
      </x:c>
    </x:row>
    <x:row r="16" ht="30" customHeight="1">
      <x:c r="A16" s="15" t="str">
        <x:v>SC001</x:v>
      </x:c>
      <x:c r="B16" s="17" t="n">
        <x:v>0</x:v>
      </x:c>
      <x:c r="C16" s="15" t="str">
        <x:v>SC001-012</x:v>
      </x:c>
      <x:c r="D16" s="15" t="str">
        <x:v>S009</x:v>
      </x:c>
      <x:c r="E16" s="15" t="str">
        <x:v>B</x:v>
      </x:c>
      <x:c r="F16" s="16" t="str">
        <x:v>S009-MED-01; S009-WAT-01; S009-FOD-01</x:v>
      </x:c>
      <x:c r="G16" s="21" t="n">
        <x:v>25</x:v>
      </x:c>
      <x:c r="H16" s="23" t="n">
        <x:v>0.067</x:v>
      </x:c>
      <x:c r="I16" s="21" t="n">
        <x:v>928.4628643343575</x:v>
      </x:c>
      <x:c r="J16" s="25" t="n">
        <x:v>2.0962654017373348</x:v>
      </x:c>
      <x:c r="K16" s="21" t="n">
        <x:v>1558.4628643343576</x:v>
      </x:c>
      <x:c r="L16" s="21" t="n">
        <x:f>(1-J16/VLOOKUP(E16,'口径说明'!$A$6:$E$8,4,FALSE))*100</x:f>
        <x:v>47.59336495656663</x:v>
      </x:c>
      <x:c r="M16" s="21" t="n">
        <x:f>VLOOKUP(E16,'口径说明'!$A$6:$E$8,2,FALSE)-G16</x:f>
        <x:v>5</x:v>
      </x:c>
      <x:c r="N16" s="23" t="n">
        <x:f>VLOOKUP(E16,'口径说明'!$A$6:$E$8,3,FALSE)-H16</x:f>
        <x:v>0.0059999999999999915</x:v>
      </x:c>
      <x:c r="O16" s="25" t="n">
        <x:f>VLOOKUP(E16,'口径说明'!$A$6:$E$8,4,FALSE)*(1-B16/100)-J16</x:f>
        <x:v>1.9037345982626652</x:v>
      </x:c>
      <x:c r="P16" s="27" t="str">
        <x:f>IF(AND(M16&gt;=-0.0000001,N16&gt;=-0.0000001,O16&gt;=-0.0000001),"满足","不满足")</x:f>
        <x:v>满足</x:v>
      </x:c>
    </x:row>
    <x:row r="17" ht="30" customHeight="1">
      <x:c r="A17" s="2" t="str">
        <x:v>SC001</x:v>
      </x:c>
      <x:c r="B17" s="14" t="n">
        <x:v>0</x:v>
      </x:c>
      <x:c r="C17" s="2" t="str">
        <x:v>SC001-013</x:v>
      </x:c>
      <x:c r="D17" s="2" t="str">
        <x:v>S010</x:v>
      </x:c>
      <x:c r="E17" s="2" t="str">
        <x:v>B</x:v>
      </x:c>
      <x:c r="F17" s="13" t="str">
        <x:v>S010-MED-01; S010-WAT-01; S010-FOD-01</x:v>
      </x:c>
      <x:c r="G17" s="20" t="n">
        <x:v>25</x:v>
      </x:c>
      <x:c r="H17" s="22" t="n">
        <x:v>0.067</x:v>
      </x:c>
      <x:c r="I17" s="20" t="n">
        <x:v>925.4035197802174</x:v>
      </x:c>
      <x:c r="J17" s="24" t="n">
        <x:v>1.8232165642314142</x:v>
      </x:c>
      <x:c r="K17" s="20" t="n">
        <x:v>1555.4035197802173</x:v>
      </x:c>
      <x:c r="L17" s="20" t="n">
        <x:f>(1-J17/VLOOKUP(E17,'口径说明'!$A$6:$E$8,4,FALSE))*100</x:f>
        <x:v>54.41958589421465</x:v>
      </x:c>
      <x:c r="M17" s="20" t="n">
        <x:f>VLOOKUP(E17,'口径说明'!$A$6:$E$8,2,FALSE)-G17</x:f>
        <x:v>5</x:v>
      </x:c>
      <x:c r="N17" s="22" t="n">
        <x:f>VLOOKUP(E17,'口径说明'!$A$6:$E$8,3,FALSE)-H17</x:f>
        <x:v>0.0059999999999999915</x:v>
      </x:c>
      <x:c r="O17" s="24" t="n">
        <x:f>VLOOKUP(E17,'口径说明'!$A$6:$E$8,4,FALSE)*(1-B17/100)-J17</x:f>
        <x:v>2.176783435768586</x:v>
      </x:c>
      <x:c r="P17" s="26" t="str">
        <x:f>IF(AND(M17&gt;=-0.0000001,N17&gt;=-0.0000001,O17&gt;=-0.0000001),"满足","不满足")</x:f>
        <x:v>满足</x:v>
      </x:c>
    </x:row>
    <x:row r="18" ht="30" customHeight="1">
      <x:c r="A18" s="15" t="str">
        <x:v>SC001</x:v>
      </x:c>
      <x:c r="B18" s="17" t="n">
        <x:v>0</x:v>
      </x:c>
      <x:c r="C18" s="15" t="str">
        <x:v>SC001-014</x:v>
      </x:c>
      <x:c r="D18" s="15" t="str">
        <x:v>S011</x:v>
      </x:c>
      <x:c r="E18" s="15" t="str">
        <x:v>B</x:v>
      </x:c>
      <x:c r="F18" s="16" t="str">
        <x:v>S011-MED-01; S011-WAT-01; S011-FOD-01</x:v>
      </x:c>
      <x:c r="G18" s="21" t="n">
        <x:v>25</x:v>
      </x:c>
      <x:c r="H18" s="23" t="n">
        <x:v>0.067</x:v>
      </x:c>
      <x:c r="I18" s="21" t="n">
        <x:v>558.4247628605204</x:v>
      </x:c>
      <x:c r="J18" s="25" t="n">
        <x:v>1.0739366863951034</x:v>
      </x:c>
      <x:c r="K18" s="21" t="n">
        <x:v>1188.4247628605203</x:v>
      </x:c>
      <x:c r="L18" s="21" t="n">
        <x:f>(1-J18/VLOOKUP(E18,'口径说明'!$A$6:$E$8,4,FALSE))*100</x:f>
        <x:v>73.15158284012242</x:v>
      </x:c>
      <x:c r="M18" s="21" t="n">
        <x:f>VLOOKUP(E18,'口径说明'!$A$6:$E$8,2,FALSE)-G18</x:f>
        <x:v>5</x:v>
      </x:c>
      <x:c r="N18" s="23" t="n">
        <x:f>VLOOKUP(E18,'口径说明'!$A$6:$E$8,3,FALSE)-H18</x:f>
        <x:v>0.0059999999999999915</x:v>
      </x:c>
      <x:c r="O18" s="25" t="n">
        <x:f>VLOOKUP(E18,'口径说明'!$A$6:$E$8,4,FALSE)*(1-B18/100)-J18</x:f>
        <x:v>2.926063313604897</x:v>
      </x:c>
      <x:c r="P18" s="27" t="str">
        <x:f>IF(AND(M18&gt;=-0.0000001,N18&gt;=-0.0000001,O18&gt;=-0.0000001),"满足","不满足")</x:f>
        <x:v>满足</x:v>
      </x:c>
    </x:row>
    <x:row r="19" ht="30" customHeight="1">
      <x:c r="A19" s="2" t="str">
        <x:v>SC001</x:v>
      </x:c>
      <x:c r="B19" s="14" t="n">
        <x:v>0</x:v>
      </x:c>
      <x:c r="C19" s="2" t="str">
        <x:v>SC001-015</x:v>
      </x:c>
      <x:c r="D19" s="2" t="str">
        <x:v>S012</x:v>
      </x:c>
      <x:c r="E19" s="2" t="str">
        <x:v>B</x:v>
      </x:c>
      <x:c r="F19" s="13" t="str">
        <x:v>S012-MED-01; S012-WAT-01; S012-FOD-01</x:v>
      </x:c>
      <x:c r="G19" s="20" t="n">
        <x:v>25</x:v>
      </x:c>
      <x:c r="H19" s="22" t="n">
        <x:v>0.067</x:v>
      </x:c>
      <x:c r="I19" s="20" t="n">
        <x:v>1292.826814149187</x:v>
      </x:c>
      <x:c r="J19" s="24" t="n">
        <x:v>2.7525999542899324</x:v>
      </x:c>
      <x:c r="K19" s="20" t="n">
        <x:v>1922.826814149187</x:v>
      </x:c>
      <x:c r="L19" s="20" t="n">
        <x:f>(1-J19/VLOOKUP(E19,'口径说明'!$A$6:$E$8,4,FALSE))*100</x:f>
        <x:v>31.185001142751688</x:v>
      </x:c>
      <x:c r="M19" s="20" t="n">
        <x:f>VLOOKUP(E19,'口径说明'!$A$6:$E$8,2,FALSE)-G19</x:f>
        <x:v>5</x:v>
      </x:c>
      <x:c r="N19" s="22" t="n">
        <x:f>VLOOKUP(E19,'口径说明'!$A$6:$E$8,3,FALSE)-H19</x:f>
        <x:v>0.0059999999999999915</x:v>
      </x:c>
      <x:c r="O19" s="24" t="n">
        <x:f>VLOOKUP(E19,'口径说明'!$A$6:$E$8,4,FALSE)*(1-B19/100)-J19</x:f>
        <x:v>1.2474000457100676</x:v>
      </x:c>
      <x:c r="P19" s="26" t="str">
        <x:f>IF(AND(M19&gt;=-0.0000001,N19&gt;=-0.0000001,O19&gt;=-0.0000001),"满足","不满足")</x:f>
        <x:v>满足</x:v>
      </x:c>
    </x:row>
    <x:row r="20" ht="30" customHeight="1">
      <x:c r="A20" s="15" t="str">
        <x:v>SC001</x:v>
      </x:c>
      <x:c r="B20" s="17" t="n">
        <x:v>0</x:v>
      </x:c>
      <x:c r="C20" s="15" t="str">
        <x:v>SC001-016</x:v>
      </x:c>
      <x:c r="D20" s="15" t="str">
        <x:v>S013</x:v>
      </x:c>
      <x:c r="E20" s="15" t="str">
        <x:v>B</x:v>
      </x:c>
      <x:c r="F20" s="16" t="str">
        <x:v>S013-MED-01; S013-WAT-01; S013-FOD-01</x:v>
      </x:c>
      <x:c r="G20" s="21" t="n">
        <x:v>25</x:v>
      </x:c>
      <x:c r="H20" s="23" t="n">
        <x:v>0.067</x:v>
      </x:c>
      <x:c r="I20" s="21" t="n">
        <x:v>880.511588744525</x:v>
      </x:c>
      <x:c r="J20" s="25" t="n">
        <x:v>1.8248281910807471</x:v>
      </x:c>
      <x:c r="K20" s="21" t="n">
        <x:v>1510.511588744525</x:v>
      </x:c>
      <x:c r="L20" s="21" t="n">
        <x:f>(1-J20/VLOOKUP(E20,'口径说明'!$A$6:$E$8,4,FALSE))*100</x:f>
        <x:v>54.37929522298133</x:v>
      </x:c>
      <x:c r="M20" s="21" t="n">
        <x:f>VLOOKUP(E20,'口径说明'!$A$6:$E$8,2,FALSE)-G20</x:f>
        <x:v>5</x:v>
      </x:c>
      <x:c r="N20" s="23" t="n">
        <x:f>VLOOKUP(E20,'口径说明'!$A$6:$E$8,3,FALSE)-H20</x:f>
        <x:v>0.0059999999999999915</x:v>
      </x:c>
      <x:c r="O20" s="25" t="n">
        <x:f>VLOOKUP(E20,'口径说明'!$A$6:$E$8,4,FALSE)*(1-B20/100)-J20</x:f>
        <x:v>2.175171808919253</x:v>
      </x:c>
      <x:c r="P20" s="27" t="str">
        <x:f>IF(AND(M20&gt;=-0.0000001,N20&gt;=-0.0000001,O20&gt;=-0.0000001),"满足","不满足")</x:f>
        <x:v>满足</x:v>
      </x:c>
    </x:row>
    <x:row r="21" ht="30" customHeight="1">
      <x:c r="A21" s="2" t="str">
        <x:v>SC001</x:v>
      </x:c>
      <x:c r="B21" s="14" t="n">
        <x:v>0</x:v>
      </x:c>
      <x:c r="C21" s="2" t="str">
        <x:v>SC001-017</x:v>
      </x:c>
      <x:c r="D21" s="2" t="str">
        <x:v>S014</x:v>
      </x:c>
      <x:c r="E21" s="2" t="str">
        <x:v>B</x:v>
      </x:c>
      <x:c r="F21" s="13" t="str">
        <x:v>S014-MED-01; S014-WAT-01; S014-FOD-01</x:v>
      </x:c>
      <x:c r="G21" s="20" t="n">
        <x:v>25</x:v>
      </x:c>
      <x:c r="H21" s="22" t="n">
        <x:v>0.067</x:v>
      </x:c>
      <x:c r="I21" s="20" t="n">
        <x:v>1239.7476752786913</x:v>
      </x:c>
      <x:c r="J21" s="24" t="n">
        <x:v>2.1402909781417883</x:v>
      </x:c>
      <x:c r="K21" s="20" t="n">
        <x:v>1869.7476752786913</x:v>
      </x:c>
      <x:c r="L21" s="20" t="n">
        <x:f>(1-J21/VLOOKUP(E21,'口径说明'!$A$6:$E$8,4,FALSE))*100</x:f>
        <x:v>46.49272554645529</x:v>
      </x:c>
      <x:c r="M21" s="20" t="n">
        <x:f>VLOOKUP(E21,'口径说明'!$A$6:$E$8,2,FALSE)-G21</x:f>
        <x:v>5</x:v>
      </x:c>
      <x:c r="N21" s="22" t="n">
        <x:f>VLOOKUP(E21,'口径说明'!$A$6:$E$8,3,FALSE)-H21</x:f>
        <x:v>0.0059999999999999915</x:v>
      </x:c>
      <x:c r="O21" s="24" t="n">
        <x:f>VLOOKUP(E21,'口径说明'!$A$6:$E$8,4,FALSE)*(1-B21/100)-J21</x:f>
        <x:v>1.8597090218582117</x:v>
      </x:c>
      <x:c r="P21" s="26" t="str">
        <x:f>IF(AND(M21&gt;=-0.0000001,N21&gt;=-0.0000001,O21&gt;=-0.0000001),"满足","不满足")</x:f>
        <x:v>满足</x:v>
      </x:c>
    </x:row>
    <x:row r="22" ht="30" customHeight="1">
      <x:c r="A22" s="15" t="str">
        <x:v>SC001</x:v>
      </x:c>
      <x:c r="B22" s="17" t="n">
        <x:v>0</x:v>
      </x:c>
      <x:c r="C22" s="15" t="str">
        <x:v>SC001-018</x:v>
      </x:c>
      <x:c r="D22" s="15" t="str">
        <x:v>S015</x:v>
      </x:c>
      <x:c r="E22" s="15" t="str">
        <x:v>B</x:v>
      </x:c>
      <x:c r="F22" s="16" t="str">
        <x:v>S015-MED-01; S015-WAT-01; S015-FOD-01</x:v>
      </x:c>
      <x:c r="G22" s="21" t="n">
        <x:v>25</x:v>
      </x:c>
      <x:c r="H22" s="23" t="n">
        <x:v>0.067</x:v>
      </x:c>
      <x:c r="I22" s="21" t="n">
        <x:v>1198.3275601736595</x:v>
      </x:c>
      <x:c r="J22" s="25" t="n">
        <x:v>2.307528505752516</x:v>
      </x:c>
      <x:c r="K22" s="21" t="n">
        <x:v>1828.3275601736595</x:v>
      </x:c>
      <x:c r="L22" s="21" t="n">
        <x:f>(1-J22/VLOOKUP(E22,'口径说明'!$A$6:$E$8,4,FALSE))*100</x:f>
        <x:v>42.311787356187104</x:v>
      </x:c>
      <x:c r="M22" s="21" t="n">
        <x:f>VLOOKUP(E22,'口径说明'!$A$6:$E$8,2,FALSE)-G22</x:f>
        <x:v>5</x:v>
      </x:c>
      <x:c r="N22" s="23" t="n">
        <x:f>VLOOKUP(E22,'口径说明'!$A$6:$E$8,3,FALSE)-H22</x:f>
        <x:v>0.0059999999999999915</x:v>
      </x:c>
      <x:c r="O22" s="25" t="n">
        <x:f>VLOOKUP(E22,'口径说明'!$A$6:$E$8,4,FALSE)*(1-B22/100)-J22</x:f>
        <x:v>1.692471494247484</x:v>
      </x:c>
      <x:c r="P22" s="27" t="str">
        <x:f>IF(AND(M22&gt;=-0.0000001,N22&gt;=-0.0000001,O22&gt;=-0.0000001),"满足","不满足")</x:f>
        <x:v>满足</x:v>
      </x:c>
    </x:row>
    <x:row r="23" ht="61" customHeight="1">
      <x:c r="A23" s="2" t="str">
        <x:v>SC002</x:v>
      </x:c>
      <x:c r="B23" s="14" t="n">
        <x:v>5</x:v>
      </x:c>
      <x:c r="C23" s="2" t="str">
        <x:v>SC002-001</x:v>
      </x:c>
      <x:c r="D23" s="2" t="str">
        <x:v>S001</x:v>
      </x:c>
      <x:c r="E23" s="2" t="str">
        <x:v>C</x:v>
      </x:c>
      <x:c r="F23" s="13" t="str">
        <x:v>S001-WAT-01; S001-WAT-02; S001-WAT-03; S001-FOD-01; S001-FOD-02; S001-FOD-03; S001-HYG-01; S001-HYG-02</x:v>
      </x:c>
      <x:c r="G23" s="20" t="n">
        <x:v>78</x:v>
      </x:c>
      <x:c r="H23" s="22" t="n">
        <x:v>0.235</x:v>
      </x:c>
      <x:c r="I23" s="20" t="n">
        <x:v>618.1750458620229</x:v>
      </x:c>
      <x:c r="J23" s="24" t="n">
        <x:v>2.9957758049046697</x:v>
      </x:c>
      <x:c r="K23" s="20" t="n">
        <x:v>1626.175045862023</x:v>
      </x:c>
      <x:c r="L23" s="20" t="n">
        <x:f>(1-J23/VLOOKUP(E23,'口径说明'!$A$6:$E$8,4,FALSE))*100</x:f>
        <x:v>62.552802438691636</x:v>
      </x:c>
      <x:c r="M23" s="20" t="n">
        <x:f>VLOOKUP(E23,'口径说明'!$A$6:$E$8,2,FALSE)-G23</x:f>
        <x:v>2</x:v>
      </x:c>
      <x:c r="N23" s="22" t="n">
        <x:f>VLOOKUP(E23,'口径说明'!$A$6:$E$8,3,FALSE)-H23</x:f>
        <x:v>0.015000000000000013</x:v>
      </x:c>
      <x:c r="O23" s="24" t="n">
        <x:f>VLOOKUP(E23,'口径说明'!$A$6:$E$8,4,FALSE)*(1-B23/100)-J23</x:f>
        <x:v>4.60422419509533</x:v>
      </x:c>
      <x:c r="P23" s="26" t="str">
        <x:f>IF(AND(M23&gt;=-0.0000001,N23&gt;=-0.0000001,O23&gt;=-0.0000001),"满足","不满足")</x:f>
        <x:v>满足</x:v>
      </x:c>
    </x:row>
    <x:row r="24" ht="44" customHeight="1">
      <x:c r="A24" s="15" t="str">
        <x:v>SC002</x:v>
      </x:c>
      <x:c r="B24" s="17" t="n">
        <x:v>5</x:v>
      </x:c>
      <x:c r="C24" s="15" t="str">
        <x:v>SC002-002</x:v>
      </x:c>
      <x:c r="D24" s="15" t="str">
        <x:v>S001</x:v>
      </x:c>
      <x:c r="E24" s="15" t="str">
        <x:v>C</x:v>
      </x:c>
      <x:c r="F24" s="16" t="str">
        <x:v>S001-MED-01; S001-MED-02; S001-WAT-04; S001-WAT-05; S001-WAT-06; S001-WAT-07; S001-WAT-08</x:v>
      </x:c>
      <x:c r="G24" s="21" t="n">
        <x:v>76</x:v>
      </x:c>
      <x:c r="H24" s="23" t="n">
        <x:v>0.159</x:v>
      </x:c>
      <x:c r="I24" s="21" t="n">
        <x:v>618.1750458620229</x:v>
      </x:c>
      <x:c r="J24" s="25" t="n">
        <x:v>2.917588095586827</x:v>
      </x:c>
      <x:c r="K24" s="21" t="n">
        <x:v>1560.175045862023</x:v>
      </x:c>
      <x:c r="L24" s="21" t="n">
        <x:f>(1-J24/VLOOKUP(E24,'口径说明'!$A$6:$E$8,4,FALSE))*100</x:f>
        <x:v>63.53014880516466</x:v>
      </x:c>
      <x:c r="M24" s="21" t="n">
        <x:f>VLOOKUP(E24,'口径说明'!$A$6:$E$8,2,FALSE)-G24</x:f>
        <x:v>4</x:v>
      </x:c>
      <x:c r="N24" s="23" t="n">
        <x:f>VLOOKUP(E24,'口径说明'!$A$6:$E$8,3,FALSE)-H24</x:f>
        <x:v>0.091</x:v>
      </x:c>
      <x:c r="O24" s="25" t="n">
        <x:f>VLOOKUP(E24,'口径说明'!$A$6:$E$8,4,FALSE)*(1-B24/100)-J24</x:f>
        <x:v>4.682411904413172</x:v>
      </x:c>
      <x:c r="P24" s="27" t="str">
        <x:f>IF(AND(M24&gt;=-0.0000001,N24&gt;=-0.0000001,O24&gt;=-0.0000001),"满足","不满足")</x:f>
        <x:v>满足</x:v>
      </x:c>
    </x:row>
    <x:row r="25" ht="30" customHeight="1">
      <x:c r="A25" s="2" t="str">
        <x:v>SC002</x:v>
      </x:c>
      <x:c r="B25" s="14" t="n">
        <x:v>5</x:v>
      </x:c>
      <x:c r="C25" s="2" t="str">
        <x:v>SC002-003</x:v>
      </x:c>
      <x:c r="D25" s="2" t="str">
        <x:v>S002</x:v>
      </x:c>
      <x:c r="E25" s="2" t="str">
        <x:v>B</x:v>
      </x:c>
      <x:c r="F25" s="13" t="str">
        <x:v>S002-MED-01; S002-WAT-01; S002-FOD-01</x:v>
      </x:c>
      <x:c r="G25" s="20" t="n">
        <x:v>25</x:v>
      </x:c>
      <x:c r="H25" s="22" t="n">
        <x:v>0.067</x:v>
      </x:c>
      <x:c r="I25" s="20" t="n">
        <x:v>1186.7240813077576</x:v>
      </x:c>
      <x:c r="J25" s="24" t="n">
        <x:v>2.7134729412419873</x:v>
      </x:c>
      <x:c r="K25" s="20" t="n">
        <x:v>1816.7240813077576</x:v>
      </x:c>
      <x:c r="L25" s="20" t="n">
        <x:f>(1-J25/VLOOKUP(E25,'口径说明'!$A$6:$E$8,4,FALSE))*100</x:f>
        <x:v>32.16317646895032</x:v>
      </x:c>
      <x:c r="M25" s="20" t="n">
        <x:f>VLOOKUP(E25,'口径说明'!$A$6:$E$8,2,FALSE)-G25</x:f>
        <x:v>5</x:v>
      </x:c>
      <x:c r="N25" s="22" t="n">
        <x:f>VLOOKUP(E25,'口径说明'!$A$6:$E$8,3,FALSE)-H25</x:f>
        <x:v>0.0059999999999999915</x:v>
      </x:c>
      <x:c r="O25" s="24" t="n">
        <x:f>VLOOKUP(E25,'口径说明'!$A$6:$E$8,4,FALSE)*(1-B25/100)-J25</x:f>
        <x:v>1.0865270587580125</x:v>
      </x:c>
      <x:c r="P25" s="26" t="str">
        <x:f>IF(AND(M25&gt;=-0.0000001,N25&gt;=-0.0000001,O25&gt;=-0.0000001),"满足","不满足")</x:f>
        <x:v>满足</x:v>
      </x:c>
    </x:row>
    <x:row r="26" ht="44" customHeight="1">
      <x:c r="A26" s="15" t="str">
        <x:v>SC002</x:v>
      </x:c>
      <x:c r="B26" s="17" t="n">
        <x:v>5</x:v>
      </x:c>
      <x:c r="C26" s="15" t="str">
        <x:v>SC002-004</x:v>
      </x:c>
      <x:c r="D26" s="15" t="str">
        <x:v>S002</x:v>
      </x:c>
      <x:c r="E26" s="15" t="str">
        <x:v>C</x:v>
      </x:c>
      <x:c r="F26" s="16" t="str">
        <x:v>S002-WAT-02; S002-WAT-03; S002-WAT-04; S002-FOD-02; S002-HYG-01</x:v>
      </x:c>
      <x:c r="G26" s="21" t="n">
        <x:v>56</x:v>
      </x:c>
      <x:c r="H26" s="23" t="n">
        <x:v>0.144</x:v>
      </x:c>
      <x:c r="I26" s="21" t="n">
        <x:v>1231.8421660245544</x:v>
      </x:c>
      <x:c r="J26" s="25" t="n">
        <x:v>5.721356203945945</x:v>
      </x:c>
      <x:c r="K26" s="21" t="n">
        <x:v>2041.8421660245544</x:v>
      </x:c>
      <x:c r="L26" s="21" t="n">
        <x:f>(1-J26/VLOOKUP(E26,'口径说明'!$A$6:$E$8,4,FALSE))*100</x:f>
        <x:v>28.48304745067569</x:v>
      </x:c>
      <x:c r="M26" s="21" t="n">
        <x:f>VLOOKUP(E26,'口径说明'!$A$6:$E$8,2,FALSE)-G26</x:f>
        <x:v>24</x:v>
      </x:c>
      <x:c r="N26" s="23" t="n">
        <x:f>VLOOKUP(E26,'口径说明'!$A$6:$E$8,3,FALSE)-H26</x:f>
        <x:v>0.10600000000000001</x:v>
      </x:c>
      <x:c r="O26" s="25" t="n">
        <x:f>VLOOKUP(E26,'口径说明'!$A$6:$E$8,4,FALSE)*(1-B26/100)-J26</x:f>
        <x:v>1.878643796054055</x:v>
      </x:c>
      <x:c r="P26" s="27" t="str">
        <x:f>IF(AND(M26&gt;=-0.0000001,N26&gt;=-0.0000001,O26&gt;=-0.0000001),"满足","不满足")</x:f>
        <x:v>满足</x:v>
      </x:c>
    </x:row>
    <x:row r="27" ht="30" customHeight="1">
      <x:c r="A27" s="2" t="str">
        <x:v>SC002</x:v>
      </x:c>
      <x:c r="B27" s="14" t="n">
        <x:v>5</x:v>
      </x:c>
      <x:c r="C27" s="2" t="str">
        <x:v>SC002-005</x:v>
      </x:c>
      <x:c r="D27" s="2" t="str">
        <x:v>S003</x:v>
      </x:c>
      <x:c r="E27" s="2" t="str">
        <x:v>B</x:v>
      </x:c>
      <x:c r="F27" s="13" t="str">
        <x:v>S003-MED-01; S003-WAT-01; S003-FOD-01</x:v>
      </x:c>
      <x:c r="G27" s="20" t="n">
        <x:v>25</x:v>
      </x:c>
      <x:c r="H27" s="22" t="n">
        <x:v>0.067</x:v>
      </x:c>
      <x:c r="I27" s="20" t="n">
        <x:v>1450.6096650380623</x:v>
      </x:c>
      <x:c r="J27" s="24" t="n">
        <x:v>2.7800780342326075</x:v>
      </x:c>
      <x:c r="K27" s="20" t="n">
        <x:v>2080.6096650380623</x:v>
      </x:c>
      <x:c r="L27" s="20" t="n">
        <x:f>(1-J27/VLOOKUP(E27,'口径说明'!$A$6:$E$8,4,FALSE))*100</x:f>
        <x:v>30.49804914418481</x:v>
      </x:c>
      <x:c r="M27" s="20" t="n">
        <x:f>VLOOKUP(E27,'口径说明'!$A$6:$E$8,2,FALSE)-G27</x:f>
        <x:v>5</x:v>
      </x:c>
      <x:c r="N27" s="22" t="n">
        <x:f>VLOOKUP(E27,'口径说明'!$A$6:$E$8,3,FALSE)-H27</x:f>
        <x:v>0.0059999999999999915</x:v>
      </x:c>
      <x:c r="O27" s="24" t="n">
        <x:f>VLOOKUP(E27,'口径说明'!$A$6:$E$8,4,FALSE)*(1-B27/100)-J27</x:f>
        <x:v>1.0199219657673924</x:v>
      </x:c>
      <x:c r="P27" s="26" t="str">
        <x:f>IF(AND(M27&gt;=-0.0000001,N27&gt;=-0.0000001,O27&gt;=-0.0000001),"满足","不满足")</x:f>
        <x:v>满足</x:v>
      </x:c>
    </x:row>
    <x:row r="28" ht="44" customHeight="1">
      <x:c r="A28" s="15" t="str">
        <x:v>SC002</x:v>
      </x:c>
      <x:c r="B28" s="17" t="n">
        <x:v>5</x:v>
      </x:c>
      <x:c r="C28" s="15" t="str">
        <x:v>SC002-006</x:v>
      </x:c>
      <x:c r="D28" s="15" t="str">
        <x:v>S003</x:v>
      </x:c>
      <x:c r="E28" s="15" t="str">
        <x:v>C</x:v>
      </x:c>
      <x:c r="F28" s="16" t="str">
        <x:v>S003-WAT-02; S003-WAT-03; S003-WAT-04; S003-FOD-02; S003-HYG-01</x:v>
      </x:c>
      <x:c r="G28" s="21" t="n">
        <x:v>56</x:v>
      </x:c>
      <x:c r="H28" s="23" t="n">
        <x:v>0.144</x:v>
      </x:c>
      <x:c r="I28" s="21" t="n">
        <x:v>1560.1777110992603</x:v>
      </x:c>
      <x:c r="J28" s="25" t="n">
        <x:v>5.7653646949838375</x:v>
      </x:c>
      <x:c r="K28" s="21" t="n">
        <x:v>2370.1777110992603</x:v>
      </x:c>
      <x:c r="L28" s="21" t="n">
        <x:f>(1-J28/VLOOKUP(E28,'口径说明'!$A$6:$E$8,4,FALSE))*100</x:f>
        <x:v>27.93294131270203</x:v>
      </x:c>
      <x:c r="M28" s="21" t="n">
        <x:f>VLOOKUP(E28,'口径说明'!$A$6:$E$8,2,FALSE)-G28</x:f>
        <x:v>24</x:v>
      </x:c>
      <x:c r="N28" s="23" t="n">
        <x:f>VLOOKUP(E28,'口径说明'!$A$6:$E$8,3,FALSE)-H28</x:f>
        <x:v>0.10600000000000001</x:v>
      </x:c>
      <x:c r="O28" s="25" t="n">
        <x:f>VLOOKUP(E28,'口径说明'!$A$6:$E$8,4,FALSE)*(1-B28/100)-J28</x:f>
        <x:v>1.8346353050161621</x:v>
      </x:c>
      <x:c r="P28" s="27" t="str">
        <x:f>IF(AND(M28&gt;=-0.0000001,N28&gt;=-0.0000001,O28&gt;=-0.0000001),"满足","不满足")</x:f>
        <x:v>满足</x:v>
      </x:c>
    </x:row>
    <x:row r="29" ht="44" customHeight="1">
      <x:c r="A29" s="2" t="str">
        <x:v>SC002</x:v>
      </x:c>
      <x:c r="B29" s="14" t="n">
        <x:v>5</x:v>
      </x:c>
      <x:c r="C29" s="2" t="str">
        <x:v>SC002-007</x:v>
      </x:c>
      <x:c r="D29" s="2" t="str">
        <x:v>S004</x:v>
      </x:c>
      <x:c r="E29" s="2" t="str">
        <x:v>C</x:v>
      </x:c>
      <x:c r="F29" s="13" t="str">
        <x:v>S004-MED-01; S004-WAT-01; S004-WAT-02; S004-WAT-03; S004-FOD-01; S004-HYG-01</x:v>
      </x:c>
      <x:c r="G29" s="20" t="n">
        <x:v>59</x:v>
      </x:c>
      <x:c r="H29" s="22" t="n">
        <x:v>0.156</x:v>
      </x:c>
      <x:c r="I29" s="20" t="n">
        <x:v>1425.0547187724458</x:v>
      </x:c>
      <x:c r="J29" s="24" t="n">
        <x:v>6.152860129174582</x:v>
      </x:c>
      <x:c r="K29" s="20" t="n">
        <x:v>2301.054718772446</x:v>
      </x:c>
      <x:c r="L29" s="20" t="n">
        <x:f>(1-J29/VLOOKUP(E29,'口径说明'!$A$6:$E$8,4,FALSE))*100</x:f>
        <x:v>23.089248385317727</x:v>
      </x:c>
      <x:c r="M29" s="20" t="n">
        <x:f>VLOOKUP(E29,'口径说明'!$A$6:$E$8,2,FALSE)-G29</x:f>
        <x:v>21</x:v>
      </x:c>
      <x:c r="N29" s="22" t="n">
        <x:f>VLOOKUP(E29,'口径说明'!$A$6:$E$8,3,FALSE)-H29</x:f>
        <x:v>0.094</x:v>
      </x:c>
      <x:c r="O29" s="24" t="n">
        <x:f>VLOOKUP(E29,'口径说明'!$A$6:$E$8,4,FALSE)*(1-B29/100)-J29</x:f>
        <x:v>1.447139870825418</x:v>
      </x:c>
      <x:c r="P29" s="26" t="str">
        <x:f>IF(AND(M29&gt;=-0.0000001,N29&gt;=-0.0000001,O29&gt;=-0.0000001),"满足","不满足")</x:f>
        <x:v>满足</x:v>
      </x:c>
    </x:row>
    <x:row r="30" ht="44" customHeight="1">
      <x:c r="A30" s="15" t="str">
        <x:v>SC002</x:v>
      </x:c>
      <x:c r="B30" s="17" t="n">
        <x:v>5</x:v>
      </x:c>
      <x:c r="C30" s="15" t="str">
        <x:v>SC002-008</x:v>
      </x:c>
      <x:c r="D30" s="15" t="str">
        <x:v>S005</x:v>
      </x:c>
      <x:c r="E30" s="15" t="str">
        <x:v>C</x:v>
      </x:c>
      <x:c r="F30" s="16" t="str">
        <x:v>S005-MED-01; S005-WAT-01; S005-WAT-02; S005-WAT-03; S005-FOD-01; S005-HYG-01</x:v>
      </x:c>
      <x:c r="G30" s="21" t="n">
        <x:v>59</x:v>
      </x:c>
      <x:c r="H30" s="23" t="n">
        <x:v>0.156</x:v>
      </x:c>
      <x:c r="I30" s="21" t="n">
        <x:v>1001.1887154914712</x:v>
      </x:c>
      <x:c r="J30" s="25" t="n">
        <x:v>4.222137373445114</x:v>
      </x:c>
      <x:c r="K30" s="21" t="n">
        <x:v>1877.1887154914712</x:v>
      </x:c>
      <x:c r="L30" s="21" t="n">
        <x:f>(1-J30/VLOOKUP(E30,'口径说明'!$A$6:$E$8,4,FALSE))*100</x:f>
        <x:v>47.223282831936075</x:v>
      </x:c>
      <x:c r="M30" s="21" t="n">
        <x:f>VLOOKUP(E30,'口径说明'!$A$6:$E$8,2,FALSE)-G30</x:f>
        <x:v>21</x:v>
      </x:c>
      <x:c r="N30" s="23" t="n">
        <x:f>VLOOKUP(E30,'口径说明'!$A$6:$E$8,3,FALSE)-H30</x:f>
        <x:v>0.094</x:v>
      </x:c>
      <x:c r="O30" s="25" t="n">
        <x:f>VLOOKUP(E30,'口径说明'!$A$6:$E$8,4,FALSE)*(1-B30/100)-J30</x:f>
        <x:v>3.3778626265548857</x:v>
      </x:c>
      <x:c r="P30" s="27" t="str">
        <x:f>IF(AND(M30&gt;=-0.0000001,N30&gt;=-0.0000001,O30&gt;=-0.0000001),"满足","不满足")</x:f>
        <x:v>满足</x:v>
      </x:c>
    </x:row>
    <x:row r="31" ht="44" customHeight="1">
      <x:c r="A31" s="2" t="str">
        <x:v>SC002</x:v>
      </x:c>
      <x:c r="B31" s="14" t="n">
        <x:v>5</x:v>
      </x:c>
      <x:c r="C31" s="2" t="str">
        <x:v>SC002-009</x:v>
      </x:c>
      <x:c r="D31" s="2" t="str">
        <x:v>S006</x:v>
      </x:c>
      <x:c r="E31" s="2" t="str">
        <x:v>C</x:v>
      </x:c>
      <x:c r="F31" s="13" t="str">
        <x:v>S006-MED-01; S006-WAT-01; S006-WAT-02; S006-WAT-03; S006-FOD-01; S006-HYG-01</x:v>
      </x:c>
      <x:c r="G31" s="20" t="n">
        <x:v>59</x:v>
      </x:c>
      <x:c r="H31" s="22" t="n">
        <x:v>0.156</x:v>
      </x:c>
      <x:c r="I31" s="20" t="n">
        <x:v>685.5526244866224</x:v>
      </x:c>
      <x:c r="J31" s="24" t="n">
        <x:v>2.5979362904386822</x:v>
      </x:c>
      <x:c r="K31" s="20" t="n">
        <x:v>1561.5526244866223</x:v>
      </x:c>
      <x:c r="L31" s="20" t="n">
        <x:f>(1-J31/VLOOKUP(E31,'口径说明'!$A$6:$E$8,4,FALSE))*100</x:f>
        <x:v>67.52579636951648</x:v>
      </x:c>
      <x:c r="M31" s="20" t="n">
        <x:f>VLOOKUP(E31,'口径说明'!$A$6:$E$8,2,FALSE)-G31</x:f>
        <x:v>21</x:v>
      </x:c>
      <x:c r="N31" s="22" t="n">
        <x:f>VLOOKUP(E31,'口径说明'!$A$6:$E$8,3,FALSE)-H31</x:f>
        <x:v>0.094</x:v>
      </x:c>
      <x:c r="O31" s="24" t="n">
        <x:f>VLOOKUP(E31,'口径说明'!$A$6:$E$8,4,FALSE)*(1-B31/100)-J31</x:f>
        <x:v>5.002063709561318</x:v>
      </x:c>
      <x:c r="P31" s="26" t="str">
        <x:f>IF(AND(M31&gt;=-0.0000001,N31&gt;=-0.0000001,O31&gt;=-0.0000001),"满足","不满足")</x:f>
        <x:v>满足</x:v>
      </x:c>
    </x:row>
    <x:row r="32" ht="44" customHeight="1">
      <x:c r="A32" s="15" t="str">
        <x:v>SC002</x:v>
      </x:c>
      <x:c r="B32" s="17" t="n">
        <x:v>5</x:v>
      </x:c>
      <x:c r="C32" s="15" t="str">
        <x:v>SC002-010</x:v>
      </x:c>
      <x:c r="D32" s="15" t="str">
        <x:v>S007</x:v>
      </x:c>
      <x:c r="E32" s="15" t="str">
        <x:v>C</x:v>
      </x:c>
      <x:c r="F32" s="16" t="str">
        <x:v>S007-MED-01; S007-WAT-01; S007-WAT-02; S007-FOD-01; S007-HYG-01</x:v>
      </x:c>
      <x:c r="G32" s="21" t="n">
        <x:v>45</x:v>
      </x:c>
      <x:c r="H32" s="23" t="n">
        <x:v>0.129</x:v>
      </x:c>
      <x:c r="I32" s="21" t="n">
        <x:v>1097.600698410691</x:v>
      </x:c>
      <x:c r="J32" s="25" t="n">
        <x:v>3.4110038084433194</x:v>
      </x:c>
      <x:c r="K32" s="21" t="n">
        <x:v>1907.600698410691</x:v>
      </x:c>
      <x:c r="L32" s="21" t="n">
        <x:f>(1-J32/VLOOKUP(E32,'口径说明'!$A$6:$E$8,4,FALSE))*100</x:f>
        <x:v>57.36245239445851</x:v>
      </x:c>
      <x:c r="M32" s="21" t="n">
        <x:f>VLOOKUP(E32,'口径说明'!$A$6:$E$8,2,FALSE)-G32</x:f>
        <x:v>35</x:v>
      </x:c>
      <x:c r="N32" s="23" t="n">
        <x:f>VLOOKUP(E32,'口径说明'!$A$6:$E$8,3,FALSE)-H32</x:f>
        <x:v>0.121</x:v>
      </x:c>
      <x:c r="O32" s="25" t="n">
        <x:f>VLOOKUP(E32,'口径说明'!$A$6:$E$8,4,FALSE)*(1-B32/100)-J32</x:f>
        <x:v>4.18899619155668</x:v>
      </x:c>
      <x:c r="P32" s="27" t="str">
        <x:f>IF(AND(M32&gt;=-0.0000001,N32&gt;=-0.0000001,O32&gt;=-0.0000001),"满足","不满足")</x:f>
        <x:v>满足</x:v>
      </x:c>
    </x:row>
    <x:row r="33" ht="44" customHeight="1">
      <x:c r="A33" s="2" t="str">
        <x:v>SC002</x:v>
      </x:c>
      <x:c r="B33" s="14" t="n">
        <x:v>5</x:v>
      </x:c>
      <x:c r="C33" s="2" t="str">
        <x:v>SC002-011</x:v>
      </x:c>
      <x:c r="D33" s="2" t="str">
        <x:v>S008</x:v>
      </x:c>
      <x:c r="E33" s="2" t="str">
        <x:v>C</x:v>
      </x:c>
      <x:c r="F33" s="13" t="str">
        <x:v>S008-MED-01; S008-WAT-01; S008-WAT-02; S008-FOD-01; S008-HYG-01</x:v>
      </x:c>
      <x:c r="G33" s="20" t="n">
        <x:v>45</x:v>
      </x:c>
      <x:c r="H33" s="22" t="n">
        <x:v>0.129</x:v>
      </x:c>
      <x:c r="I33" s="20" t="n">
        <x:v>1389.7115246008332</x:v>
      </x:c>
      <x:c r="J33" s="24" t="n">
        <x:v>5.836020667966359</x:v>
      </x:c>
      <x:c r="K33" s="20" t="n">
        <x:v>2199.7115246008334</x:v>
      </x:c>
      <x:c r="L33" s="20" t="n">
        <x:f>(1-J33/VLOOKUP(E33,'口径说明'!$A$6:$E$8,4,FALSE))*100</x:f>
        <x:v>27.04974165042051</x:v>
      </x:c>
      <x:c r="M33" s="20" t="n">
        <x:f>VLOOKUP(E33,'口径说明'!$A$6:$E$8,2,FALSE)-G33</x:f>
        <x:v>35</x:v>
      </x:c>
      <x:c r="N33" s="22" t="n">
        <x:f>VLOOKUP(E33,'口径说明'!$A$6:$E$8,3,FALSE)-H33</x:f>
        <x:v>0.121</x:v>
      </x:c>
      <x:c r="O33" s="24" t="n">
        <x:f>VLOOKUP(E33,'口径说明'!$A$6:$E$8,4,FALSE)*(1-B33/100)-J33</x:f>
        <x:v>1.7639793320336405</x:v>
      </x:c>
      <x:c r="P33" s="26" t="str">
        <x:f>IF(AND(M33&gt;=-0.0000001,N33&gt;=-0.0000001,O33&gt;=-0.0000001),"满足","不满足")</x:f>
        <x:v>满足</x:v>
      </x:c>
    </x:row>
    <x:row r="34" ht="30" customHeight="1">
      <x:c r="A34" s="15" t="str">
        <x:v>SC002</x:v>
      </x:c>
      <x:c r="B34" s="17" t="n">
        <x:v>5</x:v>
      </x:c>
      <x:c r="C34" s="15" t="str">
        <x:v>SC002-012</x:v>
      </x:c>
      <x:c r="D34" s="15" t="str">
        <x:v>S009</x:v>
      </x:c>
      <x:c r="E34" s="15" t="str">
        <x:v>B</x:v>
      </x:c>
      <x:c r="F34" s="16" t="str">
        <x:v>S009-MED-01; S009-WAT-01; S009-FOD-01</x:v>
      </x:c>
      <x:c r="G34" s="21" t="n">
        <x:v>25</x:v>
      </x:c>
      <x:c r="H34" s="23" t="n">
        <x:v>0.067</x:v>
      </x:c>
      <x:c r="I34" s="21" t="n">
        <x:v>928.4628643343575</x:v>
      </x:c>
      <x:c r="J34" s="25" t="n">
        <x:v>2.0962654017373348</x:v>
      </x:c>
      <x:c r="K34" s="21" t="n">
        <x:v>1558.4628643343576</x:v>
      </x:c>
      <x:c r="L34" s="21" t="n">
        <x:f>(1-J34/VLOOKUP(E34,'口径说明'!$A$6:$E$8,4,FALSE))*100</x:f>
        <x:v>47.59336495656663</x:v>
      </x:c>
      <x:c r="M34" s="21" t="n">
        <x:f>VLOOKUP(E34,'口径说明'!$A$6:$E$8,2,FALSE)-G34</x:f>
        <x:v>5</x:v>
      </x:c>
      <x:c r="N34" s="23" t="n">
        <x:f>VLOOKUP(E34,'口径说明'!$A$6:$E$8,3,FALSE)-H34</x:f>
        <x:v>0.0059999999999999915</x:v>
      </x:c>
      <x:c r="O34" s="25" t="n">
        <x:f>VLOOKUP(E34,'口径说明'!$A$6:$E$8,4,FALSE)*(1-B34/100)-J34</x:f>
        <x:v>1.703734598262665</x:v>
      </x:c>
      <x:c r="P34" s="27" t="str">
        <x:f>IF(AND(M34&gt;=-0.0000001,N34&gt;=-0.0000001,O34&gt;=-0.0000001),"满足","不满足")</x:f>
        <x:v>满足</x:v>
      </x:c>
    </x:row>
    <x:row r="35" ht="30" customHeight="1">
      <x:c r="A35" s="2" t="str">
        <x:v>SC002</x:v>
      </x:c>
      <x:c r="B35" s="14" t="n">
        <x:v>5</x:v>
      </x:c>
      <x:c r="C35" s="2" t="str">
        <x:v>SC002-013</x:v>
      </x:c>
      <x:c r="D35" s="2" t="str">
        <x:v>S010</x:v>
      </x:c>
      <x:c r="E35" s="2" t="str">
        <x:v>B</x:v>
      </x:c>
      <x:c r="F35" s="13" t="str">
        <x:v>S010-MED-01; S010-WAT-01; S010-FOD-01</x:v>
      </x:c>
      <x:c r="G35" s="20" t="n">
        <x:v>25</x:v>
      </x:c>
      <x:c r="H35" s="22" t="n">
        <x:v>0.067</x:v>
      </x:c>
      <x:c r="I35" s="20" t="n">
        <x:v>925.4035197802174</x:v>
      </x:c>
      <x:c r="J35" s="24" t="n">
        <x:v>1.8232165642314142</x:v>
      </x:c>
      <x:c r="K35" s="20" t="n">
        <x:v>1555.4035197802173</x:v>
      </x:c>
      <x:c r="L35" s="20" t="n">
        <x:f>(1-J35/VLOOKUP(E35,'口径说明'!$A$6:$E$8,4,FALSE))*100</x:f>
        <x:v>54.41958589421465</x:v>
      </x:c>
      <x:c r="M35" s="20" t="n">
        <x:f>VLOOKUP(E35,'口径说明'!$A$6:$E$8,2,FALSE)-G35</x:f>
        <x:v>5</x:v>
      </x:c>
      <x:c r="N35" s="22" t="n">
        <x:f>VLOOKUP(E35,'口径说明'!$A$6:$E$8,3,FALSE)-H35</x:f>
        <x:v>0.0059999999999999915</x:v>
      </x:c>
      <x:c r="O35" s="24" t="n">
        <x:f>VLOOKUP(E35,'口径说明'!$A$6:$E$8,4,FALSE)*(1-B35/100)-J35</x:f>
        <x:v>1.9767834357685856</x:v>
      </x:c>
      <x:c r="P35" s="26" t="str">
        <x:f>IF(AND(M35&gt;=-0.0000001,N35&gt;=-0.0000001,O35&gt;=-0.0000001),"满足","不满足")</x:f>
        <x:v>满足</x:v>
      </x:c>
    </x:row>
    <x:row r="36" ht="30" customHeight="1">
      <x:c r="A36" s="15" t="str">
        <x:v>SC002</x:v>
      </x:c>
      <x:c r="B36" s="17" t="n">
        <x:v>5</x:v>
      </x:c>
      <x:c r="C36" s="15" t="str">
        <x:v>SC002-014</x:v>
      </x:c>
      <x:c r="D36" s="15" t="str">
        <x:v>S011</x:v>
      </x:c>
      <x:c r="E36" s="15" t="str">
        <x:v>B</x:v>
      </x:c>
      <x:c r="F36" s="16" t="str">
        <x:v>S011-MED-01; S011-WAT-01; S011-FOD-01</x:v>
      </x:c>
      <x:c r="G36" s="21" t="n">
        <x:v>25</x:v>
      </x:c>
      <x:c r="H36" s="23" t="n">
        <x:v>0.067</x:v>
      </x:c>
      <x:c r="I36" s="21" t="n">
        <x:v>558.4247628605204</x:v>
      </x:c>
      <x:c r="J36" s="25" t="n">
        <x:v>1.0739366863951034</x:v>
      </x:c>
      <x:c r="K36" s="21" t="n">
        <x:v>1188.4247628605203</x:v>
      </x:c>
      <x:c r="L36" s="21" t="n">
        <x:f>(1-J36/VLOOKUP(E36,'口径说明'!$A$6:$E$8,4,FALSE))*100</x:f>
        <x:v>73.15158284012242</x:v>
      </x:c>
      <x:c r="M36" s="21" t="n">
        <x:f>VLOOKUP(E36,'口径说明'!$A$6:$E$8,2,FALSE)-G36</x:f>
        <x:v>5</x:v>
      </x:c>
      <x:c r="N36" s="23" t="n">
        <x:f>VLOOKUP(E36,'口径说明'!$A$6:$E$8,3,FALSE)-H36</x:f>
        <x:v>0.0059999999999999915</x:v>
      </x:c>
      <x:c r="O36" s="25" t="n">
        <x:f>VLOOKUP(E36,'口径说明'!$A$6:$E$8,4,FALSE)*(1-B36/100)-J36</x:f>
        <x:v>2.7260633136048966</x:v>
      </x:c>
      <x:c r="P36" s="27" t="str">
        <x:f>IF(AND(M36&gt;=-0.0000001,N36&gt;=-0.0000001,O36&gt;=-0.0000001),"满足","不满足")</x:f>
        <x:v>满足</x:v>
      </x:c>
    </x:row>
    <x:row r="37" ht="30" customHeight="1">
      <x:c r="A37" s="2" t="str">
        <x:v>SC002</x:v>
      </x:c>
      <x:c r="B37" s="14" t="n">
        <x:v>5</x:v>
      </x:c>
      <x:c r="C37" s="2" t="str">
        <x:v>SC002-015</x:v>
      </x:c>
      <x:c r="D37" s="2" t="str">
        <x:v>S012</x:v>
      </x:c>
      <x:c r="E37" s="2" t="str">
        <x:v>B</x:v>
      </x:c>
      <x:c r="F37" s="13" t="str">
        <x:v>S012-MED-01; S012-WAT-01; S012-FOD-01</x:v>
      </x:c>
      <x:c r="G37" s="20" t="n">
        <x:v>25</x:v>
      </x:c>
      <x:c r="H37" s="22" t="n">
        <x:v>0.067</x:v>
      </x:c>
      <x:c r="I37" s="20" t="n">
        <x:v>1292.826814149187</x:v>
      </x:c>
      <x:c r="J37" s="24" t="n">
        <x:v>2.7525999542899324</x:v>
      </x:c>
      <x:c r="K37" s="20" t="n">
        <x:v>1922.826814149187</x:v>
      </x:c>
      <x:c r="L37" s="20" t="n">
        <x:f>(1-J37/VLOOKUP(E37,'口径说明'!$A$6:$E$8,4,FALSE))*100</x:f>
        <x:v>31.185001142751688</x:v>
      </x:c>
      <x:c r="M37" s="20" t="n">
        <x:f>VLOOKUP(E37,'口径说明'!$A$6:$E$8,2,FALSE)-G37</x:f>
        <x:v>5</x:v>
      </x:c>
      <x:c r="N37" s="22" t="n">
        <x:f>VLOOKUP(E37,'口径说明'!$A$6:$E$8,3,FALSE)-H37</x:f>
        <x:v>0.0059999999999999915</x:v>
      </x:c>
      <x:c r="O37" s="24" t="n">
        <x:f>VLOOKUP(E37,'口径说明'!$A$6:$E$8,4,FALSE)*(1-B37/100)-J37</x:f>
        <x:v>1.0474000457100674</x:v>
      </x:c>
      <x:c r="P37" s="26" t="str">
        <x:f>IF(AND(M37&gt;=-0.0000001,N37&gt;=-0.0000001,O37&gt;=-0.0000001),"满足","不满足")</x:f>
        <x:v>满足</x:v>
      </x:c>
    </x:row>
    <x:row r="38" ht="30" customHeight="1">
      <x:c r="A38" s="15" t="str">
        <x:v>SC002</x:v>
      </x:c>
      <x:c r="B38" s="17" t="n">
        <x:v>5</x:v>
      </x:c>
      <x:c r="C38" s="15" t="str">
        <x:v>SC002-016</x:v>
      </x:c>
      <x:c r="D38" s="15" t="str">
        <x:v>S013</x:v>
      </x:c>
      <x:c r="E38" s="15" t="str">
        <x:v>B</x:v>
      </x:c>
      <x:c r="F38" s="16" t="str">
        <x:v>S013-MED-01; S013-WAT-01; S013-FOD-01</x:v>
      </x:c>
      <x:c r="G38" s="21" t="n">
        <x:v>25</x:v>
      </x:c>
      <x:c r="H38" s="23" t="n">
        <x:v>0.067</x:v>
      </x:c>
      <x:c r="I38" s="21" t="n">
        <x:v>880.511588744525</x:v>
      </x:c>
      <x:c r="J38" s="25" t="n">
        <x:v>1.8248281910807471</x:v>
      </x:c>
      <x:c r="K38" s="21" t="n">
        <x:v>1510.511588744525</x:v>
      </x:c>
      <x:c r="L38" s="21" t="n">
        <x:f>(1-J38/VLOOKUP(E38,'口径说明'!$A$6:$E$8,4,FALSE))*100</x:f>
        <x:v>54.37929522298133</x:v>
      </x:c>
      <x:c r="M38" s="21" t="n">
        <x:f>VLOOKUP(E38,'口径说明'!$A$6:$E$8,2,FALSE)-G38</x:f>
        <x:v>5</x:v>
      </x:c>
      <x:c r="N38" s="23" t="n">
        <x:f>VLOOKUP(E38,'口径说明'!$A$6:$E$8,3,FALSE)-H38</x:f>
        <x:v>0.0059999999999999915</x:v>
      </x:c>
      <x:c r="O38" s="25" t="n">
        <x:f>VLOOKUP(E38,'口径说明'!$A$6:$E$8,4,FALSE)*(1-B38/100)-J38</x:f>
        <x:v>1.9751718089192527</x:v>
      </x:c>
      <x:c r="P38" s="27" t="str">
        <x:f>IF(AND(M38&gt;=-0.0000001,N38&gt;=-0.0000001,O38&gt;=-0.0000001),"满足","不满足")</x:f>
        <x:v>满足</x:v>
      </x:c>
    </x:row>
    <x:row r="39" ht="30" customHeight="1">
      <x:c r="A39" s="2" t="str">
        <x:v>SC002</x:v>
      </x:c>
      <x:c r="B39" s="14" t="n">
        <x:v>5</x:v>
      </x:c>
      <x:c r="C39" s="2" t="str">
        <x:v>SC002-017</x:v>
      </x:c>
      <x:c r="D39" s="2" t="str">
        <x:v>S014</x:v>
      </x:c>
      <x:c r="E39" s="2" t="str">
        <x:v>B</x:v>
      </x:c>
      <x:c r="F39" s="13" t="str">
        <x:v>S014-MED-01; S014-WAT-01; S014-FOD-01</x:v>
      </x:c>
      <x:c r="G39" s="20" t="n">
        <x:v>25</x:v>
      </x:c>
      <x:c r="H39" s="22" t="n">
        <x:v>0.067</x:v>
      </x:c>
      <x:c r="I39" s="20" t="n">
        <x:v>1239.7476752786913</x:v>
      </x:c>
      <x:c r="J39" s="24" t="n">
        <x:v>2.1402909781417883</x:v>
      </x:c>
      <x:c r="K39" s="20" t="n">
        <x:v>1869.7476752786913</x:v>
      </x:c>
      <x:c r="L39" s="20" t="n">
        <x:f>(1-J39/VLOOKUP(E39,'口径说明'!$A$6:$E$8,4,FALSE))*100</x:f>
        <x:v>46.49272554645529</x:v>
      </x:c>
      <x:c r="M39" s="20" t="n">
        <x:f>VLOOKUP(E39,'口径说明'!$A$6:$E$8,2,FALSE)-G39</x:f>
        <x:v>5</x:v>
      </x:c>
      <x:c r="N39" s="22" t="n">
        <x:f>VLOOKUP(E39,'口径说明'!$A$6:$E$8,3,FALSE)-H39</x:f>
        <x:v>0.0059999999999999915</x:v>
      </x:c>
      <x:c r="O39" s="24" t="n">
        <x:f>VLOOKUP(E39,'口径说明'!$A$6:$E$8,4,FALSE)*(1-B39/100)-J39</x:f>
        <x:v>1.6597090218582116</x:v>
      </x:c>
      <x:c r="P39" s="26" t="str">
        <x:f>IF(AND(M39&gt;=-0.0000001,N39&gt;=-0.0000001,O39&gt;=-0.0000001),"满足","不满足")</x:f>
        <x:v>满足</x:v>
      </x:c>
    </x:row>
    <x:row r="40" ht="30" customHeight="1">
      <x:c r="A40" s="15" t="str">
        <x:v>SC002</x:v>
      </x:c>
      <x:c r="B40" s="17" t="n">
        <x:v>5</x:v>
      </x:c>
      <x:c r="C40" s="15" t="str">
        <x:v>SC002-018</x:v>
      </x:c>
      <x:c r="D40" s="15" t="str">
        <x:v>S015</x:v>
      </x:c>
      <x:c r="E40" s="15" t="str">
        <x:v>B</x:v>
      </x:c>
      <x:c r="F40" s="16" t="str">
        <x:v>S015-MED-01; S015-WAT-01; S015-FOD-01</x:v>
      </x:c>
      <x:c r="G40" s="21" t="n">
        <x:v>25</x:v>
      </x:c>
      <x:c r="H40" s="23" t="n">
        <x:v>0.067</x:v>
      </x:c>
      <x:c r="I40" s="21" t="n">
        <x:v>1198.3275601736595</x:v>
      </x:c>
      <x:c r="J40" s="25" t="n">
        <x:v>2.307528505752516</x:v>
      </x:c>
      <x:c r="K40" s="21" t="n">
        <x:v>1828.3275601736595</x:v>
      </x:c>
      <x:c r="L40" s="21" t="n">
        <x:f>(1-J40/VLOOKUP(E40,'口径说明'!$A$6:$E$8,4,FALSE))*100</x:f>
        <x:v>42.311787356187104</x:v>
      </x:c>
      <x:c r="M40" s="21" t="n">
        <x:f>VLOOKUP(E40,'口径说明'!$A$6:$E$8,2,FALSE)-G40</x:f>
        <x:v>5</x:v>
      </x:c>
      <x:c r="N40" s="23" t="n">
        <x:f>VLOOKUP(E40,'口径说明'!$A$6:$E$8,3,FALSE)-H40</x:f>
        <x:v>0.0059999999999999915</x:v>
      </x:c>
      <x:c r="O40" s="25" t="n">
        <x:f>VLOOKUP(E40,'口径说明'!$A$6:$E$8,4,FALSE)*(1-B40/100)-J40</x:f>
        <x:v>1.492471494247484</x:v>
      </x:c>
      <x:c r="P40" s="27" t="str">
        <x:f>IF(AND(M40&gt;=-0.0000001,N40&gt;=-0.0000001,O40&gt;=-0.0000001),"满足","不满足")</x:f>
        <x:v>满足</x:v>
      </x:c>
    </x:row>
    <x:row r="41" ht="61" customHeight="1">
      <x:c r="A41" s="2" t="str">
        <x:v>SC003</x:v>
      </x:c>
      <x:c r="B41" s="14" t="n">
        <x:v>10</x:v>
      </x:c>
      <x:c r="C41" s="2" t="str">
        <x:v>SC003-001</x:v>
      </x:c>
      <x:c r="D41" s="2" t="str">
        <x:v>S001</x:v>
      </x:c>
      <x:c r="E41" s="2" t="str">
        <x:v>C</x:v>
      </x:c>
      <x:c r="F41" s="13" t="str">
        <x:v>S001-WAT-01; S001-WAT-02; S001-WAT-03; S001-FOD-01; S001-FOD-02; S001-FOD-03; S001-HYG-01; S001-HYG-02</x:v>
      </x:c>
      <x:c r="G41" s="20" t="n">
        <x:v>78</x:v>
      </x:c>
      <x:c r="H41" s="22" t="n">
        <x:v>0.235</x:v>
      </x:c>
      <x:c r="I41" s="20" t="n">
        <x:v>618.1750458620229</x:v>
      </x:c>
      <x:c r="J41" s="24" t="n">
        <x:v>2.9957758049046697</x:v>
      </x:c>
      <x:c r="K41" s="20" t="n">
        <x:v>1626.175045862023</x:v>
      </x:c>
      <x:c r="L41" s="20" t="n">
        <x:f>(1-J41/VLOOKUP(E41,'口径说明'!$A$6:$E$8,4,FALSE))*100</x:f>
        <x:v>62.552802438691636</x:v>
      </x:c>
      <x:c r="M41" s="20" t="n">
        <x:f>VLOOKUP(E41,'口径说明'!$A$6:$E$8,2,FALSE)-G41</x:f>
        <x:v>2</x:v>
      </x:c>
      <x:c r="N41" s="22" t="n">
        <x:f>VLOOKUP(E41,'口径说明'!$A$6:$E$8,3,FALSE)-H41</x:f>
        <x:v>0.015000000000000013</x:v>
      </x:c>
      <x:c r="O41" s="24" t="n">
        <x:f>VLOOKUP(E41,'口径说明'!$A$6:$E$8,4,FALSE)*(1-B41/100)-J41</x:f>
        <x:v>4.20422419509533</x:v>
      </x:c>
      <x:c r="P41" s="26" t="str">
        <x:f>IF(AND(M41&gt;=-0.0000001,N41&gt;=-0.0000001,O41&gt;=-0.0000001),"满足","不满足")</x:f>
        <x:v>满足</x:v>
      </x:c>
    </x:row>
    <x:row r="42" ht="44" customHeight="1">
      <x:c r="A42" s="15" t="str">
        <x:v>SC003</x:v>
      </x:c>
      <x:c r="B42" s="17" t="n">
        <x:v>10</x:v>
      </x:c>
      <x:c r="C42" s="15" t="str">
        <x:v>SC003-002</x:v>
      </x:c>
      <x:c r="D42" s="15" t="str">
        <x:v>S001</x:v>
      </x:c>
      <x:c r="E42" s="15" t="str">
        <x:v>C</x:v>
      </x:c>
      <x:c r="F42" s="16" t="str">
        <x:v>S001-MED-01; S001-MED-02; S001-WAT-04; S001-WAT-05; S001-WAT-06; S001-WAT-07; S001-WAT-08</x:v>
      </x:c>
      <x:c r="G42" s="21" t="n">
        <x:v>76</x:v>
      </x:c>
      <x:c r="H42" s="23" t="n">
        <x:v>0.159</x:v>
      </x:c>
      <x:c r="I42" s="21" t="n">
        <x:v>618.1750458620229</x:v>
      </x:c>
      <x:c r="J42" s="25" t="n">
        <x:v>2.917588095586827</x:v>
      </x:c>
      <x:c r="K42" s="21" t="n">
        <x:v>1560.175045862023</x:v>
      </x:c>
      <x:c r="L42" s="21" t="n">
        <x:f>(1-J42/VLOOKUP(E42,'口径说明'!$A$6:$E$8,4,FALSE))*100</x:f>
        <x:v>63.53014880516466</x:v>
      </x:c>
      <x:c r="M42" s="21" t="n">
        <x:f>VLOOKUP(E42,'口径说明'!$A$6:$E$8,2,FALSE)-G42</x:f>
        <x:v>4</x:v>
      </x:c>
      <x:c r="N42" s="23" t="n">
        <x:f>VLOOKUP(E42,'口径说明'!$A$6:$E$8,3,FALSE)-H42</x:f>
        <x:v>0.091</x:v>
      </x:c>
      <x:c r="O42" s="25" t="n">
        <x:f>VLOOKUP(E42,'口径说明'!$A$6:$E$8,4,FALSE)*(1-B42/100)-J42</x:f>
        <x:v>4.282411904413173</x:v>
      </x:c>
      <x:c r="P42" s="27" t="str">
        <x:f>IF(AND(M42&gt;=-0.0000001,N42&gt;=-0.0000001,O42&gt;=-0.0000001),"满足","不满足")</x:f>
        <x:v>满足</x:v>
      </x:c>
    </x:row>
    <x:row r="43" ht="30" customHeight="1">
      <x:c r="A43" s="2" t="str">
        <x:v>SC003</x:v>
      </x:c>
      <x:c r="B43" s="14" t="n">
        <x:v>10</x:v>
      </x:c>
      <x:c r="C43" s="2" t="str">
        <x:v>SC003-003</x:v>
      </x:c>
      <x:c r="D43" s="2" t="str">
        <x:v>S002</x:v>
      </x:c>
      <x:c r="E43" s="2" t="str">
        <x:v>B</x:v>
      </x:c>
      <x:c r="F43" s="13" t="str">
        <x:v>S002-MED-01; S002-WAT-01; S002-FOD-01</x:v>
      </x:c>
      <x:c r="G43" s="20" t="n">
        <x:v>25</x:v>
      </x:c>
      <x:c r="H43" s="22" t="n">
        <x:v>0.067</x:v>
      </x:c>
      <x:c r="I43" s="20" t="n">
        <x:v>1186.7240813077576</x:v>
      </x:c>
      <x:c r="J43" s="24" t="n">
        <x:v>2.7134729412419873</x:v>
      </x:c>
      <x:c r="K43" s="20" t="n">
        <x:v>1816.7240813077576</x:v>
      </x:c>
      <x:c r="L43" s="20" t="n">
        <x:f>(1-J43/VLOOKUP(E43,'口径说明'!$A$6:$E$8,4,FALSE))*100</x:f>
        <x:v>32.16317646895032</x:v>
      </x:c>
      <x:c r="M43" s="20" t="n">
        <x:f>VLOOKUP(E43,'口径说明'!$A$6:$E$8,2,FALSE)-G43</x:f>
        <x:v>5</x:v>
      </x:c>
      <x:c r="N43" s="22" t="n">
        <x:f>VLOOKUP(E43,'口径说明'!$A$6:$E$8,3,FALSE)-H43</x:f>
        <x:v>0.0059999999999999915</x:v>
      </x:c>
      <x:c r="O43" s="24" t="n">
        <x:f>VLOOKUP(E43,'口径说明'!$A$6:$E$8,4,FALSE)*(1-B43/100)-J43</x:f>
        <x:v>0.8865270587580127</x:v>
      </x:c>
      <x:c r="P43" s="26" t="str">
        <x:f>IF(AND(M43&gt;=-0.0000001,N43&gt;=-0.0000001,O43&gt;=-0.0000001),"满足","不满足")</x:f>
        <x:v>满足</x:v>
      </x:c>
    </x:row>
    <x:row r="44" ht="44" customHeight="1">
      <x:c r="A44" s="15" t="str">
        <x:v>SC003</x:v>
      </x:c>
      <x:c r="B44" s="17" t="n">
        <x:v>10</x:v>
      </x:c>
      <x:c r="C44" s="15" t="str">
        <x:v>SC003-004</x:v>
      </x:c>
      <x:c r="D44" s="15" t="str">
        <x:v>S002</x:v>
      </x:c>
      <x:c r="E44" s="15" t="str">
        <x:v>C</x:v>
      </x:c>
      <x:c r="F44" s="16" t="str">
        <x:v>S002-WAT-02; S002-WAT-03; S002-WAT-04; S002-FOD-02; S002-HYG-01</x:v>
      </x:c>
      <x:c r="G44" s="21" t="n">
        <x:v>56</x:v>
      </x:c>
      <x:c r="H44" s="23" t="n">
        <x:v>0.144</x:v>
      </x:c>
      <x:c r="I44" s="21" t="n">
        <x:v>1231.8421660245544</x:v>
      </x:c>
      <x:c r="J44" s="25" t="n">
        <x:v>5.721356203945945</x:v>
      </x:c>
      <x:c r="K44" s="21" t="n">
        <x:v>2041.8421660245544</x:v>
      </x:c>
      <x:c r="L44" s="21" t="n">
        <x:f>(1-J44/VLOOKUP(E44,'口径说明'!$A$6:$E$8,4,FALSE))*100</x:f>
        <x:v>28.48304745067569</x:v>
      </x:c>
      <x:c r="M44" s="21" t="n">
        <x:f>VLOOKUP(E44,'口径说明'!$A$6:$E$8,2,FALSE)-G44</x:f>
        <x:v>24</x:v>
      </x:c>
      <x:c r="N44" s="23" t="n">
        <x:f>VLOOKUP(E44,'口径说明'!$A$6:$E$8,3,FALSE)-H44</x:f>
        <x:v>0.10600000000000001</x:v>
      </x:c>
      <x:c r="O44" s="25" t="n">
        <x:f>VLOOKUP(E44,'口径说明'!$A$6:$E$8,4,FALSE)*(1-B44/100)-J44</x:f>
        <x:v>1.4786437960540555</x:v>
      </x:c>
      <x:c r="P44" s="27" t="str">
        <x:f>IF(AND(M44&gt;=-0.0000001,N44&gt;=-0.0000001,O44&gt;=-0.0000001),"满足","不满足")</x:f>
        <x:v>满足</x:v>
      </x:c>
    </x:row>
    <x:row r="45" ht="30" customHeight="1">
      <x:c r="A45" s="2" t="str">
        <x:v>SC003</x:v>
      </x:c>
      <x:c r="B45" s="14" t="n">
        <x:v>10</x:v>
      </x:c>
      <x:c r="C45" s="2" t="str">
        <x:v>SC003-005</x:v>
      </x:c>
      <x:c r="D45" s="2" t="str">
        <x:v>S003</x:v>
      </x:c>
      <x:c r="E45" s="2" t="str">
        <x:v>B</x:v>
      </x:c>
      <x:c r="F45" s="13" t="str">
        <x:v>S003-MED-01; S003-WAT-01; S003-FOD-01</x:v>
      </x:c>
      <x:c r="G45" s="20" t="n">
        <x:v>25</x:v>
      </x:c>
      <x:c r="H45" s="22" t="n">
        <x:v>0.067</x:v>
      </x:c>
      <x:c r="I45" s="20" t="n">
        <x:v>1450.6096650380623</x:v>
      </x:c>
      <x:c r="J45" s="24" t="n">
        <x:v>2.7800780342326075</x:v>
      </x:c>
      <x:c r="K45" s="20" t="n">
        <x:v>2080.6096650380623</x:v>
      </x:c>
      <x:c r="L45" s="20" t="n">
        <x:f>(1-J45/VLOOKUP(E45,'口径说明'!$A$6:$E$8,4,FALSE))*100</x:f>
        <x:v>30.49804914418481</x:v>
      </x:c>
      <x:c r="M45" s="20" t="n">
        <x:f>VLOOKUP(E45,'口径说明'!$A$6:$E$8,2,FALSE)-G45</x:f>
        <x:v>5</x:v>
      </x:c>
      <x:c r="N45" s="22" t="n">
        <x:f>VLOOKUP(E45,'口径说明'!$A$6:$E$8,3,FALSE)-H45</x:f>
        <x:v>0.0059999999999999915</x:v>
      </x:c>
      <x:c r="O45" s="24" t="n">
        <x:f>VLOOKUP(E45,'口径说明'!$A$6:$E$8,4,FALSE)*(1-B45/100)-J45</x:f>
        <x:v>0.8199219657673926</x:v>
      </x:c>
      <x:c r="P45" s="26" t="str">
        <x:f>IF(AND(M45&gt;=-0.0000001,N45&gt;=-0.0000001,O45&gt;=-0.0000001),"满足","不满足")</x:f>
        <x:v>满足</x:v>
      </x:c>
    </x:row>
    <x:row r="46" ht="44" customHeight="1">
      <x:c r="A46" s="15" t="str">
        <x:v>SC003</x:v>
      </x:c>
      <x:c r="B46" s="17" t="n">
        <x:v>10</x:v>
      </x:c>
      <x:c r="C46" s="15" t="str">
        <x:v>SC003-006</x:v>
      </x:c>
      <x:c r="D46" s="15" t="str">
        <x:v>S003</x:v>
      </x:c>
      <x:c r="E46" s="15" t="str">
        <x:v>C</x:v>
      </x:c>
      <x:c r="F46" s="16" t="str">
        <x:v>S003-WAT-02; S003-WAT-03; S003-WAT-04; S003-FOD-02; S003-HYG-01</x:v>
      </x:c>
      <x:c r="G46" s="21" t="n">
        <x:v>56</x:v>
      </x:c>
      <x:c r="H46" s="23" t="n">
        <x:v>0.144</x:v>
      </x:c>
      <x:c r="I46" s="21" t="n">
        <x:v>1560.1777110992603</x:v>
      </x:c>
      <x:c r="J46" s="25" t="n">
        <x:v>5.7653646949838375</x:v>
      </x:c>
      <x:c r="K46" s="21" t="n">
        <x:v>2370.1777110992603</x:v>
      </x:c>
      <x:c r="L46" s="21" t="n">
        <x:f>(1-J46/VLOOKUP(E46,'口径说明'!$A$6:$E$8,4,FALSE))*100</x:f>
        <x:v>27.93294131270203</x:v>
      </x:c>
      <x:c r="M46" s="21" t="n">
        <x:f>VLOOKUP(E46,'口径说明'!$A$6:$E$8,2,FALSE)-G46</x:f>
        <x:v>24</x:v>
      </x:c>
      <x:c r="N46" s="23" t="n">
        <x:f>VLOOKUP(E46,'口径说明'!$A$6:$E$8,3,FALSE)-H46</x:f>
        <x:v>0.10600000000000001</x:v>
      </x:c>
      <x:c r="O46" s="25" t="n">
        <x:f>VLOOKUP(E46,'口径说明'!$A$6:$E$8,4,FALSE)*(1-B46/100)-J46</x:f>
        <x:v>1.4346353050161627</x:v>
      </x:c>
      <x:c r="P46" s="27" t="str">
        <x:f>IF(AND(M46&gt;=-0.0000001,N46&gt;=-0.0000001,O46&gt;=-0.0000001),"满足","不满足")</x:f>
        <x:v>满足</x:v>
      </x:c>
    </x:row>
    <x:row r="47" ht="44" customHeight="1">
      <x:c r="A47" s="2" t="str">
        <x:v>SC003</x:v>
      </x:c>
      <x:c r="B47" s="14" t="n">
        <x:v>10</x:v>
      </x:c>
      <x:c r="C47" s="2" t="str">
        <x:v>SC003-007</x:v>
      </x:c>
      <x:c r="D47" s="2" t="str">
        <x:v>S004</x:v>
      </x:c>
      <x:c r="E47" s="2" t="str">
        <x:v>C</x:v>
      </x:c>
      <x:c r="F47" s="13" t="str">
        <x:v>S004-MED-01; S004-WAT-01; S004-WAT-02; S004-WAT-03; S004-FOD-01; S004-HYG-01</x:v>
      </x:c>
      <x:c r="G47" s="20" t="n">
        <x:v>59</x:v>
      </x:c>
      <x:c r="H47" s="22" t="n">
        <x:v>0.156</x:v>
      </x:c>
      <x:c r="I47" s="20" t="n">
        <x:v>1425.0547187724458</x:v>
      </x:c>
      <x:c r="J47" s="24" t="n">
        <x:v>6.152860129174582</x:v>
      </x:c>
      <x:c r="K47" s="20" t="n">
        <x:v>2301.054718772446</x:v>
      </x:c>
      <x:c r="L47" s="20" t="n">
        <x:f>(1-J47/VLOOKUP(E47,'口径说明'!$A$6:$E$8,4,FALSE))*100</x:f>
        <x:v>23.089248385317727</x:v>
      </x:c>
      <x:c r="M47" s="20" t="n">
        <x:f>VLOOKUP(E47,'口径说明'!$A$6:$E$8,2,FALSE)-G47</x:f>
        <x:v>21</x:v>
      </x:c>
      <x:c r="N47" s="22" t="n">
        <x:f>VLOOKUP(E47,'口径说明'!$A$6:$E$8,3,FALSE)-H47</x:f>
        <x:v>0.094</x:v>
      </x:c>
      <x:c r="O47" s="24" t="n">
        <x:f>VLOOKUP(E47,'口径说明'!$A$6:$E$8,4,FALSE)*(1-B47/100)-J47</x:f>
        <x:v>1.0471398708254185</x:v>
      </x:c>
      <x:c r="P47" s="26" t="str">
        <x:f>IF(AND(M47&gt;=-0.0000001,N47&gt;=-0.0000001,O47&gt;=-0.0000001),"满足","不满足")</x:f>
        <x:v>满足</x:v>
      </x:c>
    </x:row>
    <x:row r="48" ht="44" customHeight="1">
      <x:c r="A48" s="15" t="str">
        <x:v>SC003</x:v>
      </x:c>
      <x:c r="B48" s="17" t="n">
        <x:v>10</x:v>
      </x:c>
      <x:c r="C48" s="15" t="str">
        <x:v>SC003-008</x:v>
      </x:c>
      <x:c r="D48" s="15" t="str">
        <x:v>S005</x:v>
      </x:c>
      <x:c r="E48" s="15" t="str">
        <x:v>C</x:v>
      </x:c>
      <x:c r="F48" s="16" t="str">
        <x:v>S005-MED-01; S005-WAT-01; S005-WAT-02; S005-WAT-03; S005-FOD-01; S005-HYG-01</x:v>
      </x:c>
      <x:c r="G48" s="21" t="n">
        <x:v>59</x:v>
      </x:c>
      <x:c r="H48" s="23" t="n">
        <x:v>0.156</x:v>
      </x:c>
      <x:c r="I48" s="21" t="n">
        <x:v>1001.1887154914712</x:v>
      </x:c>
      <x:c r="J48" s="25" t="n">
        <x:v>4.222137373445114</x:v>
      </x:c>
      <x:c r="K48" s="21" t="n">
        <x:v>1877.1887154914712</x:v>
      </x:c>
      <x:c r="L48" s="21" t="n">
        <x:f>(1-J48/VLOOKUP(E48,'口径说明'!$A$6:$E$8,4,FALSE))*100</x:f>
        <x:v>47.223282831936075</x:v>
      </x:c>
      <x:c r="M48" s="21" t="n">
        <x:f>VLOOKUP(E48,'口径说明'!$A$6:$E$8,2,FALSE)-G48</x:f>
        <x:v>21</x:v>
      </x:c>
      <x:c r="N48" s="23" t="n">
        <x:f>VLOOKUP(E48,'口径说明'!$A$6:$E$8,3,FALSE)-H48</x:f>
        <x:v>0.094</x:v>
      </x:c>
      <x:c r="O48" s="25" t="n">
        <x:f>VLOOKUP(E48,'口径说明'!$A$6:$E$8,4,FALSE)*(1-B48/100)-J48</x:f>
        <x:v>2.977862626554886</x:v>
      </x:c>
      <x:c r="P48" s="27" t="str">
        <x:f>IF(AND(M48&gt;=-0.0000001,N48&gt;=-0.0000001,O48&gt;=-0.0000001),"满足","不满足")</x:f>
        <x:v>满足</x:v>
      </x:c>
    </x:row>
    <x:row r="49" ht="44" customHeight="1">
      <x:c r="A49" s="2" t="str">
        <x:v>SC003</x:v>
      </x:c>
      <x:c r="B49" s="14" t="n">
        <x:v>10</x:v>
      </x:c>
      <x:c r="C49" s="2" t="str">
        <x:v>SC003-009</x:v>
      </x:c>
      <x:c r="D49" s="2" t="str">
        <x:v>S006</x:v>
      </x:c>
      <x:c r="E49" s="2" t="str">
        <x:v>C</x:v>
      </x:c>
      <x:c r="F49" s="13" t="str">
        <x:v>S006-MED-01; S006-WAT-01; S006-WAT-02; S006-WAT-03; S006-FOD-01; S006-HYG-01</x:v>
      </x:c>
      <x:c r="G49" s="20" t="n">
        <x:v>59</x:v>
      </x:c>
      <x:c r="H49" s="22" t="n">
        <x:v>0.156</x:v>
      </x:c>
      <x:c r="I49" s="20" t="n">
        <x:v>685.5526244866224</x:v>
      </x:c>
      <x:c r="J49" s="24" t="n">
        <x:v>2.5979362904386822</x:v>
      </x:c>
      <x:c r="K49" s="20" t="n">
        <x:v>1561.5526244866223</x:v>
      </x:c>
      <x:c r="L49" s="20" t="n">
        <x:f>(1-J49/VLOOKUP(E49,'口径说明'!$A$6:$E$8,4,FALSE))*100</x:f>
        <x:v>67.52579636951648</x:v>
      </x:c>
      <x:c r="M49" s="20" t="n">
        <x:f>VLOOKUP(E49,'口径说明'!$A$6:$E$8,2,FALSE)-G49</x:f>
        <x:v>21</x:v>
      </x:c>
      <x:c r="N49" s="22" t="n">
        <x:f>VLOOKUP(E49,'口径说明'!$A$6:$E$8,3,FALSE)-H49</x:f>
        <x:v>0.094</x:v>
      </x:c>
      <x:c r="O49" s="24" t="n">
        <x:f>VLOOKUP(E49,'口径说明'!$A$6:$E$8,4,FALSE)*(1-B49/100)-J49</x:f>
        <x:v>4.6020637095613175</x:v>
      </x:c>
      <x:c r="P49" s="26" t="str">
        <x:f>IF(AND(M49&gt;=-0.0000001,N49&gt;=-0.0000001,O49&gt;=-0.0000001),"满足","不满足")</x:f>
        <x:v>满足</x:v>
      </x:c>
    </x:row>
    <x:row r="50" ht="44" customHeight="1">
      <x:c r="A50" s="15" t="str">
        <x:v>SC003</x:v>
      </x:c>
      <x:c r="B50" s="17" t="n">
        <x:v>10</x:v>
      </x:c>
      <x:c r="C50" s="15" t="str">
        <x:v>SC003-010</x:v>
      </x:c>
      <x:c r="D50" s="15" t="str">
        <x:v>S007</x:v>
      </x:c>
      <x:c r="E50" s="15" t="str">
        <x:v>C</x:v>
      </x:c>
      <x:c r="F50" s="16" t="str">
        <x:v>S007-MED-01; S007-WAT-01; S007-WAT-02; S007-FOD-01; S007-HYG-01</x:v>
      </x:c>
      <x:c r="G50" s="21" t="n">
        <x:v>45</x:v>
      </x:c>
      <x:c r="H50" s="23" t="n">
        <x:v>0.129</x:v>
      </x:c>
      <x:c r="I50" s="21" t="n">
        <x:v>1097.600698410691</x:v>
      </x:c>
      <x:c r="J50" s="25" t="n">
        <x:v>3.4110038084433194</x:v>
      </x:c>
      <x:c r="K50" s="21" t="n">
        <x:v>1907.600698410691</x:v>
      </x:c>
      <x:c r="L50" s="21" t="n">
        <x:f>(1-J50/VLOOKUP(E50,'口径说明'!$A$6:$E$8,4,FALSE))*100</x:f>
        <x:v>57.36245239445851</x:v>
      </x:c>
      <x:c r="M50" s="21" t="n">
        <x:f>VLOOKUP(E50,'口径说明'!$A$6:$E$8,2,FALSE)-G50</x:f>
        <x:v>35</x:v>
      </x:c>
      <x:c r="N50" s="23" t="n">
        <x:f>VLOOKUP(E50,'口径说明'!$A$6:$E$8,3,FALSE)-H50</x:f>
        <x:v>0.121</x:v>
      </x:c>
      <x:c r="O50" s="25" t="n">
        <x:f>VLOOKUP(E50,'口径说明'!$A$6:$E$8,4,FALSE)*(1-B50/100)-J50</x:f>
        <x:v>3.7889961915566808</x:v>
      </x:c>
      <x:c r="P50" s="27" t="str">
        <x:f>IF(AND(M50&gt;=-0.0000001,N50&gt;=-0.0000001,O50&gt;=-0.0000001),"满足","不满足")</x:f>
        <x:v>满足</x:v>
      </x:c>
    </x:row>
    <x:row r="51" ht="44" customHeight="1">
      <x:c r="A51" s="2" t="str">
        <x:v>SC003</x:v>
      </x:c>
      <x:c r="B51" s="14" t="n">
        <x:v>10</x:v>
      </x:c>
      <x:c r="C51" s="2" t="str">
        <x:v>SC003-011</x:v>
      </x:c>
      <x:c r="D51" s="2" t="str">
        <x:v>S008</x:v>
      </x:c>
      <x:c r="E51" s="2" t="str">
        <x:v>C</x:v>
      </x:c>
      <x:c r="F51" s="13" t="str">
        <x:v>S008-MED-01; S008-WAT-01; S008-WAT-02; S008-FOD-01; S008-HYG-01</x:v>
      </x:c>
      <x:c r="G51" s="20" t="n">
        <x:v>45</x:v>
      </x:c>
      <x:c r="H51" s="22" t="n">
        <x:v>0.129</x:v>
      </x:c>
      <x:c r="I51" s="20" t="n">
        <x:v>1389.7115246008332</x:v>
      </x:c>
      <x:c r="J51" s="24" t="n">
        <x:v>5.836020667966359</x:v>
      </x:c>
      <x:c r="K51" s="20" t="n">
        <x:v>2199.7115246008334</x:v>
      </x:c>
      <x:c r="L51" s="20" t="n">
        <x:f>(1-J51/VLOOKUP(E51,'口径说明'!$A$6:$E$8,4,FALSE))*100</x:f>
        <x:v>27.04974165042051</x:v>
      </x:c>
      <x:c r="M51" s="20" t="n">
        <x:f>VLOOKUP(E51,'口径说明'!$A$6:$E$8,2,FALSE)-G51</x:f>
        <x:v>35</x:v>
      </x:c>
      <x:c r="N51" s="22" t="n">
        <x:f>VLOOKUP(E51,'口径说明'!$A$6:$E$8,3,FALSE)-H51</x:f>
        <x:v>0.121</x:v>
      </x:c>
      <x:c r="O51" s="24" t="n">
        <x:f>VLOOKUP(E51,'口径说明'!$A$6:$E$8,4,FALSE)*(1-B51/100)-J51</x:f>
        <x:v>1.363979332033641</x:v>
      </x:c>
      <x:c r="P51" s="26" t="str">
        <x:f>IF(AND(M51&gt;=-0.0000001,N51&gt;=-0.0000001,O51&gt;=-0.0000001),"满足","不满足")</x:f>
        <x:v>满足</x:v>
      </x:c>
    </x:row>
    <x:row r="52" ht="30" customHeight="1">
      <x:c r="A52" s="15" t="str">
        <x:v>SC003</x:v>
      </x:c>
      <x:c r="B52" s="17" t="n">
        <x:v>10</x:v>
      </x:c>
      <x:c r="C52" s="15" t="str">
        <x:v>SC003-012</x:v>
      </x:c>
      <x:c r="D52" s="15" t="str">
        <x:v>S009</x:v>
      </x:c>
      <x:c r="E52" s="15" t="str">
        <x:v>B</x:v>
      </x:c>
      <x:c r="F52" s="16" t="str">
        <x:v>S009-MED-01; S009-WAT-01; S009-FOD-01</x:v>
      </x:c>
      <x:c r="G52" s="21" t="n">
        <x:v>25</x:v>
      </x:c>
      <x:c r="H52" s="23" t="n">
        <x:v>0.067</x:v>
      </x:c>
      <x:c r="I52" s="21" t="n">
        <x:v>928.4628643343575</x:v>
      </x:c>
      <x:c r="J52" s="25" t="n">
        <x:v>2.0962654017373348</x:v>
      </x:c>
      <x:c r="K52" s="21" t="n">
        <x:v>1558.4628643343576</x:v>
      </x:c>
      <x:c r="L52" s="21" t="n">
        <x:f>(1-J52/VLOOKUP(E52,'口径说明'!$A$6:$E$8,4,FALSE))*100</x:f>
        <x:v>47.59336495656663</x:v>
      </x:c>
      <x:c r="M52" s="21" t="n">
        <x:f>VLOOKUP(E52,'口径说明'!$A$6:$E$8,2,FALSE)-G52</x:f>
        <x:v>5</x:v>
      </x:c>
      <x:c r="N52" s="23" t="n">
        <x:f>VLOOKUP(E52,'口径说明'!$A$6:$E$8,3,FALSE)-H52</x:f>
        <x:v>0.0059999999999999915</x:v>
      </x:c>
      <x:c r="O52" s="25" t="n">
        <x:f>VLOOKUP(E52,'口径说明'!$A$6:$E$8,4,FALSE)*(1-B52/100)-J52</x:f>
        <x:v>1.5037345982626653</x:v>
      </x:c>
      <x:c r="P52" s="27" t="str">
        <x:f>IF(AND(M52&gt;=-0.0000001,N52&gt;=-0.0000001,O52&gt;=-0.0000001),"满足","不满足")</x:f>
        <x:v>满足</x:v>
      </x:c>
    </x:row>
    <x:row r="53" ht="30" customHeight="1">
      <x:c r="A53" s="2" t="str">
        <x:v>SC003</x:v>
      </x:c>
      <x:c r="B53" s="14" t="n">
        <x:v>10</x:v>
      </x:c>
      <x:c r="C53" s="2" t="str">
        <x:v>SC003-013</x:v>
      </x:c>
      <x:c r="D53" s="2" t="str">
        <x:v>S010</x:v>
      </x:c>
      <x:c r="E53" s="2" t="str">
        <x:v>B</x:v>
      </x:c>
      <x:c r="F53" s="13" t="str">
        <x:v>S010-MED-01; S010-WAT-01; S010-FOD-01</x:v>
      </x:c>
      <x:c r="G53" s="20" t="n">
        <x:v>25</x:v>
      </x:c>
      <x:c r="H53" s="22" t="n">
        <x:v>0.067</x:v>
      </x:c>
      <x:c r="I53" s="20" t="n">
        <x:v>925.4035197802174</x:v>
      </x:c>
      <x:c r="J53" s="24" t="n">
        <x:v>1.8232165642314142</x:v>
      </x:c>
      <x:c r="K53" s="20" t="n">
        <x:v>1555.4035197802173</x:v>
      </x:c>
      <x:c r="L53" s="20" t="n">
        <x:f>(1-J53/VLOOKUP(E53,'口径说明'!$A$6:$E$8,4,FALSE))*100</x:f>
        <x:v>54.41958589421465</x:v>
      </x:c>
      <x:c r="M53" s="20" t="n">
        <x:f>VLOOKUP(E53,'口径说明'!$A$6:$E$8,2,FALSE)-G53</x:f>
        <x:v>5</x:v>
      </x:c>
      <x:c r="N53" s="22" t="n">
        <x:f>VLOOKUP(E53,'口径说明'!$A$6:$E$8,3,FALSE)-H53</x:f>
        <x:v>0.0059999999999999915</x:v>
      </x:c>
      <x:c r="O53" s="24" t="n">
        <x:f>VLOOKUP(E53,'口径说明'!$A$6:$E$8,4,FALSE)*(1-B53/100)-J53</x:f>
        <x:v>1.7767834357685859</x:v>
      </x:c>
      <x:c r="P53" s="26" t="str">
        <x:f>IF(AND(M53&gt;=-0.0000001,N53&gt;=-0.0000001,O53&gt;=-0.0000001),"满足","不满足")</x:f>
        <x:v>满足</x:v>
      </x:c>
    </x:row>
    <x:row r="54" ht="30" customHeight="1">
      <x:c r="A54" s="15" t="str">
        <x:v>SC003</x:v>
      </x:c>
      <x:c r="B54" s="17" t="n">
        <x:v>10</x:v>
      </x:c>
      <x:c r="C54" s="15" t="str">
        <x:v>SC003-014</x:v>
      </x:c>
      <x:c r="D54" s="15" t="str">
        <x:v>S011</x:v>
      </x:c>
      <x:c r="E54" s="15" t="str">
        <x:v>B</x:v>
      </x:c>
      <x:c r="F54" s="16" t="str">
        <x:v>S011-MED-01; S011-WAT-01; S011-FOD-01</x:v>
      </x:c>
      <x:c r="G54" s="21" t="n">
        <x:v>25</x:v>
      </x:c>
      <x:c r="H54" s="23" t="n">
        <x:v>0.067</x:v>
      </x:c>
      <x:c r="I54" s="21" t="n">
        <x:v>558.4247628605204</x:v>
      </x:c>
      <x:c r="J54" s="25" t="n">
        <x:v>1.0739366863951034</x:v>
      </x:c>
      <x:c r="K54" s="21" t="n">
        <x:v>1188.4247628605203</x:v>
      </x:c>
      <x:c r="L54" s="21" t="n">
        <x:f>(1-J54/VLOOKUP(E54,'口径说明'!$A$6:$E$8,4,FALSE))*100</x:f>
        <x:v>73.15158284012242</x:v>
      </x:c>
      <x:c r="M54" s="21" t="n">
        <x:f>VLOOKUP(E54,'口径说明'!$A$6:$E$8,2,FALSE)-G54</x:f>
        <x:v>5</x:v>
      </x:c>
      <x:c r="N54" s="23" t="n">
        <x:f>VLOOKUP(E54,'口径说明'!$A$6:$E$8,3,FALSE)-H54</x:f>
        <x:v>0.0059999999999999915</x:v>
      </x:c>
      <x:c r="O54" s="25" t="n">
        <x:f>VLOOKUP(E54,'口径说明'!$A$6:$E$8,4,FALSE)*(1-B54/100)-J54</x:f>
        <x:v>2.5260633136048964</x:v>
      </x:c>
      <x:c r="P54" s="27" t="str">
        <x:f>IF(AND(M54&gt;=-0.0000001,N54&gt;=-0.0000001,O54&gt;=-0.0000001),"满足","不满足")</x:f>
        <x:v>满足</x:v>
      </x:c>
    </x:row>
    <x:row r="55" ht="30" customHeight="1">
      <x:c r="A55" s="2" t="str">
        <x:v>SC003</x:v>
      </x:c>
      <x:c r="B55" s="14" t="n">
        <x:v>10</x:v>
      </x:c>
      <x:c r="C55" s="2" t="str">
        <x:v>SC003-015</x:v>
      </x:c>
      <x:c r="D55" s="2" t="str">
        <x:v>S012</x:v>
      </x:c>
      <x:c r="E55" s="2" t="str">
        <x:v>B</x:v>
      </x:c>
      <x:c r="F55" s="13" t="str">
        <x:v>S012-MED-01; S012-WAT-01; S012-FOD-01</x:v>
      </x:c>
      <x:c r="G55" s="20" t="n">
        <x:v>25</x:v>
      </x:c>
      <x:c r="H55" s="22" t="n">
        <x:v>0.067</x:v>
      </x:c>
      <x:c r="I55" s="20" t="n">
        <x:v>1292.826814149187</x:v>
      </x:c>
      <x:c r="J55" s="24" t="n">
        <x:v>2.7525999542899324</x:v>
      </x:c>
      <x:c r="K55" s="20" t="n">
        <x:v>1922.826814149187</x:v>
      </x:c>
      <x:c r="L55" s="20" t="n">
        <x:f>(1-J55/VLOOKUP(E55,'口径说明'!$A$6:$E$8,4,FALSE))*100</x:f>
        <x:v>31.185001142751688</x:v>
      </x:c>
      <x:c r="M55" s="20" t="n">
        <x:f>VLOOKUP(E55,'口径说明'!$A$6:$E$8,2,FALSE)-G55</x:f>
        <x:v>5</x:v>
      </x:c>
      <x:c r="N55" s="22" t="n">
        <x:f>VLOOKUP(E55,'口径说明'!$A$6:$E$8,3,FALSE)-H55</x:f>
        <x:v>0.0059999999999999915</x:v>
      </x:c>
      <x:c r="O55" s="24" t="n">
        <x:f>VLOOKUP(E55,'口径说明'!$A$6:$E$8,4,FALSE)*(1-B55/100)-J55</x:f>
        <x:v>0.8474000457100677</x:v>
      </x:c>
      <x:c r="P55" s="26" t="str">
        <x:f>IF(AND(M55&gt;=-0.0000001,N55&gt;=-0.0000001,O55&gt;=-0.0000001),"满足","不满足")</x:f>
        <x:v>满足</x:v>
      </x:c>
    </x:row>
    <x:row r="56" ht="30" customHeight="1">
      <x:c r="A56" s="15" t="str">
        <x:v>SC003</x:v>
      </x:c>
      <x:c r="B56" s="17" t="n">
        <x:v>10</x:v>
      </x:c>
      <x:c r="C56" s="15" t="str">
        <x:v>SC003-016</x:v>
      </x:c>
      <x:c r="D56" s="15" t="str">
        <x:v>S013</x:v>
      </x:c>
      <x:c r="E56" s="15" t="str">
        <x:v>B</x:v>
      </x:c>
      <x:c r="F56" s="16" t="str">
        <x:v>S013-MED-01; S013-WAT-01; S013-FOD-01</x:v>
      </x:c>
      <x:c r="G56" s="21" t="n">
        <x:v>25</x:v>
      </x:c>
      <x:c r="H56" s="23" t="n">
        <x:v>0.067</x:v>
      </x:c>
      <x:c r="I56" s="21" t="n">
        <x:v>880.511588744525</x:v>
      </x:c>
      <x:c r="J56" s="25" t="n">
        <x:v>1.8248281910807471</x:v>
      </x:c>
      <x:c r="K56" s="21" t="n">
        <x:v>1510.511588744525</x:v>
      </x:c>
      <x:c r="L56" s="21" t="n">
        <x:f>(1-J56/VLOOKUP(E56,'口径说明'!$A$6:$E$8,4,FALSE))*100</x:f>
        <x:v>54.37929522298133</x:v>
      </x:c>
      <x:c r="M56" s="21" t="n">
        <x:f>VLOOKUP(E56,'口径说明'!$A$6:$E$8,2,FALSE)-G56</x:f>
        <x:v>5</x:v>
      </x:c>
      <x:c r="N56" s="23" t="n">
        <x:f>VLOOKUP(E56,'口径说明'!$A$6:$E$8,3,FALSE)-H56</x:f>
        <x:v>0.0059999999999999915</x:v>
      </x:c>
      <x:c r="O56" s="25" t="n">
        <x:f>VLOOKUP(E56,'口径说明'!$A$6:$E$8,4,FALSE)*(1-B56/100)-J56</x:f>
        <x:v>1.775171808919253</x:v>
      </x:c>
      <x:c r="P56" s="27" t="str">
        <x:f>IF(AND(M56&gt;=-0.0000001,N56&gt;=-0.0000001,O56&gt;=-0.0000001),"满足","不满足")</x:f>
        <x:v>满足</x:v>
      </x:c>
    </x:row>
    <x:row r="57" ht="30" customHeight="1">
      <x:c r="A57" s="2" t="str">
        <x:v>SC003</x:v>
      </x:c>
      <x:c r="B57" s="14" t="n">
        <x:v>10</x:v>
      </x:c>
      <x:c r="C57" s="2" t="str">
        <x:v>SC003-017</x:v>
      </x:c>
      <x:c r="D57" s="2" t="str">
        <x:v>S014</x:v>
      </x:c>
      <x:c r="E57" s="2" t="str">
        <x:v>B</x:v>
      </x:c>
      <x:c r="F57" s="13" t="str">
        <x:v>S014-MED-01; S014-WAT-01; S014-FOD-01</x:v>
      </x:c>
      <x:c r="G57" s="20" t="n">
        <x:v>25</x:v>
      </x:c>
      <x:c r="H57" s="22" t="n">
        <x:v>0.067</x:v>
      </x:c>
      <x:c r="I57" s="20" t="n">
        <x:v>1239.7476752786913</x:v>
      </x:c>
      <x:c r="J57" s="24" t="n">
        <x:v>2.1402909781417883</x:v>
      </x:c>
      <x:c r="K57" s="20" t="n">
        <x:v>1869.7476752786913</x:v>
      </x:c>
      <x:c r="L57" s="20" t="n">
        <x:f>(1-J57/VLOOKUP(E57,'口径说明'!$A$6:$E$8,4,FALSE))*100</x:f>
        <x:v>46.49272554645529</x:v>
      </x:c>
      <x:c r="M57" s="20" t="n">
        <x:f>VLOOKUP(E57,'口径说明'!$A$6:$E$8,2,FALSE)-G57</x:f>
        <x:v>5</x:v>
      </x:c>
      <x:c r="N57" s="22" t="n">
        <x:f>VLOOKUP(E57,'口径说明'!$A$6:$E$8,3,FALSE)-H57</x:f>
        <x:v>0.0059999999999999915</x:v>
      </x:c>
      <x:c r="O57" s="24" t="n">
        <x:f>VLOOKUP(E57,'口径说明'!$A$6:$E$8,4,FALSE)*(1-B57/100)-J57</x:f>
        <x:v>1.4597090218582118</x:v>
      </x:c>
      <x:c r="P57" s="26" t="str">
        <x:f>IF(AND(M57&gt;=-0.0000001,N57&gt;=-0.0000001,O57&gt;=-0.0000001),"满足","不满足")</x:f>
        <x:v>满足</x:v>
      </x:c>
    </x:row>
    <x:row r="58" ht="30" customHeight="1">
      <x:c r="A58" s="15" t="str">
        <x:v>SC003</x:v>
      </x:c>
      <x:c r="B58" s="17" t="n">
        <x:v>10</x:v>
      </x:c>
      <x:c r="C58" s="15" t="str">
        <x:v>SC003-018</x:v>
      </x:c>
      <x:c r="D58" s="15" t="str">
        <x:v>S015</x:v>
      </x:c>
      <x:c r="E58" s="15" t="str">
        <x:v>B</x:v>
      </x:c>
      <x:c r="F58" s="16" t="str">
        <x:v>S015-MED-01; S015-WAT-01; S015-FOD-01</x:v>
      </x:c>
      <x:c r="G58" s="21" t="n">
        <x:v>25</x:v>
      </x:c>
      <x:c r="H58" s="23" t="n">
        <x:v>0.067</x:v>
      </x:c>
      <x:c r="I58" s="21" t="n">
        <x:v>1198.3275601736595</x:v>
      </x:c>
      <x:c r="J58" s="25" t="n">
        <x:v>2.307528505752516</x:v>
      </x:c>
      <x:c r="K58" s="21" t="n">
        <x:v>1828.3275601736595</x:v>
      </x:c>
      <x:c r="L58" s="21" t="n">
        <x:f>(1-J58/VLOOKUP(E58,'口径说明'!$A$6:$E$8,4,FALSE))*100</x:f>
        <x:v>42.311787356187104</x:v>
      </x:c>
      <x:c r="M58" s="21" t="n">
        <x:f>VLOOKUP(E58,'口径说明'!$A$6:$E$8,2,FALSE)-G58</x:f>
        <x:v>5</x:v>
      </x:c>
      <x:c r="N58" s="23" t="n">
        <x:f>VLOOKUP(E58,'口径说明'!$A$6:$E$8,3,FALSE)-H58</x:f>
        <x:v>0.0059999999999999915</x:v>
      </x:c>
      <x:c r="O58" s="25" t="n">
        <x:f>VLOOKUP(E58,'口径说明'!$A$6:$E$8,4,FALSE)*(1-B58/100)-J58</x:f>
        <x:v>1.2924714942474842</x:v>
      </x:c>
      <x:c r="P58" s="27" t="str">
        <x:f>IF(AND(M58&gt;=-0.0000001,N58&gt;=-0.0000001,O58&gt;=-0.0000001),"满足","不满足")</x:f>
        <x:v>满足</x:v>
      </x:c>
    </x:row>
    <x:row r="59" ht="61" customHeight="1">
      <x:c r="A59" s="2" t="str">
        <x:v>SC004</x:v>
      </x:c>
      <x:c r="B59" s="14" t="n">
        <x:v>15</x:v>
      </x:c>
      <x:c r="C59" s="2" t="str">
        <x:v>SC004-001</x:v>
      </x:c>
      <x:c r="D59" s="2" t="str">
        <x:v>S001</x:v>
      </x:c>
      <x:c r="E59" s="2" t="str">
        <x:v>C</x:v>
      </x:c>
      <x:c r="F59" s="13" t="str">
        <x:v>S001-WAT-01; S001-WAT-02; S001-WAT-03; S001-FOD-01; S001-FOD-02; S001-FOD-03; S001-HYG-01; S001-HYG-02</x:v>
      </x:c>
      <x:c r="G59" s="20" t="n">
        <x:v>78</x:v>
      </x:c>
      <x:c r="H59" s="22" t="n">
        <x:v>0.235</x:v>
      </x:c>
      <x:c r="I59" s="20" t="n">
        <x:v>618.1750458620229</x:v>
      </x:c>
      <x:c r="J59" s="24" t="n">
        <x:v>2.9957758049046697</x:v>
      </x:c>
      <x:c r="K59" s="20" t="n">
        <x:v>1626.175045862023</x:v>
      </x:c>
      <x:c r="L59" s="20" t="n">
        <x:f>(1-J59/VLOOKUP(E59,'口径说明'!$A$6:$E$8,4,FALSE))*100</x:f>
        <x:v>62.552802438691636</x:v>
      </x:c>
      <x:c r="M59" s="20" t="n">
        <x:f>VLOOKUP(E59,'口径说明'!$A$6:$E$8,2,FALSE)-G59</x:f>
        <x:v>2</x:v>
      </x:c>
      <x:c r="N59" s="22" t="n">
        <x:f>VLOOKUP(E59,'口径说明'!$A$6:$E$8,3,FALSE)-H59</x:f>
        <x:v>0.015000000000000013</x:v>
      </x:c>
      <x:c r="O59" s="24" t="n">
        <x:f>VLOOKUP(E59,'口径说明'!$A$6:$E$8,4,FALSE)*(1-B59/100)-J59</x:f>
        <x:v>3.80422419509533</x:v>
      </x:c>
      <x:c r="P59" s="26" t="str">
        <x:f>IF(AND(M59&gt;=-0.0000001,N59&gt;=-0.0000001,O59&gt;=-0.0000001),"满足","不满足")</x:f>
        <x:v>满足</x:v>
      </x:c>
    </x:row>
    <x:row r="60" ht="44" customHeight="1">
      <x:c r="A60" s="15" t="str">
        <x:v>SC004</x:v>
      </x:c>
      <x:c r="B60" s="17" t="n">
        <x:v>15</x:v>
      </x:c>
      <x:c r="C60" s="15" t="str">
        <x:v>SC004-002</x:v>
      </x:c>
      <x:c r="D60" s="15" t="str">
        <x:v>S001</x:v>
      </x:c>
      <x:c r="E60" s="15" t="str">
        <x:v>C</x:v>
      </x:c>
      <x:c r="F60" s="16" t="str">
        <x:v>S001-MED-01; S001-MED-02; S001-WAT-04; S001-WAT-05; S001-WAT-06; S001-WAT-07; S001-WAT-08</x:v>
      </x:c>
      <x:c r="G60" s="21" t="n">
        <x:v>76</x:v>
      </x:c>
      <x:c r="H60" s="23" t="n">
        <x:v>0.159</x:v>
      </x:c>
      <x:c r="I60" s="21" t="n">
        <x:v>618.1750458620229</x:v>
      </x:c>
      <x:c r="J60" s="25" t="n">
        <x:v>2.917588095586827</x:v>
      </x:c>
      <x:c r="K60" s="21" t="n">
        <x:v>1560.175045862023</x:v>
      </x:c>
      <x:c r="L60" s="21" t="n">
        <x:f>(1-J60/VLOOKUP(E60,'口径说明'!$A$6:$E$8,4,FALSE))*100</x:f>
        <x:v>63.53014880516466</x:v>
      </x:c>
      <x:c r="M60" s="21" t="n">
        <x:f>VLOOKUP(E60,'口径说明'!$A$6:$E$8,2,FALSE)-G60</x:f>
        <x:v>4</x:v>
      </x:c>
      <x:c r="N60" s="23" t="n">
        <x:f>VLOOKUP(E60,'口径说明'!$A$6:$E$8,3,FALSE)-H60</x:f>
        <x:v>0.091</x:v>
      </x:c>
      <x:c r="O60" s="25" t="n">
        <x:f>VLOOKUP(E60,'口径说明'!$A$6:$E$8,4,FALSE)*(1-B60/100)-J60</x:f>
        <x:v>3.8824119044131726</x:v>
      </x:c>
      <x:c r="P60" s="27" t="str">
        <x:f>IF(AND(M60&gt;=-0.0000001,N60&gt;=-0.0000001,O60&gt;=-0.0000001),"满足","不满足")</x:f>
        <x:v>满足</x:v>
      </x:c>
    </x:row>
    <x:row r="61" ht="30" customHeight="1">
      <x:c r="A61" s="2" t="str">
        <x:v>SC004</x:v>
      </x:c>
      <x:c r="B61" s="14" t="n">
        <x:v>15</x:v>
      </x:c>
      <x:c r="C61" s="2" t="str">
        <x:v>SC004-003</x:v>
      </x:c>
      <x:c r="D61" s="2" t="str">
        <x:v>S002</x:v>
      </x:c>
      <x:c r="E61" s="2" t="str">
        <x:v>B</x:v>
      </x:c>
      <x:c r="F61" s="13" t="str">
        <x:v>S002-MED-01; S002-WAT-01; S002-FOD-01</x:v>
      </x:c>
      <x:c r="G61" s="20" t="n">
        <x:v>25</x:v>
      </x:c>
      <x:c r="H61" s="22" t="n">
        <x:v>0.067</x:v>
      </x:c>
      <x:c r="I61" s="20" t="n">
        <x:v>1186.7240813077576</x:v>
      </x:c>
      <x:c r="J61" s="24" t="n">
        <x:v>2.7134729412419873</x:v>
      </x:c>
      <x:c r="K61" s="20" t="n">
        <x:v>1816.7240813077576</x:v>
      </x:c>
      <x:c r="L61" s="20" t="n">
        <x:f>(1-J61/VLOOKUP(E61,'口径说明'!$A$6:$E$8,4,FALSE))*100</x:f>
        <x:v>32.16317646895032</x:v>
      </x:c>
      <x:c r="M61" s="20" t="n">
        <x:f>VLOOKUP(E61,'口径说明'!$A$6:$E$8,2,FALSE)-G61</x:f>
        <x:v>5</x:v>
      </x:c>
      <x:c r="N61" s="22" t="n">
        <x:f>VLOOKUP(E61,'口径说明'!$A$6:$E$8,3,FALSE)-H61</x:f>
        <x:v>0.0059999999999999915</x:v>
      </x:c>
      <x:c r="O61" s="24" t="n">
        <x:f>VLOOKUP(E61,'口径说明'!$A$6:$E$8,4,FALSE)*(1-B61/100)-J61</x:f>
        <x:v>0.6865270587580126</x:v>
      </x:c>
      <x:c r="P61" s="26" t="str">
        <x:f>IF(AND(M61&gt;=-0.0000001,N61&gt;=-0.0000001,O61&gt;=-0.0000001),"满足","不满足")</x:f>
        <x:v>满足</x:v>
      </x:c>
    </x:row>
    <x:row r="62" ht="44" customHeight="1">
      <x:c r="A62" s="15" t="str">
        <x:v>SC004</x:v>
      </x:c>
      <x:c r="B62" s="17" t="n">
        <x:v>15</x:v>
      </x:c>
      <x:c r="C62" s="15" t="str">
        <x:v>SC004-004</x:v>
      </x:c>
      <x:c r="D62" s="15" t="str">
        <x:v>S002</x:v>
      </x:c>
      <x:c r="E62" s="15" t="str">
        <x:v>C</x:v>
      </x:c>
      <x:c r="F62" s="16" t="str">
        <x:v>S002-WAT-02; S002-WAT-03; S002-WAT-04; S002-FOD-02; S002-HYG-01</x:v>
      </x:c>
      <x:c r="G62" s="21" t="n">
        <x:v>56</x:v>
      </x:c>
      <x:c r="H62" s="23" t="n">
        <x:v>0.144</x:v>
      </x:c>
      <x:c r="I62" s="21" t="n">
        <x:v>1231.8421660245544</x:v>
      </x:c>
      <x:c r="J62" s="25" t="n">
        <x:v>5.721356203945945</x:v>
      </x:c>
      <x:c r="K62" s="21" t="n">
        <x:v>2041.8421660245544</x:v>
      </x:c>
      <x:c r="L62" s="21" t="n">
        <x:f>(1-J62/VLOOKUP(E62,'口径说明'!$A$6:$E$8,4,FALSE))*100</x:f>
        <x:v>28.48304745067569</x:v>
      </x:c>
      <x:c r="M62" s="21" t="n">
        <x:f>VLOOKUP(E62,'口径说明'!$A$6:$E$8,2,FALSE)-G62</x:f>
        <x:v>24</x:v>
      </x:c>
      <x:c r="N62" s="23" t="n">
        <x:f>VLOOKUP(E62,'口径说明'!$A$6:$E$8,3,FALSE)-H62</x:f>
        <x:v>0.10600000000000001</x:v>
      </x:c>
      <x:c r="O62" s="25" t="n">
        <x:f>VLOOKUP(E62,'口径说明'!$A$6:$E$8,4,FALSE)*(1-B62/100)-J62</x:f>
        <x:v>1.0786437960540551</x:v>
      </x:c>
      <x:c r="P62" s="27" t="str">
        <x:f>IF(AND(M62&gt;=-0.0000001,N62&gt;=-0.0000001,O62&gt;=-0.0000001),"满足","不满足")</x:f>
        <x:v>满足</x:v>
      </x:c>
    </x:row>
    <x:row r="63" ht="30" customHeight="1">
      <x:c r="A63" s="2" t="str">
        <x:v>SC004</x:v>
      </x:c>
      <x:c r="B63" s="14" t="n">
        <x:v>15</x:v>
      </x:c>
      <x:c r="C63" s="2" t="str">
        <x:v>SC004-005</x:v>
      </x:c>
      <x:c r="D63" s="2" t="str">
        <x:v>S003</x:v>
      </x:c>
      <x:c r="E63" s="2" t="str">
        <x:v>B</x:v>
      </x:c>
      <x:c r="F63" s="13" t="str">
        <x:v>S003-MED-01; S003-WAT-01; S003-FOD-01</x:v>
      </x:c>
      <x:c r="G63" s="20" t="n">
        <x:v>25</x:v>
      </x:c>
      <x:c r="H63" s="22" t="n">
        <x:v>0.067</x:v>
      </x:c>
      <x:c r="I63" s="20" t="n">
        <x:v>1450.6096650380623</x:v>
      </x:c>
      <x:c r="J63" s="24" t="n">
        <x:v>2.7800780342326075</x:v>
      </x:c>
      <x:c r="K63" s="20" t="n">
        <x:v>2080.6096650380623</x:v>
      </x:c>
      <x:c r="L63" s="20" t="n">
        <x:f>(1-J63/VLOOKUP(E63,'口径说明'!$A$6:$E$8,4,FALSE))*100</x:f>
        <x:v>30.49804914418481</x:v>
      </x:c>
      <x:c r="M63" s="20" t="n">
        <x:f>VLOOKUP(E63,'口径说明'!$A$6:$E$8,2,FALSE)-G63</x:f>
        <x:v>5</x:v>
      </x:c>
      <x:c r="N63" s="22" t="n">
        <x:f>VLOOKUP(E63,'口径说明'!$A$6:$E$8,3,FALSE)-H63</x:f>
        <x:v>0.0059999999999999915</x:v>
      </x:c>
      <x:c r="O63" s="24" t="n">
        <x:f>VLOOKUP(E63,'口径说明'!$A$6:$E$8,4,FALSE)*(1-B63/100)-J63</x:f>
        <x:v>0.6199219657673924</x:v>
      </x:c>
      <x:c r="P63" s="26" t="str">
        <x:f>IF(AND(M63&gt;=-0.0000001,N63&gt;=-0.0000001,O63&gt;=-0.0000001),"满足","不满足")</x:f>
        <x:v>满足</x:v>
      </x:c>
    </x:row>
    <x:row r="64" ht="44" customHeight="1">
      <x:c r="A64" s="15" t="str">
        <x:v>SC004</x:v>
      </x:c>
      <x:c r="B64" s="17" t="n">
        <x:v>15</x:v>
      </x:c>
      <x:c r="C64" s="15" t="str">
        <x:v>SC004-006</x:v>
      </x:c>
      <x:c r="D64" s="15" t="str">
        <x:v>S003</x:v>
      </x:c>
      <x:c r="E64" s="15" t="str">
        <x:v>C</x:v>
      </x:c>
      <x:c r="F64" s="16" t="str">
        <x:v>S003-WAT-02; S003-WAT-03; S003-WAT-04; S003-FOD-02; S003-HYG-01</x:v>
      </x:c>
      <x:c r="G64" s="21" t="n">
        <x:v>56</x:v>
      </x:c>
      <x:c r="H64" s="23" t="n">
        <x:v>0.144</x:v>
      </x:c>
      <x:c r="I64" s="21" t="n">
        <x:v>1560.1777110992603</x:v>
      </x:c>
      <x:c r="J64" s="25" t="n">
        <x:v>5.7653646949838375</x:v>
      </x:c>
      <x:c r="K64" s="21" t="n">
        <x:v>2370.1777110992603</x:v>
      </x:c>
      <x:c r="L64" s="21" t="n">
        <x:f>(1-J64/VLOOKUP(E64,'口径说明'!$A$6:$E$8,4,FALSE))*100</x:f>
        <x:v>27.93294131270203</x:v>
      </x:c>
      <x:c r="M64" s="21" t="n">
        <x:f>VLOOKUP(E64,'口径说明'!$A$6:$E$8,2,FALSE)-G64</x:f>
        <x:v>24</x:v>
      </x:c>
      <x:c r="N64" s="23" t="n">
        <x:f>VLOOKUP(E64,'口径说明'!$A$6:$E$8,3,FALSE)-H64</x:f>
        <x:v>0.10600000000000001</x:v>
      </x:c>
      <x:c r="O64" s="25" t="n">
        <x:f>VLOOKUP(E64,'口径说明'!$A$6:$E$8,4,FALSE)*(1-B64/100)-J64</x:f>
        <x:v>1.0346353050161623</x:v>
      </x:c>
      <x:c r="P64" s="27" t="str">
        <x:f>IF(AND(M64&gt;=-0.0000001,N64&gt;=-0.0000001,O64&gt;=-0.0000001),"满足","不满足")</x:f>
        <x:v>满足</x:v>
      </x:c>
    </x:row>
    <x:row r="65" ht="44" customHeight="1">
      <x:c r="A65" s="2" t="str">
        <x:v>SC004</x:v>
      </x:c>
      <x:c r="B65" s="14" t="n">
        <x:v>15</x:v>
      </x:c>
      <x:c r="C65" s="2" t="str">
        <x:v>SC004-007</x:v>
      </x:c>
      <x:c r="D65" s="2" t="str">
        <x:v>S004</x:v>
      </x:c>
      <x:c r="E65" s="2" t="str">
        <x:v>C</x:v>
      </x:c>
      <x:c r="F65" s="13" t="str">
        <x:v>S004-MED-01; S004-WAT-01; S004-WAT-02; S004-WAT-03; S004-FOD-01; S004-HYG-01</x:v>
      </x:c>
      <x:c r="G65" s="20" t="n">
        <x:v>59</x:v>
      </x:c>
      <x:c r="H65" s="22" t="n">
        <x:v>0.156</x:v>
      </x:c>
      <x:c r="I65" s="20" t="n">
        <x:v>1425.0547187724458</x:v>
      </x:c>
      <x:c r="J65" s="24" t="n">
        <x:v>6.152860129174582</x:v>
      </x:c>
      <x:c r="K65" s="20" t="n">
        <x:v>2301.054718772446</x:v>
      </x:c>
      <x:c r="L65" s="20" t="n">
        <x:f>(1-J65/VLOOKUP(E65,'口径说明'!$A$6:$E$8,4,FALSE))*100</x:f>
        <x:v>23.089248385317727</x:v>
      </x:c>
      <x:c r="M65" s="20" t="n">
        <x:f>VLOOKUP(E65,'口径说明'!$A$6:$E$8,2,FALSE)-G65</x:f>
        <x:v>21</x:v>
      </x:c>
      <x:c r="N65" s="22" t="n">
        <x:f>VLOOKUP(E65,'口径说明'!$A$6:$E$8,3,FALSE)-H65</x:f>
        <x:v>0.094</x:v>
      </x:c>
      <x:c r="O65" s="24" t="n">
        <x:f>VLOOKUP(E65,'口径说明'!$A$6:$E$8,4,FALSE)*(1-B65/100)-J65</x:f>
        <x:v>0.6471398708254181</x:v>
      </x:c>
      <x:c r="P65" s="26" t="str">
        <x:f>IF(AND(M65&gt;=-0.0000001,N65&gt;=-0.0000001,O65&gt;=-0.0000001),"满足","不满足")</x:f>
        <x:v>满足</x:v>
      </x:c>
    </x:row>
    <x:row r="66" ht="44" customHeight="1">
      <x:c r="A66" s="15" t="str">
        <x:v>SC004</x:v>
      </x:c>
      <x:c r="B66" s="17" t="n">
        <x:v>15</x:v>
      </x:c>
      <x:c r="C66" s="15" t="str">
        <x:v>SC004-008</x:v>
      </x:c>
      <x:c r="D66" s="15" t="str">
        <x:v>S005</x:v>
      </x:c>
      <x:c r="E66" s="15" t="str">
        <x:v>C</x:v>
      </x:c>
      <x:c r="F66" s="16" t="str">
        <x:v>S005-MED-01; S005-WAT-01; S005-WAT-02; S005-WAT-03; S005-FOD-01; S005-HYG-01</x:v>
      </x:c>
      <x:c r="G66" s="21" t="n">
        <x:v>59</x:v>
      </x:c>
      <x:c r="H66" s="23" t="n">
        <x:v>0.156</x:v>
      </x:c>
      <x:c r="I66" s="21" t="n">
        <x:v>1001.1887154914712</x:v>
      </x:c>
      <x:c r="J66" s="25" t="n">
        <x:v>4.222137373445114</x:v>
      </x:c>
      <x:c r="K66" s="21" t="n">
        <x:v>1877.1887154914712</x:v>
      </x:c>
      <x:c r="L66" s="21" t="n">
        <x:f>(1-J66/VLOOKUP(E66,'口径说明'!$A$6:$E$8,4,FALSE))*100</x:f>
        <x:v>47.223282831936075</x:v>
      </x:c>
      <x:c r="M66" s="21" t="n">
        <x:f>VLOOKUP(E66,'口径说明'!$A$6:$E$8,2,FALSE)-G66</x:f>
        <x:v>21</x:v>
      </x:c>
      <x:c r="N66" s="23" t="n">
        <x:f>VLOOKUP(E66,'口径说明'!$A$6:$E$8,3,FALSE)-H66</x:f>
        <x:v>0.094</x:v>
      </x:c>
      <x:c r="O66" s="25" t="n">
        <x:f>VLOOKUP(E66,'口径说明'!$A$6:$E$8,4,FALSE)*(1-B66/100)-J66</x:f>
        <x:v>2.577862626554886</x:v>
      </x:c>
      <x:c r="P66" s="27" t="str">
        <x:f>IF(AND(M66&gt;=-0.0000001,N66&gt;=-0.0000001,O66&gt;=-0.0000001),"满足","不满足")</x:f>
        <x:v>满足</x:v>
      </x:c>
    </x:row>
    <x:row r="67" ht="44" customHeight="1">
      <x:c r="A67" s="2" t="str">
        <x:v>SC004</x:v>
      </x:c>
      <x:c r="B67" s="14" t="n">
        <x:v>15</x:v>
      </x:c>
      <x:c r="C67" s="2" t="str">
        <x:v>SC004-009</x:v>
      </x:c>
      <x:c r="D67" s="2" t="str">
        <x:v>S006</x:v>
      </x:c>
      <x:c r="E67" s="2" t="str">
        <x:v>C</x:v>
      </x:c>
      <x:c r="F67" s="13" t="str">
        <x:v>S006-MED-01; S006-WAT-01; S006-WAT-02; S006-WAT-03; S006-FOD-01; S006-HYG-01</x:v>
      </x:c>
      <x:c r="G67" s="20" t="n">
        <x:v>59</x:v>
      </x:c>
      <x:c r="H67" s="22" t="n">
        <x:v>0.156</x:v>
      </x:c>
      <x:c r="I67" s="20" t="n">
        <x:v>685.5526244866224</x:v>
      </x:c>
      <x:c r="J67" s="24" t="n">
        <x:v>2.5979362904386822</x:v>
      </x:c>
      <x:c r="K67" s="20" t="n">
        <x:v>1561.5526244866223</x:v>
      </x:c>
      <x:c r="L67" s="20" t="n">
        <x:f>(1-J67/VLOOKUP(E67,'口径说明'!$A$6:$E$8,4,FALSE))*100</x:f>
        <x:v>67.52579636951648</x:v>
      </x:c>
      <x:c r="M67" s="20" t="n">
        <x:f>VLOOKUP(E67,'口径说明'!$A$6:$E$8,2,FALSE)-G67</x:f>
        <x:v>21</x:v>
      </x:c>
      <x:c r="N67" s="22" t="n">
        <x:f>VLOOKUP(E67,'口径说明'!$A$6:$E$8,3,FALSE)-H67</x:f>
        <x:v>0.094</x:v>
      </x:c>
      <x:c r="O67" s="24" t="n">
        <x:f>VLOOKUP(E67,'口径说明'!$A$6:$E$8,4,FALSE)*(1-B67/100)-J67</x:f>
        <x:v>4.202063709561317</x:v>
      </x:c>
      <x:c r="P67" s="26" t="str">
        <x:f>IF(AND(M67&gt;=-0.0000001,N67&gt;=-0.0000001,O67&gt;=-0.0000001),"满足","不满足")</x:f>
        <x:v>满足</x:v>
      </x:c>
    </x:row>
    <x:row r="68" ht="44" customHeight="1">
      <x:c r="A68" s="15" t="str">
        <x:v>SC004</x:v>
      </x:c>
      <x:c r="B68" s="17" t="n">
        <x:v>15</x:v>
      </x:c>
      <x:c r="C68" s="15" t="str">
        <x:v>SC004-010</x:v>
      </x:c>
      <x:c r="D68" s="15" t="str">
        <x:v>S007</x:v>
      </x:c>
      <x:c r="E68" s="15" t="str">
        <x:v>C</x:v>
      </x:c>
      <x:c r="F68" s="16" t="str">
        <x:v>S007-MED-01; S007-WAT-01; S007-WAT-02; S007-FOD-01; S007-HYG-01</x:v>
      </x:c>
      <x:c r="G68" s="21" t="n">
        <x:v>45</x:v>
      </x:c>
      <x:c r="H68" s="23" t="n">
        <x:v>0.129</x:v>
      </x:c>
      <x:c r="I68" s="21" t="n">
        <x:v>1097.600698410691</x:v>
      </x:c>
      <x:c r="J68" s="25" t="n">
        <x:v>3.4110038084433194</x:v>
      </x:c>
      <x:c r="K68" s="21" t="n">
        <x:v>1907.600698410691</x:v>
      </x:c>
      <x:c r="L68" s="21" t="n">
        <x:f>(1-J68/VLOOKUP(E68,'口径说明'!$A$6:$E$8,4,FALSE))*100</x:f>
        <x:v>57.36245239445851</x:v>
      </x:c>
      <x:c r="M68" s="21" t="n">
        <x:f>VLOOKUP(E68,'口径说明'!$A$6:$E$8,2,FALSE)-G68</x:f>
        <x:v>35</x:v>
      </x:c>
      <x:c r="N68" s="23" t="n">
        <x:f>VLOOKUP(E68,'口径说明'!$A$6:$E$8,3,FALSE)-H68</x:f>
        <x:v>0.121</x:v>
      </x:c>
      <x:c r="O68" s="25" t="n">
        <x:f>VLOOKUP(E68,'口径说明'!$A$6:$E$8,4,FALSE)*(1-B68/100)-J68</x:f>
        <x:v>3.3889961915566804</x:v>
      </x:c>
      <x:c r="P68" s="27" t="str">
        <x:f>IF(AND(M68&gt;=-0.0000001,N68&gt;=-0.0000001,O68&gt;=-0.0000001),"满足","不满足")</x:f>
        <x:v>满足</x:v>
      </x:c>
    </x:row>
    <x:row r="69" ht="44" customHeight="1">
      <x:c r="A69" s="2" t="str">
        <x:v>SC004</x:v>
      </x:c>
      <x:c r="B69" s="14" t="n">
        <x:v>15</x:v>
      </x:c>
      <x:c r="C69" s="2" t="str">
        <x:v>SC004-011</x:v>
      </x:c>
      <x:c r="D69" s="2" t="str">
        <x:v>S008</x:v>
      </x:c>
      <x:c r="E69" s="2" t="str">
        <x:v>C</x:v>
      </x:c>
      <x:c r="F69" s="13" t="str">
        <x:v>S008-MED-01; S008-WAT-01; S008-WAT-02; S008-FOD-01; S008-HYG-01</x:v>
      </x:c>
      <x:c r="G69" s="20" t="n">
        <x:v>45</x:v>
      </x:c>
      <x:c r="H69" s="22" t="n">
        <x:v>0.129</x:v>
      </x:c>
      <x:c r="I69" s="20" t="n">
        <x:v>1389.7115246008332</x:v>
      </x:c>
      <x:c r="J69" s="24" t="n">
        <x:v>5.836020667966359</x:v>
      </x:c>
      <x:c r="K69" s="20" t="n">
        <x:v>2199.7115246008334</x:v>
      </x:c>
      <x:c r="L69" s="20" t="n">
        <x:f>(1-J69/VLOOKUP(E69,'口径说明'!$A$6:$E$8,4,FALSE))*100</x:f>
        <x:v>27.04974165042051</x:v>
      </x:c>
      <x:c r="M69" s="20" t="n">
        <x:f>VLOOKUP(E69,'口径说明'!$A$6:$E$8,2,FALSE)-G69</x:f>
        <x:v>35</x:v>
      </x:c>
      <x:c r="N69" s="22" t="n">
        <x:f>VLOOKUP(E69,'口径说明'!$A$6:$E$8,3,FALSE)-H69</x:f>
        <x:v>0.121</x:v>
      </x:c>
      <x:c r="O69" s="24" t="n">
        <x:f>VLOOKUP(E69,'口径说明'!$A$6:$E$8,4,FALSE)*(1-B69/100)-J69</x:f>
        <x:v>0.9639793320336407</x:v>
      </x:c>
      <x:c r="P69" s="26" t="str">
        <x:f>IF(AND(M69&gt;=-0.0000001,N69&gt;=-0.0000001,O69&gt;=-0.0000001),"满足","不满足")</x:f>
        <x:v>满足</x:v>
      </x:c>
    </x:row>
    <x:row r="70" ht="30" customHeight="1">
      <x:c r="A70" s="15" t="str">
        <x:v>SC004</x:v>
      </x:c>
      <x:c r="B70" s="17" t="n">
        <x:v>15</x:v>
      </x:c>
      <x:c r="C70" s="15" t="str">
        <x:v>SC004-012</x:v>
      </x:c>
      <x:c r="D70" s="15" t="str">
        <x:v>S009</x:v>
      </x:c>
      <x:c r="E70" s="15" t="str">
        <x:v>B</x:v>
      </x:c>
      <x:c r="F70" s="16" t="str">
        <x:v>S009-MED-01; S009-WAT-01; S009-FOD-01</x:v>
      </x:c>
      <x:c r="G70" s="21" t="n">
        <x:v>25</x:v>
      </x:c>
      <x:c r="H70" s="23" t="n">
        <x:v>0.067</x:v>
      </x:c>
      <x:c r="I70" s="21" t="n">
        <x:v>928.4628643343575</x:v>
      </x:c>
      <x:c r="J70" s="25" t="n">
        <x:v>2.0962654017373348</x:v>
      </x:c>
      <x:c r="K70" s="21" t="n">
        <x:v>1558.4628643343576</x:v>
      </x:c>
      <x:c r="L70" s="21" t="n">
        <x:f>(1-J70/VLOOKUP(E70,'口径说明'!$A$6:$E$8,4,FALSE))*100</x:f>
        <x:v>47.59336495656663</x:v>
      </x:c>
      <x:c r="M70" s="21" t="n">
        <x:f>VLOOKUP(E70,'口径说明'!$A$6:$E$8,2,FALSE)-G70</x:f>
        <x:v>5</x:v>
      </x:c>
      <x:c r="N70" s="23" t="n">
        <x:f>VLOOKUP(E70,'口径说明'!$A$6:$E$8,3,FALSE)-H70</x:f>
        <x:v>0.0059999999999999915</x:v>
      </x:c>
      <x:c r="O70" s="25" t="n">
        <x:f>VLOOKUP(E70,'口径说明'!$A$6:$E$8,4,FALSE)*(1-B70/100)-J70</x:f>
        <x:v>1.3037345982626651</x:v>
      </x:c>
      <x:c r="P70" s="27" t="str">
        <x:f>IF(AND(M70&gt;=-0.0000001,N70&gt;=-0.0000001,O70&gt;=-0.0000001),"满足","不满足")</x:f>
        <x:v>满足</x:v>
      </x:c>
    </x:row>
    <x:row r="71" ht="30" customHeight="1">
      <x:c r="A71" s="2" t="str">
        <x:v>SC004</x:v>
      </x:c>
      <x:c r="B71" s="14" t="n">
        <x:v>15</x:v>
      </x:c>
      <x:c r="C71" s="2" t="str">
        <x:v>SC004-013</x:v>
      </x:c>
      <x:c r="D71" s="2" t="str">
        <x:v>S010</x:v>
      </x:c>
      <x:c r="E71" s="2" t="str">
        <x:v>B</x:v>
      </x:c>
      <x:c r="F71" s="13" t="str">
        <x:v>S010-MED-01; S010-WAT-01; S010-FOD-01</x:v>
      </x:c>
      <x:c r="G71" s="20" t="n">
        <x:v>25</x:v>
      </x:c>
      <x:c r="H71" s="22" t="n">
        <x:v>0.067</x:v>
      </x:c>
      <x:c r="I71" s="20" t="n">
        <x:v>925.4035197802174</x:v>
      </x:c>
      <x:c r="J71" s="24" t="n">
        <x:v>1.8232165642314142</x:v>
      </x:c>
      <x:c r="K71" s="20" t="n">
        <x:v>1555.4035197802173</x:v>
      </x:c>
      <x:c r="L71" s="20" t="n">
        <x:f>(1-J71/VLOOKUP(E71,'口径说明'!$A$6:$E$8,4,FALSE))*100</x:f>
        <x:v>54.41958589421465</x:v>
      </x:c>
      <x:c r="M71" s="20" t="n">
        <x:f>VLOOKUP(E71,'口径说明'!$A$6:$E$8,2,FALSE)-G71</x:f>
        <x:v>5</x:v>
      </x:c>
      <x:c r="N71" s="22" t="n">
        <x:f>VLOOKUP(E71,'口径说明'!$A$6:$E$8,3,FALSE)-H71</x:f>
        <x:v>0.0059999999999999915</x:v>
      </x:c>
      <x:c r="O71" s="24" t="n">
        <x:f>VLOOKUP(E71,'口径说明'!$A$6:$E$8,4,FALSE)*(1-B71/100)-J71</x:f>
        <x:v>1.5767834357685857</x:v>
      </x:c>
      <x:c r="P71" s="26" t="str">
        <x:f>IF(AND(M71&gt;=-0.0000001,N71&gt;=-0.0000001,O71&gt;=-0.0000001),"满足","不满足")</x:f>
        <x:v>满足</x:v>
      </x:c>
    </x:row>
    <x:row r="72" ht="30" customHeight="1">
      <x:c r="A72" s="15" t="str">
        <x:v>SC004</x:v>
      </x:c>
      <x:c r="B72" s="17" t="n">
        <x:v>15</x:v>
      </x:c>
      <x:c r="C72" s="15" t="str">
        <x:v>SC004-014</x:v>
      </x:c>
      <x:c r="D72" s="15" t="str">
        <x:v>S011</x:v>
      </x:c>
      <x:c r="E72" s="15" t="str">
        <x:v>B</x:v>
      </x:c>
      <x:c r="F72" s="16" t="str">
        <x:v>S011-MED-01; S011-WAT-01; S011-FOD-01</x:v>
      </x:c>
      <x:c r="G72" s="21" t="n">
        <x:v>25</x:v>
      </x:c>
      <x:c r="H72" s="23" t="n">
        <x:v>0.067</x:v>
      </x:c>
      <x:c r="I72" s="21" t="n">
        <x:v>558.4247628605204</x:v>
      </x:c>
      <x:c r="J72" s="25" t="n">
        <x:v>1.0739366863951034</x:v>
      </x:c>
      <x:c r="K72" s="21" t="n">
        <x:v>1188.4247628605203</x:v>
      </x:c>
      <x:c r="L72" s="21" t="n">
        <x:f>(1-J72/VLOOKUP(E72,'口径说明'!$A$6:$E$8,4,FALSE))*100</x:f>
        <x:v>73.15158284012242</x:v>
      </x:c>
      <x:c r="M72" s="21" t="n">
        <x:f>VLOOKUP(E72,'口径说明'!$A$6:$E$8,2,FALSE)-G72</x:f>
        <x:v>5</x:v>
      </x:c>
      <x:c r="N72" s="23" t="n">
        <x:f>VLOOKUP(E72,'口径说明'!$A$6:$E$8,3,FALSE)-H72</x:f>
        <x:v>0.0059999999999999915</x:v>
      </x:c>
      <x:c r="O72" s="25" t="n">
        <x:f>VLOOKUP(E72,'口径说明'!$A$6:$E$8,4,FALSE)*(1-B72/100)-J72</x:f>
        <x:v>2.3260633136048963</x:v>
      </x:c>
      <x:c r="P72" s="27" t="str">
        <x:f>IF(AND(M72&gt;=-0.0000001,N72&gt;=-0.0000001,O72&gt;=-0.0000001),"满足","不满足")</x:f>
        <x:v>满足</x:v>
      </x:c>
    </x:row>
    <x:row r="73" ht="30" customHeight="1">
      <x:c r="A73" s="2" t="str">
        <x:v>SC004</x:v>
      </x:c>
      <x:c r="B73" s="14" t="n">
        <x:v>15</x:v>
      </x:c>
      <x:c r="C73" s="2" t="str">
        <x:v>SC004-015</x:v>
      </x:c>
      <x:c r="D73" s="2" t="str">
        <x:v>S012</x:v>
      </x:c>
      <x:c r="E73" s="2" t="str">
        <x:v>B</x:v>
      </x:c>
      <x:c r="F73" s="13" t="str">
        <x:v>S012-MED-01; S012-WAT-01; S012-FOD-01</x:v>
      </x:c>
      <x:c r="G73" s="20" t="n">
        <x:v>25</x:v>
      </x:c>
      <x:c r="H73" s="22" t="n">
        <x:v>0.067</x:v>
      </x:c>
      <x:c r="I73" s="20" t="n">
        <x:v>1292.826814149187</x:v>
      </x:c>
      <x:c r="J73" s="24" t="n">
        <x:v>2.7525999542899324</x:v>
      </x:c>
      <x:c r="K73" s="20" t="n">
        <x:v>1922.826814149187</x:v>
      </x:c>
      <x:c r="L73" s="20" t="n">
        <x:f>(1-J73/VLOOKUP(E73,'口径说明'!$A$6:$E$8,4,FALSE))*100</x:f>
        <x:v>31.185001142751688</x:v>
      </x:c>
      <x:c r="M73" s="20" t="n">
        <x:f>VLOOKUP(E73,'口径说明'!$A$6:$E$8,2,FALSE)-G73</x:f>
        <x:v>5</x:v>
      </x:c>
      <x:c r="N73" s="22" t="n">
        <x:f>VLOOKUP(E73,'口径说明'!$A$6:$E$8,3,FALSE)-H73</x:f>
        <x:v>0.0059999999999999915</x:v>
      </x:c>
      <x:c r="O73" s="24" t="n">
        <x:f>VLOOKUP(E73,'口径说明'!$A$6:$E$8,4,FALSE)*(1-B73/100)-J73</x:f>
        <x:v>0.6474000457100675</x:v>
      </x:c>
      <x:c r="P73" s="26" t="str">
        <x:f>IF(AND(M73&gt;=-0.0000001,N73&gt;=-0.0000001,O73&gt;=-0.0000001),"满足","不满足")</x:f>
        <x:v>满足</x:v>
      </x:c>
    </x:row>
    <x:row r="74" ht="30" customHeight="1">
      <x:c r="A74" s="15" t="str">
        <x:v>SC004</x:v>
      </x:c>
      <x:c r="B74" s="17" t="n">
        <x:v>15</x:v>
      </x:c>
      <x:c r="C74" s="15" t="str">
        <x:v>SC004-016</x:v>
      </x:c>
      <x:c r="D74" s="15" t="str">
        <x:v>S013</x:v>
      </x:c>
      <x:c r="E74" s="15" t="str">
        <x:v>B</x:v>
      </x:c>
      <x:c r="F74" s="16" t="str">
        <x:v>S013-MED-01; S013-WAT-01; S013-FOD-01</x:v>
      </x:c>
      <x:c r="G74" s="21" t="n">
        <x:v>25</x:v>
      </x:c>
      <x:c r="H74" s="23" t="n">
        <x:v>0.067</x:v>
      </x:c>
      <x:c r="I74" s="21" t="n">
        <x:v>880.511588744525</x:v>
      </x:c>
      <x:c r="J74" s="25" t="n">
        <x:v>1.8248281910807471</x:v>
      </x:c>
      <x:c r="K74" s="21" t="n">
        <x:v>1510.511588744525</x:v>
      </x:c>
      <x:c r="L74" s="21" t="n">
        <x:f>(1-J74/VLOOKUP(E74,'口径说明'!$A$6:$E$8,4,FALSE))*100</x:f>
        <x:v>54.37929522298133</x:v>
      </x:c>
      <x:c r="M74" s="21" t="n">
        <x:f>VLOOKUP(E74,'口径说明'!$A$6:$E$8,2,FALSE)-G74</x:f>
        <x:v>5</x:v>
      </x:c>
      <x:c r="N74" s="23" t="n">
        <x:f>VLOOKUP(E74,'口径说明'!$A$6:$E$8,3,FALSE)-H74</x:f>
        <x:v>0.0059999999999999915</x:v>
      </x:c>
      <x:c r="O74" s="25" t="n">
        <x:f>VLOOKUP(E74,'口径说明'!$A$6:$E$8,4,FALSE)*(1-B74/100)-J74</x:f>
        <x:v>1.5751718089192528</x:v>
      </x:c>
      <x:c r="P74" s="27" t="str">
        <x:f>IF(AND(M74&gt;=-0.0000001,N74&gt;=-0.0000001,O74&gt;=-0.0000001),"满足","不满足")</x:f>
        <x:v>满足</x:v>
      </x:c>
    </x:row>
    <x:row r="75" ht="30" customHeight="1">
      <x:c r="A75" s="2" t="str">
        <x:v>SC004</x:v>
      </x:c>
      <x:c r="B75" s="14" t="n">
        <x:v>15</x:v>
      </x:c>
      <x:c r="C75" s="2" t="str">
        <x:v>SC004-017</x:v>
      </x:c>
      <x:c r="D75" s="2" t="str">
        <x:v>S014</x:v>
      </x:c>
      <x:c r="E75" s="2" t="str">
        <x:v>B</x:v>
      </x:c>
      <x:c r="F75" s="13" t="str">
        <x:v>S014-MED-01; S014-WAT-01; S014-FOD-01</x:v>
      </x:c>
      <x:c r="G75" s="20" t="n">
        <x:v>25</x:v>
      </x:c>
      <x:c r="H75" s="22" t="n">
        <x:v>0.067</x:v>
      </x:c>
      <x:c r="I75" s="20" t="n">
        <x:v>1239.7476752786913</x:v>
      </x:c>
      <x:c r="J75" s="24" t="n">
        <x:v>2.1402909781417883</x:v>
      </x:c>
      <x:c r="K75" s="20" t="n">
        <x:v>1869.7476752786913</x:v>
      </x:c>
      <x:c r="L75" s="20" t="n">
        <x:f>(1-J75/VLOOKUP(E75,'口径说明'!$A$6:$E$8,4,FALSE))*100</x:f>
        <x:v>46.49272554645529</x:v>
      </x:c>
      <x:c r="M75" s="20" t="n">
        <x:f>VLOOKUP(E75,'口径说明'!$A$6:$E$8,2,FALSE)-G75</x:f>
        <x:v>5</x:v>
      </x:c>
      <x:c r="N75" s="22" t="n">
        <x:f>VLOOKUP(E75,'口径说明'!$A$6:$E$8,3,FALSE)-H75</x:f>
        <x:v>0.0059999999999999915</x:v>
      </x:c>
      <x:c r="O75" s="24" t="n">
        <x:f>VLOOKUP(E75,'口径说明'!$A$6:$E$8,4,FALSE)*(1-B75/100)-J75</x:f>
        <x:v>1.2597090218582117</x:v>
      </x:c>
      <x:c r="P75" s="26" t="str">
        <x:f>IF(AND(M75&gt;=-0.0000001,N75&gt;=-0.0000001,O75&gt;=-0.0000001),"满足","不满足")</x:f>
        <x:v>满足</x:v>
      </x:c>
    </x:row>
    <x:row r="76" ht="30" customHeight="1">
      <x:c r="A76" s="15" t="str">
        <x:v>SC004</x:v>
      </x:c>
      <x:c r="B76" s="17" t="n">
        <x:v>15</x:v>
      </x:c>
      <x:c r="C76" s="15" t="str">
        <x:v>SC004-018</x:v>
      </x:c>
      <x:c r="D76" s="15" t="str">
        <x:v>S015</x:v>
      </x:c>
      <x:c r="E76" s="15" t="str">
        <x:v>B</x:v>
      </x:c>
      <x:c r="F76" s="16" t="str">
        <x:v>S015-MED-01; S015-WAT-01; S015-FOD-01</x:v>
      </x:c>
      <x:c r="G76" s="21" t="n">
        <x:v>25</x:v>
      </x:c>
      <x:c r="H76" s="23" t="n">
        <x:v>0.067</x:v>
      </x:c>
      <x:c r="I76" s="21" t="n">
        <x:v>1198.3275601736595</x:v>
      </x:c>
      <x:c r="J76" s="25" t="n">
        <x:v>2.307528505752516</x:v>
      </x:c>
      <x:c r="K76" s="21" t="n">
        <x:v>1828.3275601736595</x:v>
      </x:c>
      <x:c r="L76" s="21" t="n">
        <x:f>(1-J76/VLOOKUP(E76,'口径说明'!$A$6:$E$8,4,FALSE))*100</x:f>
        <x:v>42.311787356187104</x:v>
      </x:c>
      <x:c r="M76" s="21" t="n">
        <x:f>VLOOKUP(E76,'口径说明'!$A$6:$E$8,2,FALSE)-G76</x:f>
        <x:v>5</x:v>
      </x:c>
      <x:c r="N76" s="23" t="n">
        <x:f>VLOOKUP(E76,'口径说明'!$A$6:$E$8,3,FALSE)-H76</x:f>
        <x:v>0.0059999999999999915</x:v>
      </x:c>
      <x:c r="O76" s="25" t="n">
        <x:f>VLOOKUP(E76,'口径说明'!$A$6:$E$8,4,FALSE)*(1-B76/100)-J76</x:f>
        <x:v>1.092471494247484</x:v>
      </x:c>
      <x:c r="P76" s="27" t="str">
        <x:f>IF(AND(M76&gt;=-0.0000001,N76&gt;=-0.0000001,O76&gt;=-0.0000001),"满足","不满足")</x:f>
        <x:v>满足</x:v>
      </x:c>
    </x:row>
    <x:row r="77" ht="61" customHeight="1">
      <x:c r="A77" s="2" t="str">
        <x:v>SC005</x:v>
      </x:c>
      <x:c r="B77" s="14" t="n">
        <x:v>20</x:v>
      </x:c>
      <x:c r="C77" s="2" t="str">
        <x:v>SC005-001</x:v>
      </x:c>
      <x:c r="D77" s="2" t="str">
        <x:v>S001</x:v>
      </x:c>
      <x:c r="E77" s="2" t="str">
        <x:v>C</x:v>
      </x:c>
      <x:c r="F77" s="13" t="str">
        <x:v>S001-WAT-01; S001-WAT-02; S001-WAT-03; S001-FOD-01; S001-FOD-02; S001-FOD-03; S001-HYG-01; S001-HYG-02</x:v>
      </x:c>
      <x:c r="G77" s="20" t="n">
        <x:v>78</x:v>
      </x:c>
      <x:c r="H77" s="22" t="n">
        <x:v>0.235</x:v>
      </x:c>
      <x:c r="I77" s="20" t="n">
        <x:v>618.1750458620229</x:v>
      </x:c>
      <x:c r="J77" s="24" t="n">
        <x:v>2.9957758049046697</x:v>
      </x:c>
      <x:c r="K77" s="20" t="n">
        <x:v>1626.175045862023</x:v>
      </x:c>
      <x:c r="L77" s="20" t="n">
        <x:f>(1-J77/VLOOKUP(E77,'口径说明'!$A$6:$E$8,4,FALSE))*100</x:f>
        <x:v>62.552802438691636</x:v>
      </x:c>
      <x:c r="M77" s="20" t="n">
        <x:f>VLOOKUP(E77,'口径说明'!$A$6:$E$8,2,FALSE)-G77</x:f>
        <x:v>2</x:v>
      </x:c>
      <x:c r="N77" s="22" t="n">
        <x:f>VLOOKUP(E77,'口径说明'!$A$6:$E$8,3,FALSE)-H77</x:f>
        <x:v>0.015000000000000013</x:v>
      </x:c>
      <x:c r="O77" s="24" t="n">
        <x:f>VLOOKUP(E77,'口径说明'!$A$6:$E$8,4,FALSE)*(1-B77/100)-J77</x:f>
        <x:v>3.4042241950953307</x:v>
      </x:c>
      <x:c r="P77" s="26" t="str">
        <x:f>IF(AND(M77&gt;=-0.0000001,N77&gt;=-0.0000001,O77&gt;=-0.0000001),"满足","不满足")</x:f>
        <x:v>满足</x:v>
      </x:c>
    </x:row>
    <x:row r="78" ht="44" customHeight="1">
      <x:c r="A78" s="15" t="str">
        <x:v>SC005</x:v>
      </x:c>
      <x:c r="B78" s="17" t="n">
        <x:v>20</x:v>
      </x:c>
      <x:c r="C78" s="15" t="str">
        <x:v>SC005-002</x:v>
      </x:c>
      <x:c r="D78" s="15" t="str">
        <x:v>S001</x:v>
      </x:c>
      <x:c r="E78" s="15" t="str">
        <x:v>C</x:v>
      </x:c>
      <x:c r="F78" s="16" t="str">
        <x:v>S001-MED-01; S001-MED-02; S001-WAT-04; S001-WAT-05; S001-WAT-06; S001-WAT-07; S001-WAT-08</x:v>
      </x:c>
      <x:c r="G78" s="21" t="n">
        <x:v>76</x:v>
      </x:c>
      <x:c r="H78" s="23" t="n">
        <x:v>0.159</x:v>
      </x:c>
      <x:c r="I78" s="21" t="n">
        <x:v>618.1750458620229</x:v>
      </x:c>
      <x:c r="J78" s="25" t="n">
        <x:v>2.917588095586827</x:v>
      </x:c>
      <x:c r="K78" s="21" t="n">
        <x:v>1560.175045862023</x:v>
      </x:c>
      <x:c r="L78" s="21" t="n">
        <x:f>(1-J78/VLOOKUP(E78,'口径说明'!$A$6:$E$8,4,FALSE))*100</x:f>
        <x:v>63.53014880516466</x:v>
      </x:c>
      <x:c r="M78" s="21" t="n">
        <x:f>VLOOKUP(E78,'口径说明'!$A$6:$E$8,2,FALSE)-G78</x:f>
        <x:v>4</x:v>
      </x:c>
      <x:c r="N78" s="23" t="n">
        <x:f>VLOOKUP(E78,'口径说明'!$A$6:$E$8,3,FALSE)-H78</x:f>
        <x:v>0.091</x:v>
      </x:c>
      <x:c r="O78" s="25" t="n">
        <x:f>VLOOKUP(E78,'口径说明'!$A$6:$E$8,4,FALSE)*(1-B78/100)-J78</x:f>
        <x:v>3.482411904413173</x:v>
      </x:c>
      <x:c r="P78" s="27" t="str">
        <x:f>IF(AND(M78&gt;=-0.0000001,N78&gt;=-0.0000001,O78&gt;=-0.0000001),"满足","不满足")</x:f>
        <x:v>满足</x:v>
      </x:c>
    </x:row>
    <x:row r="79" ht="30" customHeight="1">
      <x:c r="A79" s="2" t="str">
        <x:v>SC005</x:v>
      </x:c>
      <x:c r="B79" s="14" t="n">
        <x:v>20</x:v>
      </x:c>
      <x:c r="C79" s="2" t="str">
        <x:v>SC005-003</x:v>
      </x:c>
      <x:c r="D79" s="2" t="str">
        <x:v>S002</x:v>
      </x:c>
      <x:c r="E79" s="2" t="str">
        <x:v>B</x:v>
      </x:c>
      <x:c r="F79" s="13" t="str">
        <x:v>S002-MED-01; S002-WAT-01; S002-FOD-01</x:v>
      </x:c>
      <x:c r="G79" s="20" t="n">
        <x:v>25</x:v>
      </x:c>
      <x:c r="H79" s="22" t="n">
        <x:v>0.067</x:v>
      </x:c>
      <x:c r="I79" s="20" t="n">
        <x:v>1186.7240813077576</x:v>
      </x:c>
      <x:c r="J79" s="24" t="n">
        <x:v>2.7134729412419873</x:v>
      </x:c>
      <x:c r="K79" s="20" t="n">
        <x:v>1816.7240813077576</x:v>
      </x:c>
      <x:c r="L79" s="20" t="n">
        <x:f>(1-J79/VLOOKUP(E79,'口径说明'!$A$6:$E$8,4,FALSE))*100</x:f>
        <x:v>32.16317646895032</x:v>
      </x:c>
      <x:c r="M79" s="20" t="n">
        <x:f>VLOOKUP(E79,'口径说明'!$A$6:$E$8,2,FALSE)-G79</x:f>
        <x:v>5</x:v>
      </x:c>
      <x:c r="N79" s="22" t="n">
        <x:f>VLOOKUP(E79,'口径说明'!$A$6:$E$8,3,FALSE)-H79</x:f>
        <x:v>0.0059999999999999915</x:v>
      </x:c>
      <x:c r="O79" s="24" t="n">
        <x:f>VLOOKUP(E79,'口径说明'!$A$6:$E$8,4,FALSE)*(1-B79/100)-J79</x:f>
        <x:v>0.48652705875801283</x:v>
      </x:c>
      <x:c r="P79" s="26" t="str">
        <x:f>IF(AND(M79&gt;=-0.0000001,N79&gt;=-0.0000001,O79&gt;=-0.0000001),"满足","不满足")</x:f>
        <x:v>满足</x:v>
      </x:c>
    </x:row>
    <x:row r="80" ht="44" customHeight="1">
      <x:c r="A80" s="15" t="str">
        <x:v>SC005</x:v>
      </x:c>
      <x:c r="B80" s="17" t="n">
        <x:v>20</x:v>
      </x:c>
      <x:c r="C80" s="15" t="str">
        <x:v>SC005-004</x:v>
      </x:c>
      <x:c r="D80" s="15" t="str">
        <x:v>S002</x:v>
      </x:c>
      <x:c r="E80" s="15" t="str">
        <x:v>C</x:v>
      </x:c>
      <x:c r="F80" s="16" t="str">
        <x:v>S002-WAT-02; S002-WAT-03; S002-WAT-04; S002-FOD-02; S002-HYG-01</x:v>
      </x:c>
      <x:c r="G80" s="21" t="n">
        <x:v>56</x:v>
      </x:c>
      <x:c r="H80" s="23" t="n">
        <x:v>0.144</x:v>
      </x:c>
      <x:c r="I80" s="21" t="n">
        <x:v>1231.8421660245544</x:v>
      </x:c>
      <x:c r="J80" s="25" t="n">
        <x:v>5.721356203945945</x:v>
      </x:c>
      <x:c r="K80" s="21" t="n">
        <x:v>2041.8421660245544</x:v>
      </x:c>
      <x:c r="L80" s="21" t="n">
        <x:f>(1-J80/VLOOKUP(E80,'口径说明'!$A$6:$E$8,4,FALSE))*100</x:f>
        <x:v>28.48304745067569</x:v>
      </x:c>
      <x:c r="M80" s="21" t="n">
        <x:f>VLOOKUP(E80,'口径说明'!$A$6:$E$8,2,FALSE)-G80</x:f>
        <x:v>24</x:v>
      </x:c>
      <x:c r="N80" s="23" t="n">
        <x:f>VLOOKUP(E80,'口径说明'!$A$6:$E$8,3,FALSE)-H80</x:f>
        <x:v>0.10600000000000001</x:v>
      </x:c>
      <x:c r="O80" s="25" t="n">
        <x:f>VLOOKUP(E80,'口径说明'!$A$6:$E$8,4,FALSE)*(1-B80/100)-J80</x:f>
        <x:v>0.6786437960540557</x:v>
      </x:c>
      <x:c r="P80" s="27" t="str">
        <x:f>IF(AND(M80&gt;=-0.0000001,N80&gt;=-0.0000001,O80&gt;=-0.0000001),"满足","不满足")</x:f>
        <x:v>满足</x:v>
      </x:c>
    </x:row>
    <x:row r="81" ht="30" customHeight="1">
      <x:c r="A81" s="2" t="str">
        <x:v>SC005</x:v>
      </x:c>
      <x:c r="B81" s="14" t="n">
        <x:v>20</x:v>
      </x:c>
      <x:c r="C81" s="2" t="str">
        <x:v>SC005-005</x:v>
      </x:c>
      <x:c r="D81" s="2" t="str">
        <x:v>S003</x:v>
      </x:c>
      <x:c r="E81" s="2" t="str">
        <x:v>B</x:v>
      </x:c>
      <x:c r="F81" s="13" t="str">
        <x:v>S003-MED-01; S003-WAT-01; S003-FOD-01</x:v>
      </x:c>
      <x:c r="G81" s="20" t="n">
        <x:v>25</x:v>
      </x:c>
      <x:c r="H81" s="22" t="n">
        <x:v>0.067</x:v>
      </x:c>
      <x:c r="I81" s="20" t="n">
        <x:v>1450.6096650380623</x:v>
      </x:c>
      <x:c r="J81" s="24" t="n">
        <x:v>2.7800780342326075</x:v>
      </x:c>
      <x:c r="K81" s="20" t="n">
        <x:v>2080.6096650380623</x:v>
      </x:c>
      <x:c r="L81" s="20" t="n">
        <x:f>(1-J81/VLOOKUP(E81,'口径说明'!$A$6:$E$8,4,FALSE))*100</x:f>
        <x:v>30.49804914418481</x:v>
      </x:c>
      <x:c r="M81" s="20" t="n">
        <x:f>VLOOKUP(E81,'口径说明'!$A$6:$E$8,2,FALSE)-G81</x:f>
        <x:v>5</x:v>
      </x:c>
      <x:c r="N81" s="22" t="n">
        <x:f>VLOOKUP(E81,'口径说明'!$A$6:$E$8,3,FALSE)-H81</x:f>
        <x:v>0.0059999999999999915</x:v>
      </x:c>
      <x:c r="O81" s="24" t="n">
        <x:f>VLOOKUP(E81,'口径说明'!$A$6:$E$8,4,FALSE)*(1-B81/100)-J81</x:f>
        <x:v>0.4199219657673927</x:v>
      </x:c>
      <x:c r="P81" s="26" t="str">
        <x:f>IF(AND(M81&gt;=-0.0000001,N81&gt;=-0.0000001,O81&gt;=-0.0000001),"满足","不满足")</x:f>
        <x:v>满足</x:v>
      </x:c>
    </x:row>
    <x:row r="82" ht="44" customHeight="1">
      <x:c r="A82" s="15" t="str">
        <x:v>SC005</x:v>
      </x:c>
      <x:c r="B82" s="17" t="n">
        <x:v>20</x:v>
      </x:c>
      <x:c r="C82" s="15" t="str">
        <x:v>SC005-006</x:v>
      </x:c>
      <x:c r="D82" s="15" t="str">
        <x:v>S003</x:v>
      </x:c>
      <x:c r="E82" s="15" t="str">
        <x:v>C</x:v>
      </x:c>
      <x:c r="F82" s="16" t="str">
        <x:v>S003-WAT-02; S003-WAT-03; S003-WAT-04; S003-FOD-02; S003-HYG-01</x:v>
      </x:c>
      <x:c r="G82" s="21" t="n">
        <x:v>56</x:v>
      </x:c>
      <x:c r="H82" s="23" t="n">
        <x:v>0.144</x:v>
      </x:c>
      <x:c r="I82" s="21" t="n">
        <x:v>1560.1777110992603</x:v>
      </x:c>
      <x:c r="J82" s="25" t="n">
        <x:v>5.7653646949838375</x:v>
      </x:c>
      <x:c r="K82" s="21" t="n">
        <x:v>2370.1777110992603</x:v>
      </x:c>
      <x:c r="L82" s="21" t="n">
        <x:f>(1-J82/VLOOKUP(E82,'口径说明'!$A$6:$E$8,4,FALSE))*100</x:f>
        <x:v>27.93294131270203</x:v>
      </x:c>
      <x:c r="M82" s="21" t="n">
        <x:f>VLOOKUP(E82,'口径说明'!$A$6:$E$8,2,FALSE)-G82</x:f>
        <x:v>24</x:v>
      </x:c>
      <x:c r="N82" s="23" t="n">
        <x:f>VLOOKUP(E82,'口径说明'!$A$6:$E$8,3,FALSE)-H82</x:f>
        <x:v>0.10600000000000001</x:v>
      </x:c>
      <x:c r="O82" s="25" t="n">
        <x:f>VLOOKUP(E82,'口径说明'!$A$6:$E$8,4,FALSE)*(1-B82/100)-J82</x:f>
        <x:v>0.6346353050161628</x:v>
      </x:c>
      <x:c r="P82" s="27" t="str">
        <x:f>IF(AND(M82&gt;=-0.0000001,N82&gt;=-0.0000001,O82&gt;=-0.0000001),"满足","不满足")</x:f>
        <x:v>满足</x:v>
      </x:c>
    </x:row>
    <x:row r="83" ht="44" customHeight="1">
      <x:c r="A83" s="2" t="str">
        <x:v>SC005</x:v>
      </x:c>
      <x:c r="B83" s="14" t="n">
        <x:v>20</x:v>
      </x:c>
      <x:c r="C83" s="2" t="str">
        <x:v>SC005-007</x:v>
      </x:c>
      <x:c r="D83" s="2" t="str">
        <x:v>S004</x:v>
      </x:c>
      <x:c r="E83" s="2" t="str">
        <x:v>C</x:v>
      </x:c>
      <x:c r="F83" s="13" t="str">
        <x:v>S004-MED-01; S004-WAT-01; S004-WAT-02; S004-WAT-03; S004-FOD-01; S004-HYG-01</x:v>
      </x:c>
      <x:c r="G83" s="20" t="n">
        <x:v>59</x:v>
      </x:c>
      <x:c r="H83" s="22" t="n">
        <x:v>0.156</x:v>
      </x:c>
      <x:c r="I83" s="20" t="n">
        <x:v>1425.0547187724458</x:v>
      </x:c>
      <x:c r="J83" s="24" t="n">
        <x:v>6.152860129174582</x:v>
      </x:c>
      <x:c r="K83" s="20" t="n">
        <x:v>2301.054718772446</x:v>
      </x:c>
      <x:c r="L83" s="20" t="n">
        <x:f>(1-J83/VLOOKUP(E83,'口径说明'!$A$6:$E$8,4,FALSE))*100</x:f>
        <x:v>23.089248385317727</x:v>
      </x:c>
      <x:c r="M83" s="20" t="n">
        <x:f>VLOOKUP(E83,'口径说明'!$A$6:$E$8,2,FALSE)-G83</x:f>
        <x:v>21</x:v>
      </x:c>
      <x:c r="N83" s="22" t="n">
        <x:f>VLOOKUP(E83,'口径说明'!$A$6:$E$8,3,FALSE)-H83</x:f>
        <x:v>0.094</x:v>
      </x:c>
      <x:c r="O83" s="24" t="n">
        <x:f>VLOOKUP(E83,'口径说明'!$A$6:$E$8,4,FALSE)*(1-B83/100)-J83</x:f>
        <x:v>0.24713987082541866</x:v>
      </x:c>
      <x:c r="P83" s="26" t="str">
        <x:f>IF(AND(M83&gt;=-0.0000001,N83&gt;=-0.0000001,O83&gt;=-0.0000001),"满足","不满足")</x:f>
        <x:v>满足</x:v>
      </x:c>
    </x:row>
    <x:row r="84" ht="44" customHeight="1">
      <x:c r="A84" s="15" t="str">
        <x:v>SC005</x:v>
      </x:c>
      <x:c r="B84" s="17" t="n">
        <x:v>20</x:v>
      </x:c>
      <x:c r="C84" s="15" t="str">
        <x:v>SC005-008</x:v>
      </x:c>
      <x:c r="D84" s="15" t="str">
        <x:v>S005</x:v>
      </x:c>
      <x:c r="E84" s="15" t="str">
        <x:v>C</x:v>
      </x:c>
      <x:c r="F84" s="16" t="str">
        <x:v>S005-MED-01; S005-WAT-01; S005-WAT-02; S005-WAT-03; S005-FOD-01; S005-HYG-01</x:v>
      </x:c>
      <x:c r="G84" s="21" t="n">
        <x:v>59</x:v>
      </x:c>
      <x:c r="H84" s="23" t="n">
        <x:v>0.156</x:v>
      </x:c>
      <x:c r="I84" s="21" t="n">
        <x:v>1001.1887154914712</x:v>
      </x:c>
      <x:c r="J84" s="25" t="n">
        <x:v>4.222137373445114</x:v>
      </x:c>
      <x:c r="K84" s="21" t="n">
        <x:v>1877.1887154914712</x:v>
      </x:c>
      <x:c r="L84" s="21" t="n">
        <x:f>(1-J84/VLOOKUP(E84,'口径说明'!$A$6:$E$8,4,FALSE))*100</x:f>
        <x:v>47.223282831936075</x:v>
      </x:c>
      <x:c r="M84" s="21" t="n">
        <x:f>VLOOKUP(E84,'口径说明'!$A$6:$E$8,2,FALSE)-G84</x:f>
        <x:v>21</x:v>
      </x:c>
      <x:c r="N84" s="23" t="n">
        <x:f>VLOOKUP(E84,'口径说明'!$A$6:$E$8,3,FALSE)-H84</x:f>
        <x:v>0.094</x:v>
      </x:c>
      <x:c r="O84" s="25" t="n">
        <x:f>VLOOKUP(E84,'口径说明'!$A$6:$E$8,4,FALSE)*(1-B84/100)-J84</x:f>
        <x:v>2.1778626265548864</x:v>
      </x:c>
      <x:c r="P84" s="27" t="str">
        <x:f>IF(AND(M84&gt;=-0.0000001,N84&gt;=-0.0000001,O84&gt;=-0.0000001),"满足","不满足")</x:f>
        <x:v>满足</x:v>
      </x:c>
    </x:row>
    <x:row r="85" ht="44" customHeight="1">
      <x:c r="A85" s="2" t="str">
        <x:v>SC005</x:v>
      </x:c>
      <x:c r="B85" s="14" t="n">
        <x:v>20</x:v>
      </x:c>
      <x:c r="C85" s="2" t="str">
        <x:v>SC005-009</x:v>
      </x:c>
      <x:c r="D85" s="2" t="str">
        <x:v>S006</x:v>
      </x:c>
      <x:c r="E85" s="2" t="str">
        <x:v>C</x:v>
      </x:c>
      <x:c r="F85" s="13" t="str">
        <x:v>S006-MED-01; S006-WAT-01; S006-WAT-02; S006-WAT-03; S006-FOD-01; S006-HYG-01</x:v>
      </x:c>
      <x:c r="G85" s="20" t="n">
        <x:v>59</x:v>
      </x:c>
      <x:c r="H85" s="22" t="n">
        <x:v>0.156</x:v>
      </x:c>
      <x:c r="I85" s="20" t="n">
        <x:v>685.5526244866224</x:v>
      </x:c>
      <x:c r="J85" s="24" t="n">
        <x:v>2.5979362904386822</x:v>
      </x:c>
      <x:c r="K85" s="20" t="n">
        <x:v>1561.5526244866223</x:v>
      </x:c>
      <x:c r="L85" s="20" t="n">
        <x:f>(1-J85/VLOOKUP(E85,'口径说明'!$A$6:$E$8,4,FALSE))*100</x:f>
        <x:v>67.52579636951648</x:v>
      </x:c>
      <x:c r="M85" s="20" t="n">
        <x:f>VLOOKUP(E85,'口径说明'!$A$6:$E$8,2,FALSE)-G85</x:f>
        <x:v>21</x:v>
      </x:c>
      <x:c r="N85" s="22" t="n">
        <x:f>VLOOKUP(E85,'口径说明'!$A$6:$E$8,3,FALSE)-H85</x:f>
        <x:v>0.094</x:v>
      </x:c>
      <x:c r="O85" s="24" t="n">
        <x:f>VLOOKUP(E85,'口径说明'!$A$6:$E$8,4,FALSE)*(1-B85/100)-J85</x:f>
        <x:v>3.802063709561318</x:v>
      </x:c>
      <x:c r="P85" s="26" t="str">
        <x:f>IF(AND(M85&gt;=-0.0000001,N85&gt;=-0.0000001,O85&gt;=-0.0000001),"满足","不满足")</x:f>
        <x:v>满足</x:v>
      </x:c>
    </x:row>
    <x:row r="86" ht="44" customHeight="1">
      <x:c r="A86" s="15" t="str">
        <x:v>SC005</x:v>
      </x:c>
      <x:c r="B86" s="17" t="n">
        <x:v>20</x:v>
      </x:c>
      <x:c r="C86" s="15" t="str">
        <x:v>SC005-010</x:v>
      </x:c>
      <x:c r="D86" s="15" t="str">
        <x:v>S007</x:v>
      </x:c>
      <x:c r="E86" s="15" t="str">
        <x:v>C</x:v>
      </x:c>
      <x:c r="F86" s="16" t="str">
        <x:v>S007-MED-01; S007-WAT-01; S007-WAT-02; S007-FOD-01; S007-HYG-01</x:v>
      </x:c>
      <x:c r="G86" s="21" t="n">
        <x:v>45</x:v>
      </x:c>
      <x:c r="H86" s="23" t="n">
        <x:v>0.129</x:v>
      </x:c>
      <x:c r="I86" s="21" t="n">
        <x:v>1097.600698410691</x:v>
      </x:c>
      <x:c r="J86" s="25" t="n">
        <x:v>3.4110038084433194</x:v>
      </x:c>
      <x:c r="K86" s="21" t="n">
        <x:v>1907.600698410691</x:v>
      </x:c>
      <x:c r="L86" s="21" t="n">
        <x:f>(1-J86/VLOOKUP(E86,'口径说明'!$A$6:$E$8,4,FALSE))*100</x:f>
        <x:v>57.36245239445851</x:v>
      </x:c>
      <x:c r="M86" s="21" t="n">
        <x:f>VLOOKUP(E86,'口径说明'!$A$6:$E$8,2,FALSE)-G86</x:f>
        <x:v>35</x:v>
      </x:c>
      <x:c r="N86" s="23" t="n">
        <x:f>VLOOKUP(E86,'口径说明'!$A$6:$E$8,3,FALSE)-H86</x:f>
        <x:v>0.121</x:v>
      </x:c>
      <x:c r="O86" s="25" t="n">
        <x:f>VLOOKUP(E86,'口径说明'!$A$6:$E$8,4,FALSE)*(1-B86/100)-J86</x:f>
        <x:v>2.988996191556681</x:v>
      </x:c>
      <x:c r="P86" s="27" t="str">
        <x:f>IF(AND(M86&gt;=-0.0000001,N86&gt;=-0.0000001,O86&gt;=-0.0000001),"满足","不满足")</x:f>
        <x:v>满足</x:v>
      </x:c>
    </x:row>
    <x:row r="87" ht="44" customHeight="1">
      <x:c r="A87" s="2" t="str">
        <x:v>SC005</x:v>
      </x:c>
      <x:c r="B87" s="14" t="n">
        <x:v>20</x:v>
      </x:c>
      <x:c r="C87" s="2" t="str">
        <x:v>SC005-011</x:v>
      </x:c>
      <x:c r="D87" s="2" t="str">
        <x:v>S008</x:v>
      </x:c>
      <x:c r="E87" s="2" t="str">
        <x:v>C</x:v>
      </x:c>
      <x:c r="F87" s="13" t="str">
        <x:v>S008-MED-01; S008-WAT-01; S008-WAT-02; S008-FOD-01; S008-HYG-01</x:v>
      </x:c>
      <x:c r="G87" s="20" t="n">
        <x:v>45</x:v>
      </x:c>
      <x:c r="H87" s="22" t="n">
        <x:v>0.129</x:v>
      </x:c>
      <x:c r="I87" s="20" t="n">
        <x:v>1389.7115246008332</x:v>
      </x:c>
      <x:c r="J87" s="24" t="n">
        <x:v>5.836020667966359</x:v>
      </x:c>
      <x:c r="K87" s="20" t="n">
        <x:v>2199.7115246008334</x:v>
      </x:c>
      <x:c r="L87" s="20" t="n">
        <x:f>(1-J87/VLOOKUP(E87,'口径说明'!$A$6:$E$8,4,FALSE))*100</x:f>
        <x:v>27.04974165042051</x:v>
      </x:c>
      <x:c r="M87" s="20" t="n">
        <x:f>VLOOKUP(E87,'口径说明'!$A$6:$E$8,2,FALSE)-G87</x:f>
        <x:v>35</x:v>
      </x:c>
      <x:c r="N87" s="22" t="n">
        <x:f>VLOOKUP(E87,'口径说明'!$A$6:$E$8,3,FALSE)-H87</x:f>
        <x:v>0.121</x:v>
      </x:c>
      <x:c r="O87" s="24" t="n">
        <x:f>VLOOKUP(E87,'口径说明'!$A$6:$E$8,4,FALSE)*(1-B87/100)-J87</x:f>
        <x:v>0.5639793320336413</x:v>
      </x:c>
      <x:c r="P87" s="26" t="str">
        <x:f>IF(AND(M87&gt;=-0.0000001,N87&gt;=-0.0000001,O87&gt;=-0.0000001),"满足","不满足")</x:f>
        <x:v>满足</x:v>
      </x:c>
    </x:row>
    <x:row r="88" ht="30" customHeight="1">
      <x:c r="A88" s="15" t="str">
        <x:v>SC005</x:v>
      </x:c>
      <x:c r="B88" s="17" t="n">
        <x:v>20</x:v>
      </x:c>
      <x:c r="C88" s="15" t="str">
        <x:v>SC005-012</x:v>
      </x:c>
      <x:c r="D88" s="15" t="str">
        <x:v>S009</x:v>
      </x:c>
      <x:c r="E88" s="15" t="str">
        <x:v>B</x:v>
      </x:c>
      <x:c r="F88" s="16" t="str">
        <x:v>S009-MED-01; S009-WAT-01; S009-FOD-01</x:v>
      </x:c>
      <x:c r="G88" s="21" t="n">
        <x:v>25</x:v>
      </x:c>
      <x:c r="H88" s="23" t="n">
        <x:v>0.067</x:v>
      </x:c>
      <x:c r="I88" s="21" t="n">
        <x:v>928.4628643343575</x:v>
      </x:c>
      <x:c r="J88" s="25" t="n">
        <x:v>2.0962654017373348</x:v>
      </x:c>
      <x:c r="K88" s="21" t="n">
        <x:v>1558.4628643343576</x:v>
      </x:c>
      <x:c r="L88" s="21" t="n">
        <x:f>(1-J88/VLOOKUP(E88,'口径说明'!$A$6:$E$8,4,FALSE))*100</x:f>
        <x:v>47.59336495656663</x:v>
      </x:c>
      <x:c r="M88" s="21" t="n">
        <x:f>VLOOKUP(E88,'口径说明'!$A$6:$E$8,2,FALSE)-G88</x:f>
        <x:v>5</x:v>
      </x:c>
      <x:c r="N88" s="23" t="n">
        <x:f>VLOOKUP(E88,'口径说明'!$A$6:$E$8,3,FALSE)-H88</x:f>
        <x:v>0.0059999999999999915</x:v>
      </x:c>
      <x:c r="O88" s="25" t="n">
        <x:f>VLOOKUP(E88,'口径说明'!$A$6:$E$8,4,FALSE)*(1-B88/100)-J88</x:f>
        <x:v>1.1037345982626654</x:v>
      </x:c>
      <x:c r="P88" s="27" t="str">
        <x:f>IF(AND(M88&gt;=-0.0000001,N88&gt;=-0.0000001,O88&gt;=-0.0000001),"满足","不满足")</x:f>
        <x:v>满足</x:v>
      </x:c>
    </x:row>
    <x:row r="89" ht="30" customHeight="1">
      <x:c r="A89" s="2" t="str">
        <x:v>SC005</x:v>
      </x:c>
      <x:c r="B89" s="14" t="n">
        <x:v>20</x:v>
      </x:c>
      <x:c r="C89" s="2" t="str">
        <x:v>SC005-013</x:v>
      </x:c>
      <x:c r="D89" s="2" t="str">
        <x:v>S010</x:v>
      </x:c>
      <x:c r="E89" s="2" t="str">
        <x:v>B</x:v>
      </x:c>
      <x:c r="F89" s="13" t="str">
        <x:v>S010-MED-01; S010-WAT-01; S010-FOD-01</x:v>
      </x:c>
      <x:c r="G89" s="20" t="n">
        <x:v>25</x:v>
      </x:c>
      <x:c r="H89" s="22" t="n">
        <x:v>0.067</x:v>
      </x:c>
      <x:c r="I89" s="20" t="n">
        <x:v>925.4035197802174</x:v>
      </x:c>
      <x:c r="J89" s="24" t="n">
        <x:v>1.8232165642314142</x:v>
      </x:c>
      <x:c r="K89" s="20" t="n">
        <x:v>1555.4035197802173</x:v>
      </x:c>
      <x:c r="L89" s="20" t="n">
        <x:f>(1-J89/VLOOKUP(E89,'口径说明'!$A$6:$E$8,4,FALSE))*100</x:f>
        <x:v>54.41958589421465</x:v>
      </x:c>
      <x:c r="M89" s="20" t="n">
        <x:f>VLOOKUP(E89,'口径说明'!$A$6:$E$8,2,FALSE)-G89</x:f>
        <x:v>5</x:v>
      </x:c>
      <x:c r="N89" s="22" t="n">
        <x:f>VLOOKUP(E89,'口径说明'!$A$6:$E$8,3,FALSE)-H89</x:f>
        <x:v>0.0059999999999999915</x:v>
      </x:c>
      <x:c r="O89" s="24" t="n">
        <x:f>VLOOKUP(E89,'口径说明'!$A$6:$E$8,4,FALSE)*(1-B89/100)-J89</x:f>
        <x:v>1.376783435768586</x:v>
      </x:c>
      <x:c r="P89" s="26" t="str">
        <x:f>IF(AND(M89&gt;=-0.0000001,N89&gt;=-0.0000001,O89&gt;=-0.0000001),"满足","不满足")</x:f>
        <x:v>满足</x:v>
      </x:c>
    </x:row>
    <x:row r="90" ht="30" customHeight="1">
      <x:c r="A90" s="15" t="str">
        <x:v>SC005</x:v>
      </x:c>
      <x:c r="B90" s="17" t="n">
        <x:v>20</x:v>
      </x:c>
      <x:c r="C90" s="15" t="str">
        <x:v>SC005-014</x:v>
      </x:c>
      <x:c r="D90" s="15" t="str">
        <x:v>S011</x:v>
      </x:c>
      <x:c r="E90" s="15" t="str">
        <x:v>B</x:v>
      </x:c>
      <x:c r="F90" s="16" t="str">
        <x:v>S011-MED-01; S011-WAT-01; S011-FOD-01</x:v>
      </x:c>
      <x:c r="G90" s="21" t="n">
        <x:v>25</x:v>
      </x:c>
      <x:c r="H90" s="23" t="n">
        <x:v>0.067</x:v>
      </x:c>
      <x:c r="I90" s="21" t="n">
        <x:v>558.4247628605204</x:v>
      </x:c>
      <x:c r="J90" s="25" t="n">
        <x:v>1.0739366863951034</x:v>
      </x:c>
      <x:c r="K90" s="21" t="n">
        <x:v>1188.4247628605203</x:v>
      </x:c>
      <x:c r="L90" s="21" t="n">
        <x:f>(1-J90/VLOOKUP(E90,'口径说明'!$A$6:$E$8,4,FALSE))*100</x:f>
        <x:v>73.15158284012242</x:v>
      </x:c>
      <x:c r="M90" s="21" t="n">
        <x:f>VLOOKUP(E90,'口径说明'!$A$6:$E$8,2,FALSE)-G90</x:f>
        <x:v>5</x:v>
      </x:c>
      <x:c r="N90" s="23" t="n">
        <x:f>VLOOKUP(E90,'口径说明'!$A$6:$E$8,3,FALSE)-H90</x:f>
        <x:v>0.0059999999999999915</x:v>
      </x:c>
      <x:c r="O90" s="25" t="n">
        <x:f>VLOOKUP(E90,'口径说明'!$A$6:$E$8,4,FALSE)*(1-B90/100)-J90</x:f>
        <x:v>2.126063313604897</x:v>
      </x:c>
      <x:c r="P90" s="27" t="str">
        <x:f>IF(AND(M90&gt;=-0.0000001,N90&gt;=-0.0000001,O90&gt;=-0.0000001),"满足","不满足")</x:f>
        <x:v>满足</x:v>
      </x:c>
    </x:row>
    <x:row r="91" ht="30" customHeight="1">
      <x:c r="A91" s="2" t="str">
        <x:v>SC005</x:v>
      </x:c>
      <x:c r="B91" s="14" t="n">
        <x:v>20</x:v>
      </x:c>
      <x:c r="C91" s="2" t="str">
        <x:v>SC005-015</x:v>
      </x:c>
      <x:c r="D91" s="2" t="str">
        <x:v>S012</x:v>
      </x:c>
      <x:c r="E91" s="2" t="str">
        <x:v>B</x:v>
      </x:c>
      <x:c r="F91" s="13" t="str">
        <x:v>S012-MED-01; S012-WAT-01; S012-FOD-01</x:v>
      </x:c>
      <x:c r="G91" s="20" t="n">
        <x:v>25</x:v>
      </x:c>
      <x:c r="H91" s="22" t="n">
        <x:v>0.067</x:v>
      </x:c>
      <x:c r="I91" s="20" t="n">
        <x:v>1292.826814149187</x:v>
      </x:c>
      <x:c r="J91" s="24" t="n">
        <x:v>2.7525999542899324</x:v>
      </x:c>
      <x:c r="K91" s="20" t="n">
        <x:v>1922.826814149187</x:v>
      </x:c>
      <x:c r="L91" s="20" t="n">
        <x:f>(1-J91/VLOOKUP(E91,'口径说明'!$A$6:$E$8,4,FALSE))*100</x:f>
        <x:v>31.185001142751688</x:v>
      </x:c>
      <x:c r="M91" s="20" t="n">
        <x:f>VLOOKUP(E91,'口径说明'!$A$6:$E$8,2,FALSE)-G91</x:f>
        <x:v>5</x:v>
      </x:c>
      <x:c r="N91" s="22" t="n">
        <x:f>VLOOKUP(E91,'口径说明'!$A$6:$E$8,3,FALSE)-H91</x:f>
        <x:v>0.0059999999999999915</x:v>
      </x:c>
      <x:c r="O91" s="24" t="n">
        <x:f>VLOOKUP(E91,'口径说明'!$A$6:$E$8,4,FALSE)*(1-B91/100)-J91</x:f>
        <x:v>0.44740004571006775</x:v>
      </x:c>
      <x:c r="P91" s="26" t="str">
        <x:f>IF(AND(M91&gt;=-0.0000001,N91&gt;=-0.0000001,O91&gt;=-0.0000001),"满足","不满足")</x:f>
        <x:v>满足</x:v>
      </x:c>
    </x:row>
    <x:row r="92" ht="30" customHeight="1">
      <x:c r="A92" s="15" t="str">
        <x:v>SC005</x:v>
      </x:c>
      <x:c r="B92" s="17" t="n">
        <x:v>20</x:v>
      </x:c>
      <x:c r="C92" s="15" t="str">
        <x:v>SC005-016</x:v>
      </x:c>
      <x:c r="D92" s="15" t="str">
        <x:v>S013</x:v>
      </x:c>
      <x:c r="E92" s="15" t="str">
        <x:v>B</x:v>
      </x:c>
      <x:c r="F92" s="16" t="str">
        <x:v>S013-MED-01; S013-WAT-01; S013-FOD-01</x:v>
      </x:c>
      <x:c r="G92" s="21" t="n">
        <x:v>25</x:v>
      </x:c>
      <x:c r="H92" s="23" t="n">
        <x:v>0.067</x:v>
      </x:c>
      <x:c r="I92" s="21" t="n">
        <x:v>880.511588744525</x:v>
      </x:c>
      <x:c r="J92" s="25" t="n">
        <x:v>1.8248281910807471</x:v>
      </x:c>
      <x:c r="K92" s="21" t="n">
        <x:v>1510.511588744525</x:v>
      </x:c>
      <x:c r="L92" s="21" t="n">
        <x:f>(1-J92/VLOOKUP(E92,'口径说明'!$A$6:$E$8,4,FALSE))*100</x:f>
        <x:v>54.37929522298133</x:v>
      </x:c>
      <x:c r="M92" s="21" t="n">
        <x:f>VLOOKUP(E92,'口径说明'!$A$6:$E$8,2,FALSE)-G92</x:f>
        <x:v>5</x:v>
      </x:c>
      <x:c r="N92" s="23" t="n">
        <x:f>VLOOKUP(E92,'口径说明'!$A$6:$E$8,3,FALSE)-H92</x:f>
        <x:v>0.0059999999999999915</x:v>
      </x:c>
      <x:c r="O92" s="25" t="n">
        <x:f>VLOOKUP(E92,'口径说明'!$A$6:$E$8,4,FALSE)*(1-B92/100)-J92</x:f>
        <x:v>1.375171808919253</x:v>
      </x:c>
      <x:c r="P92" s="27" t="str">
        <x:f>IF(AND(M92&gt;=-0.0000001,N92&gt;=-0.0000001,O92&gt;=-0.0000001),"满足","不满足")</x:f>
        <x:v>满足</x:v>
      </x:c>
    </x:row>
    <x:row r="93" ht="30" customHeight="1">
      <x:c r="A93" s="2" t="str">
        <x:v>SC005</x:v>
      </x:c>
      <x:c r="B93" s="14" t="n">
        <x:v>20</x:v>
      </x:c>
      <x:c r="C93" s="2" t="str">
        <x:v>SC005-017</x:v>
      </x:c>
      <x:c r="D93" s="2" t="str">
        <x:v>S014</x:v>
      </x:c>
      <x:c r="E93" s="2" t="str">
        <x:v>B</x:v>
      </x:c>
      <x:c r="F93" s="13" t="str">
        <x:v>S014-MED-01; S014-WAT-01; S014-FOD-01</x:v>
      </x:c>
      <x:c r="G93" s="20" t="n">
        <x:v>25</x:v>
      </x:c>
      <x:c r="H93" s="22" t="n">
        <x:v>0.067</x:v>
      </x:c>
      <x:c r="I93" s="20" t="n">
        <x:v>1239.7476752786913</x:v>
      </x:c>
      <x:c r="J93" s="24" t="n">
        <x:v>2.1402909781417883</x:v>
      </x:c>
      <x:c r="K93" s="20" t="n">
        <x:v>1869.7476752786913</x:v>
      </x:c>
      <x:c r="L93" s="20" t="n">
        <x:f>(1-J93/VLOOKUP(E93,'口径说明'!$A$6:$E$8,4,FALSE))*100</x:f>
        <x:v>46.49272554645529</x:v>
      </x:c>
      <x:c r="M93" s="20" t="n">
        <x:f>VLOOKUP(E93,'口径说明'!$A$6:$E$8,2,FALSE)-G93</x:f>
        <x:v>5</x:v>
      </x:c>
      <x:c r="N93" s="22" t="n">
        <x:f>VLOOKUP(E93,'口径说明'!$A$6:$E$8,3,FALSE)-H93</x:f>
        <x:v>0.0059999999999999915</x:v>
      </x:c>
      <x:c r="O93" s="24" t="n">
        <x:f>VLOOKUP(E93,'口径说明'!$A$6:$E$8,4,FALSE)*(1-B93/100)-J93</x:f>
        <x:v>1.059709021858212</x:v>
      </x:c>
      <x:c r="P93" s="26" t="str">
        <x:f>IF(AND(M93&gt;=-0.0000001,N93&gt;=-0.0000001,O93&gt;=-0.0000001),"满足","不满足")</x:f>
        <x:v>满足</x:v>
      </x:c>
    </x:row>
    <x:row r="94" ht="30" customHeight="1">
      <x:c r="A94" s="15" t="str">
        <x:v>SC005</x:v>
      </x:c>
      <x:c r="B94" s="17" t="n">
        <x:v>20</x:v>
      </x:c>
      <x:c r="C94" s="15" t="str">
        <x:v>SC005-018</x:v>
      </x:c>
      <x:c r="D94" s="15" t="str">
        <x:v>S015</x:v>
      </x:c>
      <x:c r="E94" s="15" t="str">
        <x:v>B</x:v>
      </x:c>
      <x:c r="F94" s="16" t="str">
        <x:v>S015-MED-01; S015-WAT-01; S015-FOD-01</x:v>
      </x:c>
      <x:c r="G94" s="21" t="n">
        <x:v>25</x:v>
      </x:c>
      <x:c r="H94" s="23" t="n">
        <x:v>0.067</x:v>
      </x:c>
      <x:c r="I94" s="21" t="n">
        <x:v>1198.3275601736595</x:v>
      </x:c>
      <x:c r="J94" s="25" t="n">
        <x:v>2.307528505752516</x:v>
      </x:c>
      <x:c r="K94" s="21" t="n">
        <x:v>1828.3275601736595</x:v>
      </x:c>
      <x:c r="L94" s="21" t="n">
        <x:f>(1-J94/VLOOKUP(E94,'口径说明'!$A$6:$E$8,4,FALSE))*100</x:f>
        <x:v>42.311787356187104</x:v>
      </x:c>
      <x:c r="M94" s="21" t="n">
        <x:f>VLOOKUP(E94,'口径说明'!$A$6:$E$8,2,FALSE)-G94</x:f>
        <x:v>5</x:v>
      </x:c>
      <x:c r="N94" s="23" t="n">
        <x:f>VLOOKUP(E94,'口径说明'!$A$6:$E$8,3,FALSE)-H94</x:f>
        <x:v>0.0059999999999999915</x:v>
      </x:c>
      <x:c r="O94" s="25" t="n">
        <x:f>VLOOKUP(E94,'口径说明'!$A$6:$E$8,4,FALSE)*(1-B94/100)-J94</x:f>
        <x:v>0.8924714942474843</x:v>
      </x:c>
      <x:c r="P94" s="27" t="str">
        <x:f>IF(AND(M94&gt;=-0.0000001,N94&gt;=-0.0000001,O94&gt;=-0.0000001),"满足","不满足")</x:f>
        <x:v>满足</x:v>
      </x:c>
    </x:row>
    <x:row r="95" ht="61" customHeight="1">
      <x:c r="A95" s="2" t="str">
        <x:v>SC006</x:v>
      </x:c>
      <x:c r="B95" s="14" t="n">
        <x:v>22.5</x:v>
      </x:c>
      <x:c r="C95" s="2" t="str">
        <x:v>SC006-001</x:v>
      </x:c>
      <x:c r="D95" s="2" t="str">
        <x:v>S001</x:v>
      </x:c>
      <x:c r="E95" s="2" t="str">
        <x:v>C</x:v>
      </x:c>
      <x:c r="F95" s="13" t="str">
        <x:v>S001-WAT-01; S001-WAT-02; S001-WAT-03; S001-FOD-01; S001-FOD-02; S001-FOD-03; S001-HYG-01; S001-HYG-02</x:v>
      </x:c>
      <x:c r="G95" s="20" t="n">
        <x:v>78</x:v>
      </x:c>
      <x:c r="H95" s="22" t="n">
        <x:v>0.235</x:v>
      </x:c>
      <x:c r="I95" s="20" t="n">
        <x:v>618.1750458620229</x:v>
      </x:c>
      <x:c r="J95" s="24" t="n">
        <x:v>2.9957758049046697</x:v>
      </x:c>
      <x:c r="K95" s="20" t="n">
        <x:v>1626.175045862023</x:v>
      </x:c>
      <x:c r="L95" s="20" t="n">
        <x:f>(1-J95/VLOOKUP(E95,'口径说明'!$A$6:$E$8,4,FALSE))*100</x:f>
        <x:v>62.552802438691636</x:v>
      </x:c>
      <x:c r="M95" s="20" t="n">
        <x:f>VLOOKUP(E95,'口径说明'!$A$6:$E$8,2,FALSE)-G95</x:f>
        <x:v>2</x:v>
      </x:c>
      <x:c r="N95" s="22" t="n">
        <x:f>VLOOKUP(E95,'口径说明'!$A$6:$E$8,3,FALSE)-H95</x:f>
        <x:v>0.015000000000000013</x:v>
      </x:c>
      <x:c r="O95" s="24" t="n">
        <x:f>VLOOKUP(E95,'口径说明'!$A$6:$E$8,4,FALSE)*(1-B95/100)-J95</x:f>
        <x:v>3.2042241950953305</x:v>
      </x:c>
      <x:c r="P95" s="26" t="str">
        <x:f>IF(AND(M95&gt;=-0.0000001,N95&gt;=-0.0000001,O95&gt;=-0.0000001),"满足","不满足")</x:f>
        <x:v>满足</x:v>
      </x:c>
    </x:row>
    <x:row r="96" ht="44" customHeight="1">
      <x:c r="A96" s="15" t="str">
        <x:v>SC006</x:v>
      </x:c>
      <x:c r="B96" s="17" t="n">
        <x:v>22.5</x:v>
      </x:c>
      <x:c r="C96" s="15" t="str">
        <x:v>SC006-002</x:v>
      </x:c>
      <x:c r="D96" s="15" t="str">
        <x:v>S001</x:v>
      </x:c>
      <x:c r="E96" s="15" t="str">
        <x:v>C</x:v>
      </x:c>
      <x:c r="F96" s="16" t="str">
        <x:v>S001-MED-01; S001-MED-02; S001-WAT-04; S001-WAT-05; S001-WAT-06; S001-WAT-07; S001-WAT-08</x:v>
      </x:c>
      <x:c r="G96" s="21" t="n">
        <x:v>76</x:v>
      </x:c>
      <x:c r="H96" s="23" t="n">
        <x:v>0.159</x:v>
      </x:c>
      <x:c r="I96" s="21" t="n">
        <x:v>618.1750458620229</x:v>
      </x:c>
      <x:c r="J96" s="25" t="n">
        <x:v>2.917588095586827</x:v>
      </x:c>
      <x:c r="K96" s="21" t="n">
        <x:v>1560.175045862023</x:v>
      </x:c>
      <x:c r="L96" s="21" t="n">
        <x:f>(1-J96/VLOOKUP(E96,'口径说明'!$A$6:$E$8,4,FALSE))*100</x:f>
        <x:v>63.53014880516466</x:v>
      </x:c>
      <x:c r="M96" s="21" t="n">
        <x:f>VLOOKUP(E96,'口径说明'!$A$6:$E$8,2,FALSE)-G96</x:f>
        <x:v>4</x:v>
      </x:c>
      <x:c r="N96" s="23" t="n">
        <x:f>VLOOKUP(E96,'口径说明'!$A$6:$E$8,3,FALSE)-H96</x:f>
        <x:v>0.091</x:v>
      </x:c>
      <x:c r="O96" s="25" t="n">
        <x:f>VLOOKUP(E96,'口径说明'!$A$6:$E$8,4,FALSE)*(1-B96/100)-J96</x:f>
        <x:v>3.282411904413173</x:v>
      </x:c>
      <x:c r="P96" s="27" t="str">
        <x:f>IF(AND(M96&gt;=-0.0000001,N96&gt;=-0.0000001,O96&gt;=-0.0000001),"满足","不满足")</x:f>
        <x:v>满足</x:v>
      </x:c>
    </x:row>
    <x:row r="97" ht="30" customHeight="1">
      <x:c r="A97" s="2" t="str">
        <x:v>SC006</x:v>
      </x:c>
      <x:c r="B97" s="14" t="n">
        <x:v>22.5</x:v>
      </x:c>
      <x:c r="C97" s="2" t="str">
        <x:v>SC006-003</x:v>
      </x:c>
      <x:c r="D97" s="2" t="str">
        <x:v>S002</x:v>
      </x:c>
      <x:c r="E97" s="2" t="str">
        <x:v>B</x:v>
      </x:c>
      <x:c r="F97" s="13" t="str">
        <x:v>S002-MED-01; S002-WAT-01; S002-FOD-01</x:v>
      </x:c>
      <x:c r="G97" s="20" t="n">
        <x:v>25</x:v>
      </x:c>
      <x:c r="H97" s="22" t="n">
        <x:v>0.067</x:v>
      </x:c>
      <x:c r="I97" s="20" t="n">
        <x:v>1186.7240813077576</x:v>
      </x:c>
      <x:c r="J97" s="24" t="n">
        <x:v>2.7134729412419873</x:v>
      </x:c>
      <x:c r="K97" s="20" t="n">
        <x:v>1816.7240813077576</x:v>
      </x:c>
      <x:c r="L97" s="20" t="n">
        <x:f>(1-J97/VLOOKUP(E97,'口径说明'!$A$6:$E$8,4,FALSE))*100</x:f>
        <x:v>32.16317646895032</x:v>
      </x:c>
      <x:c r="M97" s="20" t="n">
        <x:f>VLOOKUP(E97,'口径说明'!$A$6:$E$8,2,FALSE)-G97</x:f>
        <x:v>5</x:v>
      </x:c>
      <x:c r="N97" s="22" t="n">
        <x:f>VLOOKUP(E97,'口径说明'!$A$6:$E$8,3,FALSE)-H97</x:f>
        <x:v>0.0059999999999999915</x:v>
      </x:c>
      <x:c r="O97" s="24" t="n">
        <x:f>VLOOKUP(E97,'口径说明'!$A$6:$E$8,4,FALSE)*(1-B97/100)-J97</x:f>
        <x:v>0.38652705875801274</x:v>
      </x:c>
      <x:c r="P97" s="26" t="str">
        <x:f>IF(AND(M97&gt;=-0.0000001,N97&gt;=-0.0000001,O97&gt;=-0.0000001),"满足","不满足")</x:f>
        <x:v>满足</x:v>
      </x:c>
    </x:row>
    <x:row r="98" ht="44" customHeight="1">
      <x:c r="A98" s="15" t="str">
        <x:v>SC006</x:v>
      </x:c>
      <x:c r="B98" s="17" t="n">
        <x:v>22.5</x:v>
      </x:c>
      <x:c r="C98" s="15" t="str">
        <x:v>SC006-004</x:v>
      </x:c>
      <x:c r="D98" s="15" t="str">
        <x:v>S002</x:v>
      </x:c>
      <x:c r="E98" s="15" t="str">
        <x:v>C</x:v>
      </x:c>
      <x:c r="F98" s="16" t="str">
        <x:v>S002-WAT-02; S002-WAT-03; S002-WAT-04; S002-FOD-02; S002-HYG-01</x:v>
      </x:c>
      <x:c r="G98" s="21" t="n">
        <x:v>56</x:v>
      </x:c>
      <x:c r="H98" s="23" t="n">
        <x:v>0.144</x:v>
      </x:c>
      <x:c r="I98" s="21" t="n">
        <x:v>1231.8421660245544</x:v>
      </x:c>
      <x:c r="J98" s="25" t="n">
        <x:v>5.721356203945945</x:v>
      </x:c>
      <x:c r="K98" s="21" t="n">
        <x:v>2041.8421660245544</x:v>
      </x:c>
      <x:c r="L98" s="21" t="n">
        <x:f>(1-J98/VLOOKUP(E98,'口径说明'!$A$6:$E$8,4,FALSE))*100</x:f>
        <x:v>28.48304745067569</x:v>
      </x:c>
      <x:c r="M98" s="21" t="n">
        <x:f>VLOOKUP(E98,'口径说明'!$A$6:$E$8,2,FALSE)-G98</x:f>
        <x:v>24</x:v>
      </x:c>
      <x:c r="N98" s="23" t="n">
        <x:f>VLOOKUP(E98,'口径说明'!$A$6:$E$8,3,FALSE)-H98</x:f>
        <x:v>0.10600000000000001</x:v>
      </x:c>
      <x:c r="O98" s="25" t="n">
        <x:f>VLOOKUP(E98,'口径说明'!$A$6:$E$8,4,FALSE)*(1-B98/100)-J98</x:f>
        <x:v>0.4786437960540555</x:v>
      </x:c>
      <x:c r="P98" s="27" t="str">
        <x:f>IF(AND(M98&gt;=-0.0000001,N98&gt;=-0.0000001,O98&gt;=-0.0000001),"满足","不满足")</x:f>
        <x:v>满足</x:v>
      </x:c>
    </x:row>
    <x:row r="99" ht="30" customHeight="1">
      <x:c r="A99" s="2" t="str">
        <x:v>SC006</x:v>
      </x:c>
      <x:c r="B99" s="14" t="n">
        <x:v>22.5</x:v>
      </x:c>
      <x:c r="C99" s="2" t="str">
        <x:v>SC006-005</x:v>
      </x:c>
      <x:c r="D99" s="2" t="str">
        <x:v>S003</x:v>
      </x:c>
      <x:c r="E99" s="2" t="str">
        <x:v>B</x:v>
      </x:c>
      <x:c r="F99" s="13" t="str">
        <x:v>S003-MED-01; S003-WAT-01; S003-FOD-01</x:v>
      </x:c>
      <x:c r="G99" s="20" t="n">
        <x:v>25</x:v>
      </x:c>
      <x:c r="H99" s="22" t="n">
        <x:v>0.067</x:v>
      </x:c>
      <x:c r="I99" s="20" t="n">
        <x:v>1450.6096650380623</x:v>
      </x:c>
      <x:c r="J99" s="24" t="n">
        <x:v>2.7800780342326075</x:v>
      </x:c>
      <x:c r="K99" s="20" t="n">
        <x:v>2080.6096650380623</x:v>
      </x:c>
      <x:c r="L99" s="20" t="n">
        <x:f>(1-J99/VLOOKUP(E99,'口径说明'!$A$6:$E$8,4,FALSE))*100</x:f>
        <x:v>30.49804914418481</x:v>
      </x:c>
      <x:c r="M99" s="20" t="n">
        <x:f>VLOOKUP(E99,'口径说明'!$A$6:$E$8,2,FALSE)-G99</x:f>
        <x:v>5</x:v>
      </x:c>
      <x:c r="N99" s="22" t="n">
        <x:f>VLOOKUP(E99,'口径说明'!$A$6:$E$8,3,FALSE)-H99</x:f>
        <x:v>0.0059999999999999915</x:v>
      </x:c>
      <x:c r="O99" s="24" t="n">
        <x:f>VLOOKUP(E99,'口径说明'!$A$6:$E$8,4,FALSE)*(1-B99/100)-J99</x:f>
        <x:v>0.3199219657673926</x:v>
      </x:c>
      <x:c r="P99" s="26" t="str">
        <x:f>IF(AND(M99&gt;=-0.0000001,N99&gt;=-0.0000001,O99&gt;=-0.0000001),"满足","不满足")</x:f>
        <x:v>满足</x:v>
      </x:c>
    </x:row>
    <x:row r="100" ht="44" customHeight="1">
      <x:c r="A100" s="15" t="str">
        <x:v>SC006</x:v>
      </x:c>
      <x:c r="B100" s="17" t="n">
        <x:v>22.5</x:v>
      </x:c>
      <x:c r="C100" s="15" t="str">
        <x:v>SC006-006</x:v>
      </x:c>
      <x:c r="D100" s="15" t="str">
        <x:v>S003</x:v>
      </x:c>
      <x:c r="E100" s="15" t="str">
        <x:v>C</x:v>
      </x:c>
      <x:c r="F100" s="16" t="str">
        <x:v>S003-WAT-02; S003-WAT-03; S003-WAT-04; S003-FOD-02; S003-HYG-01</x:v>
      </x:c>
      <x:c r="G100" s="21" t="n">
        <x:v>56</x:v>
      </x:c>
      <x:c r="H100" s="23" t="n">
        <x:v>0.144</x:v>
      </x:c>
      <x:c r="I100" s="21" t="n">
        <x:v>1560.1777110992603</x:v>
      </x:c>
      <x:c r="J100" s="25" t="n">
        <x:v>5.7653646949838375</x:v>
      </x:c>
      <x:c r="K100" s="21" t="n">
        <x:v>2370.1777110992603</x:v>
      </x:c>
      <x:c r="L100" s="21" t="n">
        <x:f>(1-J100/VLOOKUP(E100,'口径说明'!$A$6:$E$8,4,FALSE))*100</x:f>
        <x:v>27.93294131270203</x:v>
      </x:c>
      <x:c r="M100" s="21" t="n">
        <x:f>VLOOKUP(E100,'口径说明'!$A$6:$E$8,2,FALSE)-G100</x:f>
        <x:v>24</x:v>
      </x:c>
      <x:c r="N100" s="23" t="n">
        <x:f>VLOOKUP(E100,'口径说明'!$A$6:$E$8,3,FALSE)-H100</x:f>
        <x:v>0.10600000000000001</x:v>
      </x:c>
      <x:c r="O100" s="25" t="n">
        <x:f>VLOOKUP(E100,'口径说明'!$A$6:$E$8,4,FALSE)*(1-B100/100)-J100</x:f>
        <x:v>0.43463530501616265</x:v>
      </x:c>
      <x:c r="P100" s="27" t="str">
        <x:f>IF(AND(M100&gt;=-0.0000001,N100&gt;=-0.0000001,O100&gt;=-0.0000001),"满足","不满足")</x:f>
        <x:v>满足</x:v>
      </x:c>
    </x:row>
    <x:row r="101" ht="44" customHeight="1">
      <x:c r="A101" s="2" t="str">
        <x:v>SC006</x:v>
      </x:c>
      <x:c r="B101" s="14" t="n">
        <x:v>22.5</x:v>
      </x:c>
      <x:c r="C101" s="2" t="str">
        <x:v>SC006-007</x:v>
      </x:c>
      <x:c r="D101" s="2" t="str">
        <x:v>S004</x:v>
      </x:c>
      <x:c r="E101" s="2" t="str">
        <x:v>C</x:v>
      </x:c>
      <x:c r="F101" s="13" t="str">
        <x:v>S004-MED-01; S004-WAT-01; S004-WAT-02; S004-WAT-03; S004-FOD-01; S004-HYG-01</x:v>
      </x:c>
      <x:c r="G101" s="20" t="n">
        <x:v>59</x:v>
      </x:c>
      <x:c r="H101" s="22" t="n">
        <x:v>0.156</x:v>
      </x:c>
      <x:c r="I101" s="20" t="n">
        <x:v>1425.0547187724458</x:v>
      </x:c>
      <x:c r="J101" s="24" t="n">
        <x:v>6.152860129174582</x:v>
      </x:c>
      <x:c r="K101" s="20" t="n">
        <x:v>2301.054718772446</x:v>
      </x:c>
      <x:c r="L101" s="20" t="n">
        <x:f>(1-J101/VLOOKUP(E101,'口径说明'!$A$6:$E$8,4,FALSE))*100</x:f>
        <x:v>23.089248385317727</x:v>
      </x:c>
      <x:c r="M101" s="20" t="n">
        <x:f>VLOOKUP(E101,'口径说明'!$A$6:$E$8,2,FALSE)-G101</x:f>
        <x:v>21</x:v>
      </x:c>
      <x:c r="N101" s="22" t="n">
        <x:f>VLOOKUP(E101,'口径说明'!$A$6:$E$8,3,FALSE)-H101</x:f>
        <x:v>0.094</x:v>
      </x:c>
      <x:c r="O101" s="24" t="n">
        <x:f>VLOOKUP(E101,'口径说明'!$A$6:$E$8,4,FALSE)*(1-B101/100)-J101</x:f>
        <x:v>0.047139870825418484</x:v>
      </x:c>
      <x:c r="P101" s="26" t="str">
        <x:f>IF(AND(M101&gt;=-0.0000001,N101&gt;=-0.0000001,O101&gt;=-0.0000001),"满足","不满足")</x:f>
        <x:v>满足</x:v>
      </x:c>
    </x:row>
    <x:row r="102" ht="44" customHeight="1">
      <x:c r="A102" s="15" t="str">
        <x:v>SC006</x:v>
      </x:c>
      <x:c r="B102" s="17" t="n">
        <x:v>22.5</x:v>
      </x:c>
      <x:c r="C102" s="15" t="str">
        <x:v>SC006-008</x:v>
      </x:c>
      <x:c r="D102" s="15" t="str">
        <x:v>S005</x:v>
      </x:c>
      <x:c r="E102" s="15" t="str">
        <x:v>C</x:v>
      </x:c>
      <x:c r="F102" s="16" t="str">
        <x:v>S005-MED-01; S005-WAT-01; S005-WAT-02; S005-WAT-03; S005-FOD-01; S005-HYG-01</x:v>
      </x:c>
      <x:c r="G102" s="21" t="n">
        <x:v>59</x:v>
      </x:c>
      <x:c r="H102" s="23" t="n">
        <x:v>0.156</x:v>
      </x:c>
      <x:c r="I102" s="21" t="n">
        <x:v>1001.1887154914712</x:v>
      </x:c>
      <x:c r="J102" s="25" t="n">
        <x:v>4.222137373445114</x:v>
      </x:c>
      <x:c r="K102" s="21" t="n">
        <x:v>1877.1887154914712</x:v>
      </x:c>
      <x:c r="L102" s="21" t="n">
        <x:f>(1-J102/VLOOKUP(E102,'口径说明'!$A$6:$E$8,4,FALSE))*100</x:f>
        <x:v>47.223282831936075</x:v>
      </x:c>
      <x:c r="M102" s="21" t="n">
        <x:f>VLOOKUP(E102,'口径说明'!$A$6:$E$8,2,FALSE)-G102</x:f>
        <x:v>21</x:v>
      </x:c>
      <x:c r="N102" s="23" t="n">
        <x:f>VLOOKUP(E102,'口径说明'!$A$6:$E$8,3,FALSE)-H102</x:f>
        <x:v>0.094</x:v>
      </x:c>
      <x:c r="O102" s="25" t="n">
        <x:f>VLOOKUP(E102,'口径说明'!$A$6:$E$8,4,FALSE)*(1-B102/100)-J102</x:f>
        <x:v>1.9778626265548862</x:v>
      </x:c>
      <x:c r="P102" s="27" t="str">
        <x:f>IF(AND(M102&gt;=-0.0000001,N102&gt;=-0.0000001,O102&gt;=-0.0000001),"满足","不满足")</x:f>
        <x:v>满足</x:v>
      </x:c>
    </x:row>
    <x:row r="103" ht="44" customHeight="1">
      <x:c r="A103" s="2" t="str">
        <x:v>SC006</x:v>
      </x:c>
      <x:c r="B103" s="14" t="n">
        <x:v>22.5</x:v>
      </x:c>
      <x:c r="C103" s="2" t="str">
        <x:v>SC006-009</x:v>
      </x:c>
      <x:c r="D103" s="2" t="str">
        <x:v>S006</x:v>
      </x:c>
      <x:c r="E103" s="2" t="str">
        <x:v>C</x:v>
      </x:c>
      <x:c r="F103" s="13" t="str">
        <x:v>S006-MED-01; S006-WAT-01; S006-WAT-02; S006-WAT-03; S006-FOD-01; S006-HYG-01</x:v>
      </x:c>
      <x:c r="G103" s="20" t="n">
        <x:v>59</x:v>
      </x:c>
      <x:c r="H103" s="22" t="n">
        <x:v>0.156</x:v>
      </x:c>
      <x:c r="I103" s="20" t="n">
        <x:v>685.5526244866224</x:v>
      </x:c>
      <x:c r="J103" s="24" t="n">
        <x:v>2.5979362904386822</x:v>
      </x:c>
      <x:c r="K103" s="20" t="n">
        <x:v>1561.5526244866223</x:v>
      </x:c>
      <x:c r="L103" s="20" t="n">
        <x:f>(1-J103/VLOOKUP(E103,'口径说明'!$A$6:$E$8,4,FALSE))*100</x:f>
        <x:v>67.52579636951648</x:v>
      </x:c>
      <x:c r="M103" s="20" t="n">
        <x:f>VLOOKUP(E103,'口径说明'!$A$6:$E$8,2,FALSE)-G103</x:f>
        <x:v>21</x:v>
      </x:c>
      <x:c r="N103" s="22" t="n">
        <x:f>VLOOKUP(E103,'口径说明'!$A$6:$E$8,3,FALSE)-H103</x:f>
        <x:v>0.094</x:v>
      </x:c>
      <x:c r="O103" s="24" t="n">
        <x:f>VLOOKUP(E103,'口径说明'!$A$6:$E$8,4,FALSE)*(1-B103/100)-J103</x:f>
        <x:v>3.602063709561318</x:v>
      </x:c>
      <x:c r="P103" s="26" t="str">
        <x:f>IF(AND(M103&gt;=-0.0000001,N103&gt;=-0.0000001,O103&gt;=-0.0000001),"满足","不满足")</x:f>
        <x:v>满足</x:v>
      </x:c>
    </x:row>
    <x:row r="104" ht="44" customHeight="1">
      <x:c r="A104" s="15" t="str">
        <x:v>SC006</x:v>
      </x:c>
      <x:c r="B104" s="17" t="n">
        <x:v>22.5</x:v>
      </x:c>
      <x:c r="C104" s="15" t="str">
        <x:v>SC006-010</x:v>
      </x:c>
      <x:c r="D104" s="15" t="str">
        <x:v>S007</x:v>
      </x:c>
      <x:c r="E104" s="15" t="str">
        <x:v>C</x:v>
      </x:c>
      <x:c r="F104" s="16" t="str">
        <x:v>S007-MED-01; S007-WAT-01; S007-WAT-02; S007-FOD-01; S007-HYG-01</x:v>
      </x:c>
      <x:c r="G104" s="21" t="n">
        <x:v>45</x:v>
      </x:c>
      <x:c r="H104" s="23" t="n">
        <x:v>0.129</x:v>
      </x:c>
      <x:c r="I104" s="21" t="n">
        <x:v>1097.600698410691</x:v>
      </x:c>
      <x:c r="J104" s="25" t="n">
        <x:v>3.4110038084433194</x:v>
      </x:c>
      <x:c r="K104" s="21" t="n">
        <x:v>1907.600698410691</x:v>
      </x:c>
      <x:c r="L104" s="21" t="n">
        <x:f>(1-J104/VLOOKUP(E104,'口径说明'!$A$6:$E$8,4,FALSE))*100</x:f>
        <x:v>57.36245239445851</x:v>
      </x:c>
      <x:c r="M104" s="21" t="n">
        <x:f>VLOOKUP(E104,'口径说明'!$A$6:$E$8,2,FALSE)-G104</x:f>
        <x:v>35</x:v>
      </x:c>
      <x:c r="N104" s="23" t="n">
        <x:f>VLOOKUP(E104,'口径说明'!$A$6:$E$8,3,FALSE)-H104</x:f>
        <x:v>0.121</x:v>
      </x:c>
      <x:c r="O104" s="25" t="n">
        <x:f>VLOOKUP(E104,'口径说明'!$A$6:$E$8,4,FALSE)*(1-B104/100)-J104</x:f>
        <x:v>2.7889961915566808</x:v>
      </x:c>
      <x:c r="P104" s="27" t="str">
        <x:f>IF(AND(M104&gt;=-0.0000001,N104&gt;=-0.0000001,O104&gt;=-0.0000001),"满足","不满足")</x:f>
        <x:v>满足</x:v>
      </x:c>
    </x:row>
    <x:row r="105" ht="44" customHeight="1">
      <x:c r="A105" s="2" t="str">
        <x:v>SC006</x:v>
      </x:c>
      <x:c r="B105" s="14" t="n">
        <x:v>22.5</x:v>
      </x:c>
      <x:c r="C105" s="2" t="str">
        <x:v>SC006-011</x:v>
      </x:c>
      <x:c r="D105" s="2" t="str">
        <x:v>S008</x:v>
      </x:c>
      <x:c r="E105" s="2" t="str">
        <x:v>C</x:v>
      </x:c>
      <x:c r="F105" s="13" t="str">
        <x:v>S008-MED-01; S008-WAT-01; S008-WAT-02; S008-FOD-01; S008-HYG-01</x:v>
      </x:c>
      <x:c r="G105" s="20" t="n">
        <x:v>45</x:v>
      </x:c>
      <x:c r="H105" s="22" t="n">
        <x:v>0.129</x:v>
      </x:c>
      <x:c r="I105" s="20" t="n">
        <x:v>1389.7115246008332</x:v>
      </x:c>
      <x:c r="J105" s="24" t="n">
        <x:v>5.836020667966359</x:v>
      </x:c>
      <x:c r="K105" s="20" t="n">
        <x:v>2199.7115246008334</x:v>
      </x:c>
      <x:c r="L105" s="20" t="n">
        <x:f>(1-J105/VLOOKUP(E105,'口径说明'!$A$6:$E$8,4,FALSE))*100</x:f>
        <x:v>27.04974165042051</x:v>
      </x:c>
      <x:c r="M105" s="20" t="n">
        <x:f>VLOOKUP(E105,'口径说明'!$A$6:$E$8,2,FALSE)-G105</x:f>
        <x:v>35</x:v>
      </x:c>
      <x:c r="N105" s="22" t="n">
        <x:f>VLOOKUP(E105,'口径说明'!$A$6:$E$8,3,FALSE)-H105</x:f>
        <x:v>0.121</x:v>
      </x:c>
      <x:c r="O105" s="24" t="n">
        <x:f>VLOOKUP(E105,'口径说明'!$A$6:$E$8,4,FALSE)*(1-B105/100)-J105</x:f>
        <x:v>0.3639793320336411</x:v>
      </x:c>
      <x:c r="P105" s="26" t="str">
        <x:f>IF(AND(M105&gt;=-0.0000001,N105&gt;=-0.0000001,O105&gt;=-0.0000001),"满足","不满足")</x:f>
        <x:v>满足</x:v>
      </x:c>
    </x:row>
    <x:row r="106" ht="30" customHeight="1">
      <x:c r="A106" s="15" t="str">
        <x:v>SC006</x:v>
      </x:c>
      <x:c r="B106" s="17" t="n">
        <x:v>22.5</x:v>
      </x:c>
      <x:c r="C106" s="15" t="str">
        <x:v>SC006-012</x:v>
      </x:c>
      <x:c r="D106" s="15" t="str">
        <x:v>S009</x:v>
      </x:c>
      <x:c r="E106" s="15" t="str">
        <x:v>B</x:v>
      </x:c>
      <x:c r="F106" s="16" t="str">
        <x:v>S009-MED-01; S009-WAT-01; S009-FOD-01</x:v>
      </x:c>
      <x:c r="G106" s="21" t="n">
        <x:v>25</x:v>
      </x:c>
      <x:c r="H106" s="23" t="n">
        <x:v>0.067</x:v>
      </x:c>
      <x:c r="I106" s="21" t="n">
        <x:v>928.4628643343575</x:v>
      </x:c>
      <x:c r="J106" s="25" t="n">
        <x:v>2.0962654017373348</x:v>
      </x:c>
      <x:c r="K106" s="21" t="n">
        <x:v>1558.4628643343576</x:v>
      </x:c>
      <x:c r="L106" s="21" t="n">
        <x:f>(1-J106/VLOOKUP(E106,'口径说明'!$A$6:$E$8,4,FALSE))*100</x:f>
        <x:v>47.59336495656663</x:v>
      </x:c>
      <x:c r="M106" s="21" t="n">
        <x:f>VLOOKUP(E106,'口径说明'!$A$6:$E$8,2,FALSE)-G106</x:f>
        <x:v>5</x:v>
      </x:c>
      <x:c r="N106" s="23" t="n">
        <x:f>VLOOKUP(E106,'口径说明'!$A$6:$E$8,3,FALSE)-H106</x:f>
        <x:v>0.0059999999999999915</x:v>
      </x:c>
      <x:c r="O106" s="25" t="n">
        <x:f>VLOOKUP(E106,'口径说明'!$A$6:$E$8,4,FALSE)*(1-B106/100)-J106</x:f>
        <x:v>1.0037345982626653</x:v>
      </x:c>
      <x:c r="P106" s="27" t="str">
        <x:f>IF(AND(M106&gt;=-0.0000001,N106&gt;=-0.0000001,O106&gt;=-0.0000001),"满足","不满足")</x:f>
        <x:v>满足</x:v>
      </x:c>
    </x:row>
    <x:row r="107" ht="30" customHeight="1">
      <x:c r="A107" s="2" t="str">
        <x:v>SC006</x:v>
      </x:c>
      <x:c r="B107" s="14" t="n">
        <x:v>22.5</x:v>
      </x:c>
      <x:c r="C107" s="2" t="str">
        <x:v>SC006-013</x:v>
      </x:c>
      <x:c r="D107" s="2" t="str">
        <x:v>S010</x:v>
      </x:c>
      <x:c r="E107" s="2" t="str">
        <x:v>B</x:v>
      </x:c>
      <x:c r="F107" s="13" t="str">
        <x:v>S010-MED-01; S010-WAT-01; S010-FOD-01</x:v>
      </x:c>
      <x:c r="G107" s="20" t="n">
        <x:v>25</x:v>
      </x:c>
      <x:c r="H107" s="22" t="n">
        <x:v>0.067</x:v>
      </x:c>
      <x:c r="I107" s="20" t="n">
        <x:v>925.4035197802174</x:v>
      </x:c>
      <x:c r="J107" s="24" t="n">
        <x:v>1.8232165642314142</x:v>
      </x:c>
      <x:c r="K107" s="20" t="n">
        <x:v>1555.4035197802173</x:v>
      </x:c>
      <x:c r="L107" s="20" t="n">
        <x:f>(1-J107/VLOOKUP(E107,'口径说明'!$A$6:$E$8,4,FALSE))*100</x:f>
        <x:v>54.41958589421465</x:v>
      </x:c>
      <x:c r="M107" s="20" t="n">
        <x:f>VLOOKUP(E107,'口径说明'!$A$6:$E$8,2,FALSE)-G107</x:f>
        <x:v>5</x:v>
      </x:c>
      <x:c r="N107" s="22" t="n">
        <x:f>VLOOKUP(E107,'口径说明'!$A$6:$E$8,3,FALSE)-H107</x:f>
        <x:v>0.0059999999999999915</x:v>
      </x:c>
      <x:c r="O107" s="24" t="n">
        <x:f>VLOOKUP(E107,'口径说明'!$A$6:$E$8,4,FALSE)*(1-B107/100)-J107</x:f>
        <x:v>1.2767834357685859</x:v>
      </x:c>
      <x:c r="P107" s="26" t="str">
        <x:f>IF(AND(M107&gt;=-0.0000001,N107&gt;=-0.0000001,O107&gt;=-0.0000001),"满足","不满足")</x:f>
        <x:v>满足</x:v>
      </x:c>
    </x:row>
    <x:row r="108" ht="30" customHeight="1">
      <x:c r="A108" s="15" t="str">
        <x:v>SC006</x:v>
      </x:c>
      <x:c r="B108" s="17" t="n">
        <x:v>22.5</x:v>
      </x:c>
      <x:c r="C108" s="15" t="str">
        <x:v>SC006-014</x:v>
      </x:c>
      <x:c r="D108" s="15" t="str">
        <x:v>S011</x:v>
      </x:c>
      <x:c r="E108" s="15" t="str">
        <x:v>B</x:v>
      </x:c>
      <x:c r="F108" s="16" t="str">
        <x:v>S011-MED-01; S011-WAT-01; S011-FOD-01</x:v>
      </x:c>
      <x:c r="G108" s="21" t="n">
        <x:v>25</x:v>
      </x:c>
      <x:c r="H108" s="23" t="n">
        <x:v>0.067</x:v>
      </x:c>
      <x:c r="I108" s="21" t="n">
        <x:v>558.4247628605204</x:v>
      </x:c>
      <x:c r="J108" s="25" t="n">
        <x:v>1.0739366863951034</x:v>
      </x:c>
      <x:c r="K108" s="21" t="n">
        <x:v>1188.4247628605203</x:v>
      </x:c>
      <x:c r="L108" s="21" t="n">
        <x:f>(1-J108/VLOOKUP(E108,'口径说明'!$A$6:$E$8,4,FALSE))*100</x:f>
        <x:v>73.15158284012242</x:v>
      </x:c>
      <x:c r="M108" s="21" t="n">
        <x:f>VLOOKUP(E108,'口径说明'!$A$6:$E$8,2,FALSE)-G108</x:f>
        <x:v>5</x:v>
      </x:c>
      <x:c r="N108" s="23" t="n">
        <x:f>VLOOKUP(E108,'口径说明'!$A$6:$E$8,3,FALSE)-H108</x:f>
        <x:v>0.0059999999999999915</x:v>
      </x:c>
      <x:c r="O108" s="25" t="n">
        <x:f>VLOOKUP(E108,'口径说明'!$A$6:$E$8,4,FALSE)*(1-B108/100)-J108</x:f>
        <x:v>2.0260633136048964</x:v>
      </x:c>
      <x:c r="P108" s="27" t="str">
        <x:f>IF(AND(M108&gt;=-0.0000001,N108&gt;=-0.0000001,O108&gt;=-0.0000001),"满足","不满足")</x:f>
        <x:v>满足</x:v>
      </x:c>
    </x:row>
    <x:row r="109" ht="30" customHeight="1">
      <x:c r="A109" s="2" t="str">
        <x:v>SC006</x:v>
      </x:c>
      <x:c r="B109" s="14" t="n">
        <x:v>22.5</x:v>
      </x:c>
      <x:c r="C109" s="2" t="str">
        <x:v>SC006-015</x:v>
      </x:c>
      <x:c r="D109" s="2" t="str">
        <x:v>S012</x:v>
      </x:c>
      <x:c r="E109" s="2" t="str">
        <x:v>B</x:v>
      </x:c>
      <x:c r="F109" s="13" t="str">
        <x:v>S012-MED-01; S012-WAT-01; S012-FOD-01</x:v>
      </x:c>
      <x:c r="G109" s="20" t="n">
        <x:v>25</x:v>
      </x:c>
      <x:c r="H109" s="22" t="n">
        <x:v>0.067</x:v>
      </x:c>
      <x:c r="I109" s="20" t="n">
        <x:v>1292.826814149187</x:v>
      </x:c>
      <x:c r="J109" s="24" t="n">
        <x:v>2.7525999542899324</x:v>
      </x:c>
      <x:c r="K109" s="20" t="n">
        <x:v>1922.826814149187</x:v>
      </x:c>
      <x:c r="L109" s="20" t="n">
        <x:f>(1-J109/VLOOKUP(E109,'口径说明'!$A$6:$E$8,4,FALSE))*100</x:f>
        <x:v>31.185001142751688</x:v>
      </x:c>
      <x:c r="M109" s="20" t="n">
        <x:f>VLOOKUP(E109,'口径说明'!$A$6:$E$8,2,FALSE)-G109</x:f>
        <x:v>5</x:v>
      </x:c>
      <x:c r="N109" s="22" t="n">
        <x:f>VLOOKUP(E109,'口径说明'!$A$6:$E$8,3,FALSE)-H109</x:f>
        <x:v>0.0059999999999999915</x:v>
      </x:c>
      <x:c r="O109" s="24" t="n">
        <x:f>VLOOKUP(E109,'口径说明'!$A$6:$E$8,4,FALSE)*(1-B109/100)-J109</x:f>
        <x:v>0.34740004571006766</x:v>
      </x:c>
      <x:c r="P109" s="26" t="str">
        <x:f>IF(AND(M109&gt;=-0.0000001,N109&gt;=-0.0000001,O109&gt;=-0.0000001),"满足","不满足")</x:f>
        <x:v>满足</x:v>
      </x:c>
    </x:row>
    <x:row r="110" ht="30" customHeight="1">
      <x:c r="A110" s="15" t="str">
        <x:v>SC006</x:v>
      </x:c>
      <x:c r="B110" s="17" t="n">
        <x:v>22.5</x:v>
      </x:c>
      <x:c r="C110" s="15" t="str">
        <x:v>SC006-016</x:v>
      </x:c>
      <x:c r="D110" s="15" t="str">
        <x:v>S013</x:v>
      </x:c>
      <x:c r="E110" s="15" t="str">
        <x:v>B</x:v>
      </x:c>
      <x:c r="F110" s="16" t="str">
        <x:v>S013-MED-01; S013-WAT-01; S013-FOD-01</x:v>
      </x:c>
      <x:c r="G110" s="21" t="n">
        <x:v>25</x:v>
      </x:c>
      <x:c r="H110" s="23" t="n">
        <x:v>0.067</x:v>
      </x:c>
      <x:c r="I110" s="21" t="n">
        <x:v>880.511588744525</x:v>
      </x:c>
      <x:c r="J110" s="25" t="n">
        <x:v>1.8248281910807471</x:v>
      </x:c>
      <x:c r="K110" s="21" t="n">
        <x:v>1510.511588744525</x:v>
      </x:c>
      <x:c r="L110" s="21" t="n">
        <x:f>(1-J110/VLOOKUP(E110,'口径说明'!$A$6:$E$8,4,FALSE))*100</x:f>
        <x:v>54.37929522298133</x:v>
      </x:c>
      <x:c r="M110" s="21" t="n">
        <x:f>VLOOKUP(E110,'口径说明'!$A$6:$E$8,2,FALSE)-G110</x:f>
        <x:v>5</x:v>
      </x:c>
      <x:c r="N110" s="23" t="n">
        <x:f>VLOOKUP(E110,'口径说明'!$A$6:$E$8,3,FALSE)-H110</x:f>
        <x:v>0.0059999999999999915</x:v>
      </x:c>
      <x:c r="O110" s="25" t="n">
        <x:f>VLOOKUP(E110,'口径说明'!$A$6:$E$8,4,FALSE)*(1-B110/100)-J110</x:f>
        <x:v>1.275171808919253</x:v>
      </x:c>
      <x:c r="P110" s="27" t="str">
        <x:f>IF(AND(M110&gt;=-0.0000001,N110&gt;=-0.0000001,O110&gt;=-0.0000001),"满足","不满足")</x:f>
        <x:v>满足</x:v>
      </x:c>
    </x:row>
    <x:row r="111" ht="30" customHeight="1">
      <x:c r="A111" s="2" t="str">
        <x:v>SC006</x:v>
      </x:c>
      <x:c r="B111" s="14" t="n">
        <x:v>22.5</x:v>
      </x:c>
      <x:c r="C111" s="2" t="str">
        <x:v>SC006-017</x:v>
      </x:c>
      <x:c r="D111" s="2" t="str">
        <x:v>S014</x:v>
      </x:c>
      <x:c r="E111" s="2" t="str">
        <x:v>B</x:v>
      </x:c>
      <x:c r="F111" s="13" t="str">
        <x:v>S014-MED-01; S014-WAT-01; S014-FOD-01</x:v>
      </x:c>
      <x:c r="G111" s="20" t="n">
        <x:v>25</x:v>
      </x:c>
      <x:c r="H111" s="22" t="n">
        <x:v>0.067</x:v>
      </x:c>
      <x:c r="I111" s="20" t="n">
        <x:v>1239.7476752786913</x:v>
      </x:c>
      <x:c r="J111" s="24" t="n">
        <x:v>2.1402909781417883</x:v>
      </x:c>
      <x:c r="K111" s="20" t="n">
        <x:v>1869.7476752786913</x:v>
      </x:c>
      <x:c r="L111" s="20" t="n">
        <x:f>(1-J111/VLOOKUP(E111,'口径说明'!$A$6:$E$8,4,FALSE))*100</x:f>
        <x:v>46.49272554645529</x:v>
      </x:c>
      <x:c r="M111" s="20" t="n">
        <x:f>VLOOKUP(E111,'口径说明'!$A$6:$E$8,2,FALSE)-G111</x:f>
        <x:v>5</x:v>
      </x:c>
      <x:c r="N111" s="22" t="n">
        <x:f>VLOOKUP(E111,'口径说明'!$A$6:$E$8,3,FALSE)-H111</x:f>
        <x:v>0.0059999999999999915</x:v>
      </x:c>
      <x:c r="O111" s="24" t="n">
        <x:f>VLOOKUP(E111,'口径说明'!$A$6:$E$8,4,FALSE)*(1-B111/100)-J111</x:f>
        <x:v>0.9597090218582118</x:v>
      </x:c>
      <x:c r="P111" s="26" t="str">
        <x:f>IF(AND(M111&gt;=-0.0000001,N111&gt;=-0.0000001,O111&gt;=-0.0000001),"满足","不满足")</x:f>
        <x:v>满足</x:v>
      </x:c>
    </x:row>
    <x:row r="112" ht="30" customHeight="1">
      <x:c r="A112" s="15" t="str">
        <x:v>SC006</x:v>
      </x:c>
      <x:c r="B112" s="17" t="n">
        <x:v>22.5</x:v>
      </x:c>
      <x:c r="C112" s="15" t="str">
        <x:v>SC006-018</x:v>
      </x:c>
      <x:c r="D112" s="15" t="str">
        <x:v>S015</x:v>
      </x:c>
      <x:c r="E112" s="15" t="str">
        <x:v>B</x:v>
      </x:c>
      <x:c r="F112" s="16" t="str">
        <x:v>S015-MED-01; S015-WAT-01; S015-FOD-01</x:v>
      </x:c>
      <x:c r="G112" s="21" t="n">
        <x:v>25</x:v>
      </x:c>
      <x:c r="H112" s="23" t="n">
        <x:v>0.067</x:v>
      </x:c>
      <x:c r="I112" s="21" t="n">
        <x:v>1198.3275601736595</x:v>
      </x:c>
      <x:c r="J112" s="25" t="n">
        <x:v>2.307528505752516</x:v>
      </x:c>
      <x:c r="K112" s="21" t="n">
        <x:v>1828.3275601736595</x:v>
      </x:c>
      <x:c r="L112" s="21" t="n">
        <x:f>(1-J112/VLOOKUP(E112,'口径说明'!$A$6:$E$8,4,FALSE))*100</x:f>
        <x:v>42.311787356187104</x:v>
      </x:c>
      <x:c r="M112" s="21" t="n">
        <x:f>VLOOKUP(E112,'口径说明'!$A$6:$E$8,2,FALSE)-G112</x:f>
        <x:v>5</x:v>
      </x:c>
      <x:c r="N112" s="23" t="n">
        <x:f>VLOOKUP(E112,'口径说明'!$A$6:$E$8,3,FALSE)-H112</x:f>
        <x:v>0.0059999999999999915</x:v>
      </x:c>
      <x:c r="O112" s="25" t="n">
        <x:f>VLOOKUP(E112,'口径说明'!$A$6:$E$8,4,FALSE)*(1-B112/100)-J112</x:f>
        <x:v>0.7924714942474842</x:v>
      </x:c>
      <x:c r="P112" s="27" t="str">
        <x:f>IF(AND(M112&gt;=-0.0000001,N112&gt;=-0.0000001,O112&gt;=-0.0000001),"满足","不满足")</x:f>
        <x:v>满足</x:v>
      </x:c>
    </x:row>
    <x:row r="113" ht="61" customHeight="1">
      <x:c r="A113" s="2" t="str">
        <x:v>SC007</x:v>
      </x:c>
      <x:c r="B113" s="14" t="n">
        <x:v>23</x:v>
      </x:c>
      <x:c r="C113" s="2" t="str">
        <x:v>SC007-001</x:v>
      </x:c>
      <x:c r="D113" s="2" t="str">
        <x:v>S001</x:v>
      </x:c>
      <x:c r="E113" s="2" t="str">
        <x:v>C</x:v>
      </x:c>
      <x:c r="F113" s="13" t="str">
        <x:v>S001-WAT-01; S001-WAT-02; S001-WAT-03; S001-FOD-01; S001-FOD-02; S001-FOD-03; S001-HYG-01; S001-HYG-02</x:v>
      </x:c>
      <x:c r="G113" s="20" t="n">
        <x:v>78</x:v>
      </x:c>
      <x:c r="H113" s="22" t="n">
        <x:v>0.235</x:v>
      </x:c>
      <x:c r="I113" s="20" t="n">
        <x:v>618.1750458620229</x:v>
      </x:c>
      <x:c r="J113" s="24" t="n">
        <x:v>2.9957758049046697</x:v>
      </x:c>
      <x:c r="K113" s="20" t="n">
        <x:v>1626.175045862023</x:v>
      </x:c>
      <x:c r="L113" s="20" t="n">
        <x:f>(1-J113/VLOOKUP(E113,'口径说明'!$A$6:$E$8,4,FALSE))*100</x:f>
        <x:v>62.552802438691636</x:v>
      </x:c>
      <x:c r="M113" s="20" t="n">
        <x:f>VLOOKUP(E113,'口径说明'!$A$6:$E$8,2,FALSE)-G113</x:f>
        <x:v>2</x:v>
      </x:c>
      <x:c r="N113" s="22" t="n">
        <x:f>VLOOKUP(E113,'口径说明'!$A$6:$E$8,3,FALSE)-H113</x:f>
        <x:v>0.015000000000000013</x:v>
      </x:c>
      <x:c r="O113" s="24" t="n">
        <x:f>VLOOKUP(E113,'口径说明'!$A$6:$E$8,4,FALSE)*(1-B113/100)-J113</x:f>
        <x:v>3.1642241950953305</x:v>
      </x:c>
      <x:c r="P113" s="26" t="str">
        <x:f>IF(AND(M113&gt;=-0.0000001,N113&gt;=-0.0000001,O113&gt;=-0.0000001),"满足","不满足")</x:f>
        <x:v>满足</x:v>
      </x:c>
    </x:row>
    <x:row r="114" ht="44" customHeight="1">
      <x:c r="A114" s="15" t="str">
        <x:v>SC007</x:v>
      </x:c>
      <x:c r="B114" s="17" t="n">
        <x:v>23</x:v>
      </x:c>
      <x:c r="C114" s="15" t="str">
        <x:v>SC007-002</x:v>
      </x:c>
      <x:c r="D114" s="15" t="str">
        <x:v>S001</x:v>
      </x:c>
      <x:c r="E114" s="15" t="str">
        <x:v>C</x:v>
      </x:c>
      <x:c r="F114" s="16" t="str">
        <x:v>S001-MED-01; S001-MED-02; S001-WAT-04; S001-WAT-05; S001-WAT-06; S001-WAT-07; S001-WAT-08</x:v>
      </x:c>
      <x:c r="G114" s="21" t="n">
        <x:v>76</x:v>
      </x:c>
      <x:c r="H114" s="23" t="n">
        <x:v>0.159</x:v>
      </x:c>
      <x:c r="I114" s="21" t="n">
        <x:v>618.1750458620229</x:v>
      </x:c>
      <x:c r="J114" s="25" t="n">
        <x:v>2.917588095586827</x:v>
      </x:c>
      <x:c r="K114" s="21" t="n">
        <x:v>1560.175045862023</x:v>
      </x:c>
      <x:c r="L114" s="21" t="n">
        <x:f>(1-J114/VLOOKUP(E114,'口径说明'!$A$6:$E$8,4,FALSE))*100</x:f>
        <x:v>63.53014880516466</x:v>
      </x:c>
      <x:c r="M114" s="21" t="n">
        <x:f>VLOOKUP(E114,'口径说明'!$A$6:$E$8,2,FALSE)-G114</x:f>
        <x:v>4</x:v>
      </x:c>
      <x:c r="N114" s="23" t="n">
        <x:f>VLOOKUP(E114,'口径说明'!$A$6:$E$8,3,FALSE)-H114</x:f>
        <x:v>0.091</x:v>
      </x:c>
      <x:c r="O114" s="25" t="n">
        <x:f>VLOOKUP(E114,'口径说明'!$A$6:$E$8,4,FALSE)*(1-B114/100)-J114</x:f>
        <x:v>3.242411904413173</x:v>
      </x:c>
      <x:c r="P114" s="27" t="str">
        <x:f>IF(AND(M114&gt;=-0.0000001,N114&gt;=-0.0000001,O114&gt;=-0.0000001),"满足","不满足")</x:f>
        <x:v>满足</x:v>
      </x:c>
    </x:row>
    <x:row r="115" ht="30" customHeight="1">
      <x:c r="A115" s="2" t="str">
        <x:v>SC007</x:v>
      </x:c>
      <x:c r="B115" s="14" t="n">
        <x:v>23</x:v>
      </x:c>
      <x:c r="C115" s="2" t="str">
        <x:v>SC007-003</x:v>
      </x:c>
      <x:c r="D115" s="2" t="str">
        <x:v>S002</x:v>
      </x:c>
      <x:c r="E115" s="2" t="str">
        <x:v>B</x:v>
      </x:c>
      <x:c r="F115" s="13" t="str">
        <x:v>S002-MED-01; S002-WAT-01; S002-FOD-01</x:v>
      </x:c>
      <x:c r="G115" s="20" t="n">
        <x:v>25</x:v>
      </x:c>
      <x:c r="H115" s="22" t="n">
        <x:v>0.067</x:v>
      </x:c>
      <x:c r="I115" s="20" t="n">
        <x:v>1186.7240813077576</x:v>
      </x:c>
      <x:c r="J115" s="24" t="n">
        <x:v>2.7134729412419873</x:v>
      </x:c>
      <x:c r="K115" s="20" t="n">
        <x:v>1816.7240813077576</x:v>
      </x:c>
      <x:c r="L115" s="20" t="n">
        <x:f>(1-J115/VLOOKUP(E115,'口径说明'!$A$6:$E$8,4,FALSE))*100</x:f>
        <x:v>32.16317646895032</x:v>
      </x:c>
      <x:c r="M115" s="20" t="n">
        <x:f>VLOOKUP(E115,'口径说明'!$A$6:$E$8,2,FALSE)-G115</x:f>
        <x:v>5</x:v>
      </x:c>
      <x:c r="N115" s="22" t="n">
        <x:f>VLOOKUP(E115,'口径说明'!$A$6:$E$8,3,FALSE)-H115</x:f>
        <x:v>0.0059999999999999915</x:v>
      </x:c>
      <x:c r="O115" s="24" t="n">
        <x:f>VLOOKUP(E115,'口径说明'!$A$6:$E$8,4,FALSE)*(1-B115/100)-J115</x:f>
        <x:v>0.3665270587580127</x:v>
      </x:c>
      <x:c r="P115" s="26" t="str">
        <x:f>IF(AND(M115&gt;=-0.0000001,N115&gt;=-0.0000001,O115&gt;=-0.0000001),"满足","不满足")</x:f>
        <x:v>满足</x:v>
      </x:c>
    </x:row>
    <x:row r="116" ht="44" customHeight="1">
      <x:c r="A116" s="15" t="str">
        <x:v>SC007</x:v>
      </x:c>
      <x:c r="B116" s="17" t="n">
        <x:v>23</x:v>
      </x:c>
      <x:c r="C116" s="15" t="str">
        <x:v>SC007-004</x:v>
      </x:c>
      <x:c r="D116" s="15" t="str">
        <x:v>S002</x:v>
      </x:c>
      <x:c r="E116" s="15" t="str">
        <x:v>C</x:v>
      </x:c>
      <x:c r="F116" s="16" t="str">
        <x:v>S002-WAT-02; S002-WAT-03; S002-WAT-04; S002-FOD-02; S002-HYG-01</x:v>
      </x:c>
      <x:c r="G116" s="21" t="n">
        <x:v>56</x:v>
      </x:c>
      <x:c r="H116" s="23" t="n">
        <x:v>0.144</x:v>
      </x:c>
      <x:c r="I116" s="21" t="n">
        <x:v>1231.8421660245544</x:v>
      </x:c>
      <x:c r="J116" s="25" t="n">
        <x:v>5.721356203945945</x:v>
      </x:c>
      <x:c r="K116" s="21" t="n">
        <x:v>2041.8421660245544</x:v>
      </x:c>
      <x:c r="L116" s="21" t="n">
        <x:f>(1-J116/VLOOKUP(E116,'口径说明'!$A$6:$E$8,4,FALSE))*100</x:f>
        <x:v>28.48304745067569</x:v>
      </x:c>
      <x:c r="M116" s="21" t="n">
        <x:f>VLOOKUP(E116,'口径说明'!$A$6:$E$8,2,FALSE)-G116</x:f>
        <x:v>24</x:v>
      </x:c>
      <x:c r="N116" s="23" t="n">
        <x:f>VLOOKUP(E116,'口径说明'!$A$6:$E$8,3,FALSE)-H116</x:f>
        <x:v>0.10600000000000001</x:v>
      </x:c>
      <x:c r="O116" s="25" t="n">
        <x:f>VLOOKUP(E116,'口径说明'!$A$6:$E$8,4,FALSE)*(1-B116/100)-J116</x:f>
        <x:v>0.43864379605405546</x:v>
      </x:c>
      <x:c r="P116" s="27" t="str">
        <x:f>IF(AND(M116&gt;=-0.0000001,N116&gt;=-0.0000001,O116&gt;=-0.0000001),"满足","不满足")</x:f>
        <x:v>满足</x:v>
      </x:c>
    </x:row>
    <x:row r="117" ht="30" customHeight="1">
      <x:c r="A117" s="2" t="str">
        <x:v>SC007</x:v>
      </x:c>
      <x:c r="B117" s="14" t="n">
        <x:v>23</x:v>
      </x:c>
      <x:c r="C117" s="2" t="str">
        <x:v>SC007-005</x:v>
      </x:c>
      <x:c r="D117" s="2" t="str">
        <x:v>S003</x:v>
      </x:c>
      <x:c r="E117" s="2" t="str">
        <x:v>B</x:v>
      </x:c>
      <x:c r="F117" s="13" t="str">
        <x:v>S003-MED-01; S003-WAT-01; S003-FOD-01</x:v>
      </x:c>
      <x:c r="G117" s="20" t="n">
        <x:v>25</x:v>
      </x:c>
      <x:c r="H117" s="22" t="n">
        <x:v>0.067</x:v>
      </x:c>
      <x:c r="I117" s="20" t="n">
        <x:v>1450.6096650380623</x:v>
      </x:c>
      <x:c r="J117" s="24" t="n">
        <x:v>2.7800780342326075</x:v>
      </x:c>
      <x:c r="K117" s="20" t="n">
        <x:v>2080.6096650380623</x:v>
      </x:c>
      <x:c r="L117" s="20" t="n">
        <x:f>(1-J117/VLOOKUP(E117,'口径说明'!$A$6:$E$8,4,FALSE))*100</x:f>
        <x:v>30.49804914418481</x:v>
      </x:c>
      <x:c r="M117" s="20" t="n">
        <x:f>VLOOKUP(E117,'口径说明'!$A$6:$E$8,2,FALSE)-G117</x:f>
        <x:v>5</x:v>
      </x:c>
      <x:c r="N117" s="22" t="n">
        <x:f>VLOOKUP(E117,'口径说明'!$A$6:$E$8,3,FALSE)-H117</x:f>
        <x:v>0.0059999999999999915</x:v>
      </x:c>
      <x:c r="O117" s="24" t="n">
        <x:f>VLOOKUP(E117,'口径说明'!$A$6:$E$8,4,FALSE)*(1-B117/100)-J117</x:f>
        <x:v>0.2999219657673926</x:v>
      </x:c>
      <x:c r="P117" s="26" t="str">
        <x:f>IF(AND(M117&gt;=-0.0000001,N117&gt;=-0.0000001,O117&gt;=-0.0000001),"满足","不满足")</x:f>
        <x:v>满足</x:v>
      </x:c>
    </x:row>
    <x:row r="118" ht="44" customHeight="1">
      <x:c r="A118" s="15" t="str">
        <x:v>SC007</x:v>
      </x:c>
      <x:c r="B118" s="17" t="n">
        <x:v>23</x:v>
      </x:c>
      <x:c r="C118" s="15" t="str">
        <x:v>SC007-006</x:v>
      </x:c>
      <x:c r="D118" s="15" t="str">
        <x:v>S003</x:v>
      </x:c>
      <x:c r="E118" s="15" t="str">
        <x:v>C</x:v>
      </x:c>
      <x:c r="F118" s="16" t="str">
        <x:v>S003-WAT-02; S003-WAT-03; S003-WAT-04; S003-FOD-02; S003-HYG-01</x:v>
      </x:c>
      <x:c r="G118" s="21" t="n">
        <x:v>56</x:v>
      </x:c>
      <x:c r="H118" s="23" t="n">
        <x:v>0.144</x:v>
      </x:c>
      <x:c r="I118" s="21" t="n">
        <x:v>1560.1777110992603</x:v>
      </x:c>
      <x:c r="J118" s="25" t="n">
        <x:v>5.7653646949838375</x:v>
      </x:c>
      <x:c r="K118" s="21" t="n">
        <x:v>2370.1777110992603</x:v>
      </x:c>
      <x:c r="L118" s="21" t="n">
        <x:f>(1-J118/VLOOKUP(E118,'口径说明'!$A$6:$E$8,4,FALSE))*100</x:f>
        <x:v>27.93294131270203</x:v>
      </x:c>
      <x:c r="M118" s="21" t="n">
        <x:f>VLOOKUP(E118,'口径说明'!$A$6:$E$8,2,FALSE)-G118</x:f>
        <x:v>24</x:v>
      </x:c>
      <x:c r="N118" s="23" t="n">
        <x:f>VLOOKUP(E118,'口径说明'!$A$6:$E$8,3,FALSE)-H118</x:f>
        <x:v>0.10600000000000001</x:v>
      </x:c>
      <x:c r="O118" s="25" t="n">
        <x:f>VLOOKUP(E118,'口径说明'!$A$6:$E$8,4,FALSE)*(1-B118/100)-J118</x:f>
        <x:v>0.3946353050161626</x:v>
      </x:c>
      <x:c r="P118" s="27" t="str">
        <x:f>IF(AND(M118&gt;=-0.0000001,N118&gt;=-0.0000001,O118&gt;=-0.0000001),"满足","不满足")</x:f>
        <x:v>满足</x:v>
      </x:c>
    </x:row>
    <x:row r="119" ht="44" customHeight="1">
      <x:c r="A119" s="2" t="str">
        <x:v>SC007</x:v>
      </x:c>
      <x:c r="B119" s="14" t="n">
        <x:v>23</x:v>
      </x:c>
      <x:c r="C119" s="2" t="str">
        <x:v>SC007-007</x:v>
      </x:c>
      <x:c r="D119" s="2" t="str">
        <x:v>S004</x:v>
      </x:c>
      <x:c r="E119" s="2" t="str">
        <x:v>C</x:v>
      </x:c>
      <x:c r="F119" s="13" t="str">
        <x:v>S004-MED-01; S004-WAT-01; S004-WAT-02; S004-WAT-03; S004-FOD-01; S004-HYG-01</x:v>
      </x:c>
      <x:c r="G119" s="20" t="n">
        <x:v>59</x:v>
      </x:c>
      <x:c r="H119" s="22" t="n">
        <x:v>0.156</x:v>
      </x:c>
      <x:c r="I119" s="20" t="n">
        <x:v>1425.0547187724458</x:v>
      </x:c>
      <x:c r="J119" s="24" t="n">
        <x:v>6.152860129174582</x:v>
      </x:c>
      <x:c r="K119" s="20" t="n">
        <x:v>2301.054718772446</x:v>
      </x:c>
      <x:c r="L119" s="20" t="n">
        <x:f>(1-J119/VLOOKUP(E119,'口径说明'!$A$6:$E$8,4,FALSE))*100</x:f>
        <x:v>23.089248385317727</x:v>
      </x:c>
      <x:c r="M119" s="20" t="n">
        <x:f>VLOOKUP(E119,'口径说明'!$A$6:$E$8,2,FALSE)-G119</x:f>
        <x:v>21</x:v>
      </x:c>
      <x:c r="N119" s="22" t="n">
        <x:f>VLOOKUP(E119,'口径说明'!$A$6:$E$8,3,FALSE)-H119</x:f>
        <x:v>0.094</x:v>
      </x:c>
      <x:c r="O119" s="24" t="n">
        <x:f>VLOOKUP(E119,'口径说明'!$A$6:$E$8,4,FALSE)*(1-B119/100)-J119</x:f>
        <x:v>0.007139870825418448</x:v>
      </x:c>
      <x:c r="P119" s="26" t="str">
        <x:f>IF(AND(M119&gt;=-0.0000001,N119&gt;=-0.0000001,O119&gt;=-0.0000001),"满足","不满足")</x:f>
        <x:v>满足</x:v>
      </x:c>
    </x:row>
    <x:row r="120" ht="44" customHeight="1">
      <x:c r="A120" s="15" t="str">
        <x:v>SC007</x:v>
      </x:c>
      <x:c r="B120" s="17" t="n">
        <x:v>23</x:v>
      </x:c>
      <x:c r="C120" s="15" t="str">
        <x:v>SC007-008</x:v>
      </x:c>
      <x:c r="D120" s="15" t="str">
        <x:v>S005</x:v>
      </x:c>
      <x:c r="E120" s="15" t="str">
        <x:v>C</x:v>
      </x:c>
      <x:c r="F120" s="16" t="str">
        <x:v>S005-MED-01; S005-WAT-01; S005-WAT-02; S005-WAT-03; S005-FOD-01; S005-HYG-01</x:v>
      </x:c>
      <x:c r="G120" s="21" t="n">
        <x:v>59</x:v>
      </x:c>
      <x:c r="H120" s="23" t="n">
        <x:v>0.156</x:v>
      </x:c>
      <x:c r="I120" s="21" t="n">
        <x:v>1001.1887154914712</x:v>
      </x:c>
      <x:c r="J120" s="25" t="n">
        <x:v>4.222137373445114</x:v>
      </x:c>
      <x:c r="K120" s="21" t="n">
        <x:v>1877.1887154914712</x:v>
      </x:c>
      <x:c r="L120" s="21" t="n">
        <x:f>(1-J120/VLOOKUP(E120,'口径说明'!$A$6:$E$8,4,FALSE))*100</x:f>
        <x:v>47.223282831936075</x:v>
      </x:c>
      <x:c r="M120" s="21" t="n">
        <x:f>VLOOKUP(E120,'口径说明'!$A$6:$E$8,2,FALSE)-G120</x:f>
        <x:v>21</x:v>
      </x:c>
      <x:c r="N120" s="23" t="n">
        <x:f>VLOOKUP(E120,'口径说明'!$A$6:$E$8,3,FALSE)-H120</x:f>
        <x:v>0.094</x:v>
      </x:c>
      <x:c r="O120" s="25" t="n">
        <x:f>VLOOKUP(E120,'口径说明'!$A$6:$E$8,4,FALSE)*(1-B120/100)-J120</x:f>
        <x:v>1.9378626265548862</x:v>
      </x:c>
      <x:c r="P120" s="27" t="str">
        <x:f>IF(AND(M120&gt;=-0.0000001,N120&gt;=-0.0000001,O120&gt;=-0.0000001),"满足","不满足")</x:f>
        <x:v>满足</x:v>
      </x:c>
    </x:row>
    <x:row r="121" ht="44" customHeight="1">
      <x:c r="A121" s="2" t="str">
        <x:v>SC007</x:v>
      </x:c>
      <x:c r="B121" s="14" t="n">
        <x:v>23</x:v>
      </x:c>
      <x:c r="C121" s="2" t="str">
        <x:v>SC007-009</x:v>
      </x:c>
      <x:c r="D121" s="2" t="str">
        <x:v>S006</x:v>
      </x:c>
      <x:c r="E121" s="2" t="str">
        <x:v>C</x:v>
      </x:c>
      <x:c r="F121" s="13" t="str">
        <x:v>S006-MED-01; S006-WAT-01; S006-WAT-02; S006-WAT-03; S006-FOD-01; S006-HYG-01</x:v>
      </x:c>
      <x:c r="G121" s="20" t="n">
        <x:v>59</x:v>
      </x:c>
      <x:c r="H121" s="22" t="n">
        <x:v>0.156</x:v>
      </x:c>
      <x:c r="I121" s="20" t="n">
        <x:v>685.5526244866224</x:v>
      </x:c>
      <x:c r="J121" s="24" t="n">
        <x:v>2.5979362904386822</x:v>
      </x:c>
      <x:c r="K121" s="20" t="n">
        <x:v>1561.5526244866223</x:v>
      </x:c>
      <x:c r="L121" s="20" t="n">
        <x:f>(1-J121/VLOOKUP(E121,'口径说明'!$A$6:$E$8,4,FALSE))*100</x:f>
        <x:v>67.52579636951648</x:v>
      </x:c>
      <x:c r="M121" s="20" t="n">
        <x:f>VLOOKUP(E121,'口径说明'!$A$6:$E$8,2,FALSE)-G121</x:f>
        <x:v>21</x:v>
      </x:c>
      <x:c r="N121" s="22" t="n">
        <x:f>VLOOKUP(E121,'口径说明'!$A$6:$E$8,3,FALSE)-H121</x:f>
        <x:v>0.094</x:v>
      </x:c>
      <x:c r="O121" s="24" t="n">
        <x:f>VLOOKUP(E121,'口径说明'!$A$6:$E$8,4,FALSE)*(1-B121/100)-J121</x:f>
        <x:v>3.562063709561318</x:v>
      </x:c>
      <x:c r="P121" s="26" t="str">
        <x:f>IF(AND(M121&gt;=-0.0000001,N121&gt;=-0.0000001,O121&gt;=-0.0000001),"满足","不满足")</x:f>
        <x:v>满足</x:v>
      </x:c>
    </x:row>
    <x:row r="122" ht="44" customHeight="1">
      <x:c r="A122" s="15" t="str">
        <x:v>SC007</x:v>
      </x:c>
      <x:c r="B122" s="17" t="n">
        <x:v>23</x:v>
      </x:c>
      <x:c r="C122" s="15" t="str">
        <x:v>SC007-010</x:v>
      </x:c>
      <x:c r="D122" s="15" t="str">
        <x:v>S007</x:v>
      </x:c>
      <x:c r="E122" s="15" t="str">
        <x:v>C</x:v>
      </x:c>
      <x:c r="F122" s="16" t="str">
        <x:v>S007-MED-01; S007-WAT-01; S007-WAT-02; S007-FOD-01; S007-HYG-01</x:v>
      </x:c>
      <x:c r="G122" s="21" t="n">
        <x:v>45</x:v>
      </x:c>
      <x:c r="H122" s="23" t="n">
        <x:v>0.129</x:v>
      </x:c>
      <x:c r="I122" s="21" t="n">
        <x:v>1097.600698410691</x:v>
      </x:c>
      <x:c r="J122" s="25" t="n">
        <x:v>3.4110038084433194</x:v>
      </x:c>
      <x:c r="K122" s="21" t="n">
        <x:v>1907.600698410691</x:v>
      </x:c>
      <x:c r="L122" s="21" t="n">
        <x:f>(1-J122/VLOOKUP(E122,'口径说明'!$A$6:$E$8,4,FALSE))*100</x:f>
        <x:v>57.36245239445851</x:v>
      </x:c>
      <x:c r="M122" s="21" t="n">
        <x:f>VLOOKUP(E122,'口径说明'!$A$6:$E$8,2,FALSE)-G122</x:f>
        <x:v>35</x:v>
      </x:c>
      <x:c r="N122" s="23" t="n">
        <x:f>VLOOKUP(E122,'口径说明'!$A$6:$E$8,3,FALSE)-H122</x:f>
        <x:v>0.121</x:v>
      </x:c>
      <x:c r="O122" s="25" t="n">
        <x:f>VLOOKUP(E122,'口径说明'!$A$6:$E$8,4,FALSE)*(1-B122/100)-J122</x:f>
        <x:v>2.7489961915566807</x:v>
      </x:c>
      <x:c r="P122" s="27" t="str">
        <x:f>IF(AND(M122&gt;=-0.0000001,N122&gt;=-0.0000001,O122&gt;=-0.0000001),"满足","不满足")</x:f>
        <x:v>满足</x:v>
      </x:c>
    </x:row>
    <x:row r="123" ht="44" customHeight="1">
      <x:c r="A123" s="2" t="str">
        <x:v>SC007</x:v>
      </x:c>
      <x:c r="B123" s="14" t="n">
        <x:v>23</x:v>
      </x:c>
      <x:c r="C123" s="2" t="str">
        <x:v>SC007-011</x:v>
      </x:c>
      <x:c r="D123" s="2" t="str">
        <x:v>S008</x:v>
      </x:c>
      <x:c r="E123" s="2" t="str">
        <x:v>C</x:v>
      </x:c>
      <x:c r="F123" s="13" t="str">
        <x:v>S008-MED-01; S008-WAT-01; S008-WAT-02; S008-FOD-01; S008-HYG-01</x:v>
      </x:c>
      <x:c r="G123" s="20" t="n">
        <x:v>45</x:v>
      </x:c>
      <x:c r="H123" s="22" t="n">
        <x:v>0.129</x:v>
      </x:c>
      <x:c r="I123" s="20" t="n">
        <x:v>1389.7115246008332</x:v>
      </x:c>
      <x:c r="J123" s="24" t="n">
        <x:v>5.836020667966359</x:v>
      </x:c>
      <x:c r="K123" s="20" t="n">
        <x:v>2199.7115246008334</x:v>
      </x:c>
      <x:c r="L123" s="20" t="n">
        <x:f>(1-J123/VLOOKUP(E123,'口径说明'!$A$6:$E$8,4,FALSE))*100</x:f>
        <x:v>27.04974165042051</x:v>
      </x:c>
      <x:c r="M123" s="20" t="n">
        <x:f>VLOOKUP(E123,'口径说明'!$A$6:$E$8,2,FALSE)-G123</x:f>
        <x:v>35</x:v>
      </x:c>
      <x:c r="N123" s="22" t="n">
        <x:f>VLOOKUP(E123,'口径说明'!$A$6:$E$8,3,FALSE)-H123</x:f>
        <x:v>0.121</x:v>
      </x:c>
      <x:c r="O123" s="24" t="n">
        <x:f>VLOOKUP(E123,'口径说明'!$A$6:$E$8,4,FALSE)*(1-B123/100)-J123</x:f>
        <x:v>0.32397933203364104</x:v>
      </x:c>
      <x:c r="P123" s="26" t="str">
        <x:f>IF(AND(M123&gt;=-0.0000001,N123&gt;=-0.0000001,O123&gt;=-0.0000001),"满足","不满足")</x:f>
        <x:v>满足</x:v>
      </x:c>
    </x:row>
    <x:row r="124" ht="30" customHeight="1">
      <x:c r="A124" s="15" t="str">
        <x:v>SC007</x:v>
      </x:c>
      <x:c r="B124" s="17" t="n">
        <x:v>23</x:v>
      </x:c>
      <x:c r="C124" s="15" t="str">
        <x:v>SC007-012</x:v>
      </x:c>
      <x:c r="D124" s="15" t="str">
        <x:v>S009</x:v>
      </x:c>
      <x:c r="E124" s="15" t="str">
        <x:v>B</x:v>
      </x:c>
      <x:c r="F124" s="16" t="str">
        <x:v>S009-MED-01; S009-WAT-01; S009-FOD-01</x:v>
      </x:c>
      <x:c r="G124" s="21" t="n">
        <x:v>25</x:v>
      </x:c>
      <x:c r="H124" s="23" t="n">
        <x:v>0.067</x:v>
      </x:c>
      <x:c r="I124" s="21" t="n">
        <x:v>928.4628643343575</x:v>
      </x:c>
      <x:c r="J124" s="25" t="n">
        <x:v>2.0962654017373348</x:v>
      </x:c>
      <x:c r="K124" s="21" t="n">
        <x:v>1558.4628643343576</x:v>
      </x:c>
      <x:c r="L124" s="21" t="n">
        <x:f>(1-J124/VLOOKUP(E124,'口径说明'!$A$6:$E$8,4,FALSE))*100</x:f>
        <x:v>47.59336495656663</x:v>
      </x:c>
      <x:c r="M124" s="21" t="n">
        <x:f>VLOOKUP(E124,'口径说明'!$A$6:$E$8,2,FALSE)-G124</x:f>
        <x:v>5</x:v>
      </x:c>
      <x:c r="N124" s="23" t="n">
        <x:f>VLOOKUP(E124,'口径说明'!$A$6:$E$8,3,FALSE)-H124</x:f>
        <x:v>0.0059999999999999915</x:v>
      </x:c>
      <x:c r="O124" s="25" t="n">
        <x:f>VLOOKUP(E124,'口径说明'!$A$6:$E$8,4,FALSE)*(1-B124/100)-J124</x:f>
        <x:v>0.9837345982626653</x:v>
      </x:c>
      <x:c r="P124" s="27" t="str">
        <x:f>IF(AND(M124&gt;=-0.0000001,N124&gt;=-0.0000001,O124&gt;=-0.0000001),"满足","不满足")</x:f>
        <x:v>满足</x:v>
      </x:c>
    </x:row>
    <x:row r="125" ht="30" customHeight="1">
      <x:c r="A125" s="2" t="str">
        <x:v>SC007</x:v>
      </x:c>
      <x:c r="B125" s="14" t="n">
        <x:v>23</x:v>
      </x:c>
      <x:c r="C125" s="2" t="str">
        <x:v>SC007-013</x:v>
      </x:c>
      <x:c r="D125" s="2" t="str">
        <x:v>S010</x:v>
      </x:c>
      <x:c r="E125" s="2" t="str">
        <x:v>B</x:v>
      </x:c>
      <x:c r="F125" s="13" t="str">
        <x:v>S010-MED-01; S010-WAT-01; S010-FOD-01</x:v>
      </x:c>
      <x:c r="G125" s="20" t="n">
        <x:v>25</x:v>
      </x:c>
      <x:c r="H125" s="22" t="n">
        <x:v>0.067</x:v>
      </x:c>
      <x:c r="I125" s="20" t="n">
        <x:v>925.4035197802174</x:v>
      </x:c>
      <x:c r="J125" s="24" t="n">
        <x:v>1.8232165642314142</x:v>
      </x:c>
      <x:c r="K125" s="20" t="n">
        <x:v>1555.4035197802173</x:v>
      </x:c>
      <x:c r="L125" s="20" t="n">
        <x:f>(1-J125/VLOOKUP(E125,'口径说明'!$A$6:$E$8,4,FALSE))*100</x:f>
        <x:v>54.41958589421465</x:v>
      </x:c>
      <x:c r="M125" s="20" t="n">
        <x:f>VLOOKUP(E125,'口径说明'!$A$6:$E$8,2,FALSE)-G125</x:f>
        <x:v>5</x:v>
      </x:c>
      <x:c r="N125" s="22" t="n">
        <x:f>VLOOKUP(E125,'口径说明'!$A$6:$E$8,3,FALSE)-H125</x:f>
        <x:v>0.0059999999999999915</x:v>
      </x:c>
      <x:c r="O125" s="24" t="n">
        <x:f>VLOOKUP(E125,'口径说明'!$A$6:$E$8,4,FALSE)*(1-B125/100)-J125</x:f>
        <x:v>1.2567834357685859</x:v>
      </x:c>
      <x:c r="P125" s="26" t="str">
        <x:f>IF(AND(M125&gt;=-0.0000001,N125&gt;=-0.0000001,O125&gt;=-0.0000001),"满足","不满足")</x:f>
        <x:v>满足</x:v>
      </x:c>
    </x:row>
    <x:row r="126" ht="30" customHeight="1">
      <x:c r="A126" s="15" t="str">
        <x:v>SC007</x:v>
      </x:c>
      <x:c r="B126" s="17" t="n">
        <x:v>23</x:v>
      </x:c>
      <x:c r="C126" s="15" t="str">
        <x:v>SC007-014</x:v>
      </x:c>
      <x:c r="D126" s="15" t="str">
        <x:v>S011</x:v>
      </x:c>
      <x:c r="E126" s="15" t="str">
        <x:v>B</x:v>
      </x:c>
      <x:c r="F126" s="16" t="str">
        <x:v>S011-MED-01; S011-WAT-01; S011-FOD-01</x:v>
      </x:c>
      <x:c r="G126" s="21" t="n">
        <x:v>25</x:v>
      </x:c>
      <x:c r="H126" s="23" t="n">
        <x:v>0.067</x:v>
      </x:c>
      <x:c r="I126" s="21" t="n">
        <x:v>558.4247628605204</x:v>
      </x:c>
      <x:c r="J126" s="25" t="n">
        <x:v>1.0739366863951034</x:v>
      </x:c>
      <x:c r="K126" s="21" t="n">
        <x:v>1188.4247628605203</x:v>
      </x:c>
      <x:c r="L126" s="21" t="n">
        <x:f>(1-J126/VLOOKUP(E126,'口径说明'!$A$6:$E$8,4,FALSE))*100</x:f>
        <x:v>73.15158284012242</x:v>
      </x:c>
      <x:c r="M126" s="21" t="n">
        <x:f>VLOOKUP(E126,'口径说明'!$A$6:$E$8,2,FALSE)-G126</x:f>
        <x:v>5</x:v>
      </x:c>
      <x:c r="N126" s="23" t="n">
        <x:f>VLOOKUP(E126,'口径说明'!$A$6:$E$8,3,FALSE)-H126</x:f>
        <x:v>0.0059999999999999915</x:v>
      </x:c>
      <x:c r="O126" s="25" t="n">
        <x:f>VLOOKUP(E126,'口径说明'!$A$6:$E$8,4,FALSE)*(1-B126/100)-J126</x:f>
        <x:v>2.006063313604897</x:v>
      </x:c>
      <x:c r="P126" s="27" t="str">
        <x:f>IF(AND(M126&gt;=-0.0000001,N126&gt;=-0.0000001,O126&gt;=-0.0000001),"满足","不满足")</x:f>
        <x:v>满足</x:v>
      </x:c>
    </x:row>
    <x:row r="127" ht="30" customHeight="1">
      <x:c r="A127" s="2" t="str">
        <x:v>SC007</x:v>
      </x:c>
      <x:c r="B127" s="14" t="n">
        <x:v>23</x:v>
      </x:c>
      <x:c r="C127" s="2" t="str">
        <x:v>SC007-015</x:v>
      </x:c>
      <x:c r="D127" s="2" t="str">
        <x:v>S012</x:v>
      </x:c>
      <x:c r="E127" s="2" t="str">
        <x:v>B</x:v>
      </x:c>
      <x:c r="F127" s="13" t="str">
        <x:v>S012-MED-01; S012-WAT-01; S012-FOD-01</x:v>
      </x:c>
      <x:c r="G127" s="20" t="n">
        <x:v>25</x:v>
      </x:c>
      <x:c r="H127" s="22" t="n">
        <x:v>0.067</x:v>
      </x:c>
      <x:c r="I127" s="20" t="n">
        <x:v>1292.826814149187</x:v>
      </x:c>
      <x:c r="J127" s="24" t="n">
        <x:v>2.7525999542899324</x:v>
      </x:c>
      <x:c r="K127" s="20" t="n">
        <x:v>1922.826814149187</x:v>
      </x:c>
      <x:c r="L127" s="20" t="n">
        <x:f>(1-J127/VLOOKUP(E127,'口径说明'!$A$6:$E$8,4,FALSE))*100</x:f>
        <x:v>31.185001142751688</x:v>
      </x:c>
      <x:c r="M127" s="20" t="n">
        <x:f>VLOOKUP(E127,'口径说明'!$A$6:$E$8,2,FALSE)-G127</x:f>
        <x:v>5</x:v>
      </x:c>
      <x:c r="N127" s="22" t="n">
        <x:f>VLOOKUP(E127,'口径说明'!$A$6:$E$8,3,FALSE)-H127</x:f>
        <x:v>0.0059999999999999915</x:v>
      </x:c>
      <x:c r="O127" s="24" t="n">
        <x:f>VLOOKUP(E127,'口径说明'!$A$6:$E$8,4,FALSE)*(1-B127/100)-J127</x:f>
        <x:v>0.32740004571006764</x:v>
      </x:c>
      <x:c r="P127" s="26" t="str">
        <x:f>IF(AND(M127&gt;=-0.0000001,N127&gt;=-0.0000001,O127&gt;=-0.0000001),"满足","不满足")</x:f>
        <x:v>满足</x:v>
      </x:c>
    </x:row>
    <x:row r="128" ht="30" customHeight="1">
      <x:c r="A128" s="15" t="str">
        <x:v>SC007</x:v>
      </x:c>
      <x:c r="B128" s="17" t="n">
        <x:v>23</x:v>
      </x:c>
      <x:c r="C128" s="15" t="str">
        <x:v>SC007-016</x:v>
      </x:c>
      <x:c r="D128" s="15" t="str">
        <x:v>S013</x:v>
      </x:c>
      <x:c r="E128" s="15" t="str">
        <x:v>B</x:v>
      </x:c>
      <x:c r="F128" s="16" t="str">
        <x:v>S013-MED-01; S013-WAT-01; S013-FOD-01</x:v>
      </x:c>
      <x:c r="G128" s="21" t="n">
        <x:v>25</x:v>
      </x:c>
      <x:c r="H128" s="23" t="n">
        <x:v>0.067</x:v>
      </x:c>
      <x:c r="I128" s="21" t="n">
        <x:v>880.511588744525</x:v>
      </x:c>
      <x:c r="J128" s="25" t="n">
        <x:v>1.8248281910807471</x:v>
      </x:c>
      <x:c r="K128" s="21" t="n">
        <x:v>1510.511588744525</x:v>
      </x:c>
      <x:c r="L128" s="21" t="n">
        <x:f>(1-J128/VLOOKUP(E128,'口径说明'!$A$6:$E$8,4,FALSE))*100</x:f>
        <x:v>54.37929522298133</x:v>
      </x:c>
      <x:c r="M128" s="21" t="n">
        <x:f>VLOOKUP(E128,'口径说明'!$A$6:$E$8,2,FALSE)-G128</x:f>
        <x:v>5</x:v>
      </x:c>
      <x:c r="N128" s="23" t="n">
        <x:f>VLOOKUP(E128,'口径说明'!$A$6:$E$8,3,FALSE)-H128</x:f>
        <x:v>0.0059999999999999915</x:v>
      </x:c>
      <x:c r="O128" s="25" t="n">
        <x:f>VLOOKUP(E128,'口径说明'!$A$6:$E$8,4,FALSE)*(1-B128/100)-J128</x:f>
        <x:v>1.255171808919253</x:v>
      </x:c>
      <x:c r="P128" s="27" t="str">
        <x:f>IF(AND(M128&gt;=-0.0000001,N128&gt;=-0.0000001,O128&gt;=-0.0000001),"满足","不满足")</x:f>
        <x:v>满足</x:v>
      </x:c>
    </x:row>
    <x:row r="129" ht="30" customHeight="1">
      <x:c r="A129" s="2" t="str">
        <x:v>SC007</x:v>
      </x:c>
      <x:c r="B129" s="14" t="n">
        <x:v>23</x:v>
      </x:c>
      <x:c r="C129" s="2" t="str">
        <x:v>SC007-017</x:v>
      </x:c>
      <x:c r="D129" s="2" t="str">
        <x:v>S014</x:v>
      </x:c>
      <x:c r="E129" s="2" t="str">
        <x:v>B</x:v>
      </x:c>
      <x:c r="F129" s="13" t="str">
        <x:v>S014-MED-01; S014-WAT-01; S014-FOD-01</x:v>
      </x:c>
      <x:c r="G129" s="20" t="n">
        <x:v>25</x:v>
      </x:c>
      <x:c r="H129" s="22" t="n">
        <x:v>0.067</x:v>
      </x:c>
      <x:c r="I129" s="20" t="n">
        <x:v>1239.7476752786913</x:v>
      </x:c>
      <x:c r="J129" s="24" t="n">
        <x:v>2.1402909781417883</x:v>
      </x:c>
      <x:c r="K129" s="20" t="n">
        <x:v>1869.7476752786913</x:v>
      </x:c>
      <x:c r="L129" s="20" t="n">
        <x:f>(1-J129/VLOOKUP(E129,'口径说明'!$A$6:$E$8,4,FALSE))*100</x:f>
        <x:v>46.49272554645529</x:v>
      </x:c>
      <x:c r="M129" s="20" t="n">
        <x:f>VLOOKUP(E129,'口径说明'!$A$6:$E$8,2,FALSE)-G129</x:f>
        <x:v>5</x:v>
      </x:c>
      <x:c r="N129" s="22" t="n">
        <x:f>VLOOKUP(E129,'口径说明'!$A$6:$E$8,3,FALSE)-H129</x:f>
        <x:v>0.0059999999999999915</x:v>
      </x:c>
      <x:c r="O129" s="24" t="n">
        <x:f>VLOOKUP(E129,'口径说明'!$A$6:$E$8,4,FALSE)*(1-B129/100)-J129</x:f>
        <x:v>0.9397090218582118</x:v>
      </x:c>
      <x:c r="P129" s="26" t="str">
        <x:f>IF(AND(M129&gt;=-0.0000001,N129&gt;=-0.0000001,O129&gt;=-0.0000001),"满足","不满足")</x:f>
        <x:v>满足</x:v>
      </x:c>
    </x:row>
    <x:row r="130" ht="30" customHeight="1">
      <x:c r="A130" s="15" t="str">
        <x:v>SC007</x:v>
      </x:c>
      <x:c r="B130" s="17" t="n">
        <x:v>23</x:v>
      </x:c>
      <x:c r="C130" s="15" t="str">
        <x:v>SC007-018</x:v>
      </x:c>
      <x:c r="D130" s="15" t="str">
        <x:v>S015</x:v>
      </x:c>
      <x:c r="E130" s="15" t="str">
        <x:v>B</x:v>
      </x:c>
      <x:c r="F130" s="16" t="str">
        <x:v>S015-MED-01; S015-WAT-01; S015-FOD-01</x:v>
      </x:c>
      <x:c r="G130" s="21" t="n">
        <x:v>25</x:v>
      </x:c>
      <x:c r="H130" s="23" t="n">
        <x:v>0.067</x:v>
      </x:c>
      <x:c r="I130" s="21" t="n">
        <x:v>1198.3275601736595</x:v>
      </x:c>
      <x:c r="J130" s="25" t="n">
        <x:v>2.307528505752516</x:v>
      </x:c>
      <x:c r="K130" s="21" t="n">
        <x:v>1828.3275601736595</x:v>
      </x:c>
      <x:c r="L130" s="21" t="n">
        <x:f>(1-J130/VLOOKUP(E130,'口径说明'!$A$6:$E$8,4,FALSE))*100</x:f>
        <x:v>42.311787356187104</x:v>
      </x:c>
      <x:c r="M130" s="21" t="n">
        <x:f>VLOOKUP(E130,'口径说明'!$A$6:$E$8,2,FALSE)-G130</x:f>
        <x:v>5</x:v>
      </x:c>
      <x:c r="N130" s="23" t="n">
        <x:f>VLOOKUP(E130,'口径说明'!$A$6:$E$8,3,FALSE)-H130</x:f>
        <x:v>0.0059999999999999915</x:v>
      </x:c>
      <x:c r="O130" s="25" t="n">
        <x:f>VLOOKUP(E130,'口径说明'!$A$6:$E$8,4,FALSE)*(1-B130/100)-J130</x:f>
        <x:v>0.7724714942474842</x:v>
      </x:c>
      <x:c r="P130" s="27" t="str">
        <x:f>IF(AND(M130&gt;=-0.0000001,N130&gt;=-0.0000001,O130&gt;=-0.0000001),"满足","不满足")</x:f>
        <x:v>满足</x:v>
      </x:c>
    </x:row>
    <x:row r="131" ht="61" customHeight="1">
      <x:c r="A131" s="2" t="str">
        <x:v>SC008</x:v>
      </x:c>
      <x:c r="B131" s="14" t="n">
        <x:v>25</x:v>
      </x:c>
      <x:c r="C131" s="2" t="str">
        <x:v>SC008-001</x:v>
      </x:c>
      <x:c r="D131" s="2" t="str">
        <x:v>S001</x:v>
      </x:c>
      <x:c r="E131" s="2" t="str">
        <x:v>C</x:v>
      </x:c>
      <x:c r="F131" s="13" t="str">
        <x:v>S001-WAT-01; S001-WAT-02; S001-WAT-03; S001-FOD-01; S001-FOD-02; S001-FOD-03; S001-HYG-01; S001-HYG-02</x:v>
      </x:c>
      <x:c r="G131" s="20" t="n">
        <x:v>78</x:v>
      </x:c>
      <x:c r="H131" s="22" t="n">
        <x:v>0.235</x:v>
      </x:c>
      <x:c r="I131" s="20" t="n">
        <x:v>618.1750458620229</x:v>
      </x:c>
      <x:c r="J131" s="24" t="n">
        <x:v>2.9957758049046697</x:v>
      </x:c>
      <x:c r="K131" s="20" t="n">
        <x:v>1626.175045862023</x:v>
      </x:c>
      <x:c r="L131" s="20" t="n">
        <x:f>(1-J131/VLOOKUP(E131,'口径说明'!$A$6:$E$8,4,FALSE))*100</x:f>
        <x:v>62.552802438691636</x:v>
      </x:c>
      <x:c r="M131" s="20" t="n">
        <x:f>VLOOKUP(E131,'口径说明'!$A$6:$E$8,2,FALSE)-G131</x:f>
        <x:v>2</x:v>
      </x:c>
      <x:c r="N131" s="22" t="n">
        <x:f>VLOOKUP(E131,'口径说明'!$A$6:$E$8,3,FALSE)-H131</x:f>
        <x:v>0.015000000000000013</x:v>
      </x:c>
      <x:c r="O131" s="24" t="n">
        <x:f>VLOOKUP(E131,'口径说明'!$A$6:$E$8,4,FALSE)*(1-B131/100)-J131</x:f>
        <x:v>3.0042241950953303</x:v>
      </x:c>
      <x:c r="P131" s="26" t="str">
        <x:f>IF(AND(M131&gt;=-0.0000001,N131&gt;=-0.0000001,O131&gt;=-0.0000001),"满足","不满足")</x:f>
        <x:v>满足</x:v>
      </x:c>
    </x:row>
    <x:row r="132" ht="44" customHeight="1">
      <x:c r="A132" s="15" t="str">
        <x:v>SC008</x:v>
      </x:c>
      <x:c r="B132" s="17" t="n">
        <x:v>25</x:v>
      </x:c>
      <x:c r="C132" s="15" t="str">
        <x:v>SC008-002</x:v>
      </x:c>
      <x:c r="D132" s="15" t="str">
        <x:v>S001</x:v>
      </x:c>
      <x:c r="E132" s="15" t="str">
        <x:v>C</x:v>
      </x:c>
      <x:c r="F132" s="16" t="str">
        <x:v>S001-MED-01; S001-MED-02; S001-WAT-04; S001-WAT-05; S001-WAT-06; S001-WAT-07; S001-WAT-08</x:v>
      </x:c>
      <x:c r="G132" s="21" t="n">
        <x:v>76</x:v>
      </x:c>
      <x:c r="H132" s="23" t="n">
        <x:v>0.159</x:v>
      </x:c>
      <x:c r="I132" s="21" t="n">
        <x:v>618.1750458620229</x:v>
      </x:c>
      <x:c r="J132" s="25" t="n">
        <x:v>2.917588095586827</x:v>
      </x:c>
      <x:c r="K132" s="21" t="n">
        <x:v>1560.175045862023</x:v>
      </x:c>
      <x:c r="L132" s="21" t="n">
        <x:f>(1-J132/VLOOKUP(E132,'口径说明'!$A$6:$E$8,4,FALSE))*100</x:f>
        <x:v>63.53014880516466</x:v>
      </x:c>
      <x:c r="M132" s="21" t="n">
        <x:f>VLOOKUP(E132,'口径说明'!$A$6:$E$8,2,FALSE)-G132</x:f>
        <x:v>4</x:v>
      </x:c>
      <x:c r="N132" s="23" t="n">
        <x:f>VLOOKUP(E132,'口径说明'!$A$6:$E$8,3,FALSE)-H132</x:f>
        <x:v>0.091</x:v>
      </x:c>
      <x:c r="O132" s="25" t="n">
        <x:f>VLOOKUP(E132,'口径说明'!$A$6:$E$8,4,FALSE)*(1-B132/100)-J132</x:f>
        <x:v>3.082411904413173</x:v>
      </x:c>
      <x:c r="P132" s="27" t="str">
        <x:f>IF(AND(M132&gt;=-0.0000001,N132&gt;=-0.0000001,O132&gt;=-0.0000001),"满足","不满足")</x:f>
        <x:v>满足</x:v>
      </x:c>
    </x:row>
    <x:row r="133" ht="30" customHeight="1">
      <x:c r="A133" s="2" t="str">
        <x:v>SC008</x:v>
      </x:c>
      <x:c r="B133" s="14" t="n">
        <x:v>25</x:v>
      </x:c>
      <x:c r="C133" s="2" t="str">
        <x:v>SC008-003</x:v>
      </x:c>
      <x:c r="D133" s="2" t="str">
        <x:v>S002</x:v>
      </x:c>
      <x:c r="E133" s="2" t="str">
        <x:v>B</x:v>
      </x:c>
      <x:c r="F133" s="13" t="str">
        <x:v>S002-MED-01; S002-WAT-01; S002-FOD-01</x:v>
      </x:c>
      <x:c r="G133" s="20" t="n">
        <x:v>25</x:v>
      </x:c>
      <x:c r="H133" s="22" t="n">
        <x:v>0.067</x:v>
      </x:c>
      <x:c r="I133" s="20" t="n">
        <x:v>1186.7240813077576</x:v>
      </x:c>
      <x:c r="J133" s="24" t="n">
        <x:v>2.7134729412419873</x:v>
      </x:c>
      <x:c r="K133" s="20" t="n">
        <x:v>1816.7240813077576</x:v>
      </x:c>
      <x:c r="L133" s="20" t="n">
        <x:f>(1-J133/VLOOKUP(E133,'口径说明'!$A$6:$E$8,4,FALSE))*100</x:f>
        <x:v>32.16317646895032</x:v>
      </x:c>
      <x:c r="M133" s="20" t="n">
        <x:f>VLOOKUP(E133,'口径说明'!$A$6:$E$8,2,FALSE)-G133</x:f>
        <x:v>5</x:v>
      </x:c>
      <x:c r="N133" s="22" t="n">
        <x:f>VLOOKUP(E133,'口径说明'!$A$6:$E$8,3,FALSE)-H133</x:f>
        <x:v>0.0059999999999999915</x:v>
      </x:c>
      <x:c r="O133" s="24" t="n">
        <x:f>VLOOKUP(E133,'口径说明'!$A$6:$E$8,4,FALSE)*(1-B133/100)-J133</x:f>
        <x:v>0.28652705875801265</x:v>
      </x:c>
      <x:c r="P133" s="26" t="str">
        <x:f>IF(AND(M133&gt;=-0.0000001,N133&gt;=-0.0000001,O133&gt;=-0.0000001),"满足","不满足")</x:f>
        <x:v>满足</x:v>
      </x:c>
    </x:row>
    <x:row r="134" ht="44" customHeight="1">
      <x:c r="A134" s="15" t="str">
        <x:v>SC008</x:v>
      </x:c>
      <x:c r="B134" s="17" t="n">
        <x:v>25</x:v>
      </x:c>
      <x:c r="C134" s="15" t="str">
        <x:v>SC008-004</x:v>
      </x:c>
      <x:c r="D134" s="15" t="str">
        <x:v>S002</x:v>
      </x:c>
      <x:c r="E134" s="15" t="str">
        <x:v>C</x:v>
      </x:c>
      <x:c r="F134" s="16" t="str">
        <x:v>S002-WAT-02; S002-WAT-03; S002-WAT-04; S002-FOD-02; S002-HYG-01</x:v>
      </x:c>
      <x:c r="G134" s="21" t="n">
        <x:v>56</x:v>
      </x:c>
      <x:c r="H134" s="23" t="n">
        <x:v>0.144</x:v>
      </x:c>
      <x:c r="I134" s="21" t="n">
        <x:v>1231.8421660245544</x:v>
      </x:c>
      <x:c r="J134" s="25" t="n">
        <x:v>5.721356203945945</x:v>
      </x:c>
      <x:c r="K134" s="21" t="n">
        <x:v>2041.8421660245544</x:v>
      </x:c>
      <x:c r="L134" s="21" t="n">
        <x:f>(1-J134/VLOOKUP(E134,'口径说明'!$A$6:$E$8,4,FALSE))*100</x:f>
        <x:v>28.48304745067569</x:v>
      </x:c>
      <x:c r="M134" s="21" t="n">
        <x:f>VLOOKUP(E134,'口径说明'!$A$6:$E$8,2,FALSE)-G134</x:f>
        <x:v>24</x:v>
      </x:c>
      <x:c r="N134" s="23" t="n">
        <x:f>VLOOKUP(E134,'口径说明'!$A$6:$E$8,3,FALSE)-H134</x:f>
        <x:v>0.10600000000000001</x:v>
      </x:c>
      <x:c r="O134" s="25" t="n">
        <x:f>VLOOKUP(E134,'口径说明'!$A$6:$E$8,4,FALSE)*(1-B134/100)-J134</x:f>
        <x:v>0.2786437960540553</x:v>
      </x:c>
      <x:c r="P134" s="27" t="str">
        <x:f>IF(AND(M134&gt;=-0.0000001,N134&gt;=-0.0000001,O134&gt;=-0.0000001),"满足","不满足")</x:f>
        <x:v>满足</x:v>
      </x:c>
    </x:row>
    <x:row r="135" ht="30" customHeight="1">
      <x:c r="A135" s="2" t="str">
        <x:v>SC008</x:v>
      </x:c>
      <x:c r="B135" s="14" t="n">
        <x:v>25</x:v>
      </x:c>
      <x:c r="C135" s="2" t="str">
        <x:v>SC008-005</x:v>
      </x:c>
      <x:c r="D135" s="2" t="str">
        <x:v>S003</x:v>
      </x:c>
      <x:c r="E135" s="2" t="str">
        <x:v>B</x:v>
      </x:c>
      <x:c r="F135" s="13" t="str">
        <x:v>S003-MED-01; S003-WAT-01; S003-FOD-01</x:v>
      </x:c>
      <x:c r="G135" s="20" t="n">
        <x:v>25</x:v>
      </x:c>
      <x:c r="H135" s="22" t="n">
        <x:v>0.067</x:v>
      </x:c>
      <x:c r="I135" s="20" t="n">
        <x:v>1450.6096650380623</x:v>
      </x:c>
      <x:c r="J135" s="24" t="n">
        <x:v>2.7800780342326075</x:v>
      </x:c>
      <x:c r="K135" s="20" t="n">
        <x:v>2080.6096650380623</x:v>
      </x:c>
      <x:c r="L135" s="20" t="n">
        <x:f>(1-J135/VLOOKUP(E135,'口径说明'!$A$6:$E$8,4,FALSE))*100</x:f>
        <x:v>30.49804914418481</x:v>
      </x:c>
      <x:c r="M135" s="20" t="n">
        <x:f>VLOOKUP(E135,'口径说明'!$A$6:$E$8,2,FALSE)-G135</x:f>
        <x:v>5</x:v>
      </x:c>
      <x:c r="N135" s="22" t="n">
        <x:f>VLOOKUP(E135,'口径说明'!$A$6:$E$8,3,FALSE)-H135</x:f>
        <x:v>0.0059999999999999915</x:v>
      </x:c>
      <x:c r="O135" s="24" t="n">
        <x:f>VLOOKUP(E135,'口径说明'!$A$6:$E$8,4,FALSE)*(1-B135/100)-J135</x:f>
        <x:v>0.21992196576739254</x:v>
      </x:c>
      <x:c r="P135" s="26" t="str">
        <x:f>IF(AND(M135&gt;=-0.0000001,N135&gt;=-0.0000001,O135&gt;=-0.0000001),"满足","不满足")</x:f>
        <x:v>满足</x:v>
      </x:c>
    </x:row>
    <x:row r="136" ht="44" customHeight="1">
      <x:c r="A136" s="15" t="str">
        <x:v>SC008</x:v>
      </x:c>
      <x:c r="B136" s="17" t="n">
        <x:v>25</x:v>
      </x:c>
      <x:c r="C136" s="15" t="str">
        <x:v>SC008-006</x:v>
      </x:c>
      <x:c r="D136" s="15" t="str">
        <x:v>S003</x:v>
      </x:c>
      <x:c r="E136" s="15" t="str">
        <x:v>C</x:v>
      </x:c>
      <x:c r="F136" s="16" t="str">
        <x:v>S003-WAT-02; S003-WAT-03; S003-WAT-04; S003-FOD-02; S003-HYG-01</x:v>
      </x:c>
      <x:c r="G136" s="21" t="n">
        <x:v>56</x:v>
      </x:c>
      <x:c r="H136" s="23" t="n">
        <x:v>0.144</x:v>
      </x:c>
      <x:c r="I136" s="21" t="n">
        <x:v>1560.1777110992603</x:v>
      </x:c>
      <x:c r="J136" s="25" t="n">
        <x:v>5.7653646949838375</x:v>
      </x:c>
      <x:c r="K136" s="21" t="n">
        <x:v>2370.1777110992603</x:v>
      </x:c>
      <x:c r="L136" s="21" t="n">
        <x:f>(1-J136/VLOOKUP(E136,'口径说明'!$A$6:$E$8,4,FALSE))*100</x:f>
        <x:v>27.93294131270203</x:v>
      </x:c>
      <x:c r="M136" s="21" t="n">
        <x:f>VLOOKUP(E136,'口径说明'!$A$6:$E$8,2,FALSE)-G136</x:f>
        <x:v>24</x:v>
      </x:c>
      <x:c r="N136" s="23" t="n">
        <x:f>VLOOKUP(E136,'口径说明'!$A$6:$E$8,3,FALSE)-H136</x:f>
        <x:v>0.10600000000000001</x:v>
      </x:c>
      <x:c r="O136" s="25" t="n">
        <x:f>VLOOKUP(E136,'口径说明'!$A$6:$E$8,4,FALSE)*(1-B136/100)-J136</x:f>
        <x:v>0.23463530501616248</x:v>
      </x:c>
      <x:c r="P136" s="27" t="str">
        <x:f>IF(AND(M136&gt;=-0.0000001,N136&gt;=-0.0000001,O136&gt;=-0.0000001),"满足","不满足")</x:f>
        <x:v>满足</x:v>
      </x:c>
    </x:row>
    <x:row r="137" ht="30" customHeight="1">
      <x:c r="A137" s="2" t="str">
        <x:v>SC008</x:v>
      </x:c>
      <x:c r="B137" s="14" t="n">
        <x:v>25</x:v>
      </x:c>
      <x:c r="C137" s="2" t="str">
        <x:v>SC008-007</x:v>
      </x:c>
      <x:c r="D137" s="2" t="str">
        <x:v>S004</x:v>
      </x:c>
      <x:c r="E137" s="2" t="str">
        <x:v>B</x:v>
      </x:c>
      <x:c r="F137" s="13" t="str">
        <x:v>S004-MED-01; S004-WAT-01</x:v>
      </x:c>
      <x:c r="G137" s="20" t="n">
        <x:v>17</x:v>
      </x:c>
      <x:c r="H137" s="22" t="n">
        <x:v>0.039</x:v>
      </x:c>
      <x:c r="I137" s="20" t="n">
        <x:v>1351.641663352524</x:v>
      </x:c>
      <x:c r="J137" s="24" t="n">
        <x:v>2.5764747430256225</x:v>
      </x:c>
      <x:c r="K137" s="20" t="n">
        <x:v>1921.641663352524</x:v>
      </x:c>
      <x:c r="L137" s="20" t="n">
        <x:f>(1-J137/VLOOKUP(E137,'口径说明'!$A$6:$E$8,4,FALSE))*100</x:f>
        <x:v>35.58813142435944</x:v>
      </x:c>
      <x:c r="M137" s="20" t="n">
        <x:f>VLOOKUP(E137,'口径说明'!$A$6:$E$8,2,FALSE)-G137</x:f>
        <x:v>13</x:v>
      </x:c>
      <x:c r="N137" s="22" t="n">
        <x:f>VLOOKUP(E137,'口径说明'!$A$6:$E$8,3,FALSE)-H137</x:f>
        <x:v>0.033999999999999996</x:v>
      </x:c>
      <x:c r="O137" s="24" t="n">
        <x:f>VLOOKUP(E137,'口径说明'!$A$6:$E$8,4,FALSE)*(1-B137/100)-J137</x:f>
        <x:v>0.4235252569743775</x:v>
      </x:c>
      <x:c r="P137" s="26" t="str">
        <x:f>IF(AND(M137&gt;=-0.0000001,N137&gt;=-0.0000001,O137&gt;=-0.0000001),"满足","不满足")</x:f>
        <x:v>满足</x:v>
      </x:c>
    </x:row>
    <x:row r="138" ht="44" customHeight="1">
      <x:c r="A138" s="15" t="str">
        <x:v>SC008</x:v>
      </x:c>
      <x:c r="B138" s="17" t="n">
        <x:v>25</x:v>
      </x:c>
      <x:c r="C138" s="15" t="str">
        <x:v>SC008-008</x:v>
      </x:c>
      <x:c r="D138" s="15" t="str">
        <x:v>S004</x:v>
      </x:c>
      <x:c r="E138" s="15" t="str">
        <x:v>C</x:v>
      </x:c>
      <x:c r="F138" s="16" t="str">
        <x:v>S004-WAT-02; S004-WAT-03; S004-FOD-01; S004-HYG-01</x:v>
      </x:c>
      <x:c r="G138" s="21" t="n">
        <x:v>42</x:v>
      </x:c>
      <x:c r="H138" s="23" t="n">
        <x:v>0.117</x:v>
      </x:c>
      <x:c r="I138" s="21" t="n">
        <x:v>1425.0547187724458</x:v>
      </x:c>
      <x:c r="J138" s="25" t="n">
        <x:v>5.5184362177342665</x:v>
      </x:c>
      <x:c r="K138" s="21" t="n">
        <x:v>2169.054718772446</x:v>
      </x:c>
      <x:c r="L138" s="21" t="n">
        <x:f>(1-J138/VLOOKUP(E138,'口径说明'!$A$6:$E$8,4,FALSE))*100</x:f>
        <x:v>31.019547278321667</x:v>
      </x:c>
      <x:c r="M138" s="21" t="n">
        <x:f>VLOOKUP(E138,'口径说明'!$A$6:$E$8,2,FALSE)-G138</x:f>
        <x:v>38</x:v>
      </x:c>
      <x:c r="N138" s="23" t="n">
        <x:f>VLOOKUP(E138,'口径说明'!$A$6:$E$8,3,FALSE)-H138</x:f>
        <x:v>0.133</x:v>
      </x:c>
      <x:c r="O138" s="25" t="n">
        <x:f>VLOOKUP(E138,'口径说明'!$A$6:$E$8,4,FALSE)*(1-B138/100)-J138</x:f>
        <x:v>0.4815637822657335</x:v>
      </x:c>
      <x:c r="P138" s="27" t="str">
        <x:f>IF(AND(M138&gt;=-0.0000001,N138&gt;=-0.0000001,O138&gt;=-0.0000001),"满足","不满足")</x:f>
        <x:v>满足</x:v>
      </x:c>
    </x:row>
    <x:row r="139" ht="44" customHeight="1">
      <x:c r="A139" s="2" t="str">
        <x:v>SC008</x:v>
      </x:c>
      <x:c r="B139" s="14" t="n">
        <x:v>25</x:v>
      </x:c>
      <x:c r="C139" s="2" t="str">
        <x:v>SC008-009</x:v>
      </x:c>
      <x:c r="D139" s="2" t="str">
        <x:v>S005</x:v>
      </x:c>
      <x:c r="E139" s="2" t="str">
        <x:v>C</x:v>
      </x:c>
      <x:c r="F139" s="13" t="str">
        <x:v>S005-MED-01; S005-WAT-01; S005-WAT-02; S005-WAT-03; S005-FOD-01; S005-HYG-01</x:v>
      </x:c>
      <x:c r="G139" s="20" t="n">
        <x:v>59</x:v>
      </x:c>
      <x:c r="H139" s="22" t="n">
        <x:v>0.156</x:v>
      </x:c>
      <x:c r="I139" s="20" t="n">
        <x:v>1001.1887154914712</x:v>
      </x:c>
      <x:c r="J139" s="24" t="n">
        <x:v>4.222137373445114</x:v>
      </x:c>
      <x:c r="K139" s="20" t="n">
        <x:v>1877.1887154914712</x:v>
      </x:c>
      <x:c r="L139" s="20" t="n">
        <x:f>(1-J139/VLOOKUP(E139,'口径说明'!$A$6:$E$8,4,FALSE))*100</x:f>
        <x:v>47.223282831936075</x:v>
      </x:c>
      <x:c r="M139" s="20" t="n">
        <x:f>VLOOKUP(E139,'口径说明'!$A$6:$E$8,2,FALSE)-G139</x:f>
        <x:v>21</x:v>
      </x:c>
      <x:c r="N139" s="22" t="n">
        <x:f>VLOOKUP(E139,'口径说明'!$A$6:$E$8,3,FALSE)-H139</x:f>
        <x:v>0.094</x:v>
      </x:c>
      <x:c r="O139" s="24" t="n">
        <x:f>VLOOKUP(E139,'口径说明'!$A$6:$E$8,4,FALSE)*(1-B139/100)-J139</x:f>
        <x:v>1.777862626554886</x:v>
      </x:c>
      <x:c r="P139" s="26" t="str">
        <x:f>IF(AND(M139&gt;=-0.0000001,N139&gt;=-0.0000001,O139&gt;=-0.0000001),"满足","不满足")</x:f>
        <x:v>满足</x:v>
      </x:c>
    </x:row>
    <x:row r="140" ht="44" customHeight="1">
      <x:c r="A140" s="15" t="str">
        <x:v>SC008</x:v>
      </x:c>
      <x:c r="B140" s="17" t="n">
        <x:v>25</x:v>
      </x:c>
      <x:c r="C140" s="15" t="str">
        <x:v>SC008-010</x:v>
      </x:c>
      <x:c r="D140" s="15" t="str">
        <x:v>S006</x:v>
      </x:c>
      <x:c r="E140" s="15" t="str">
        <x:v>C</x:v>
      </x:c>
      <x:c r="F140" s="16" t="str">
        <x:v>S006-MED-01; S006-WAT-01; S006-WAT-02; S006-WAT-03; S006-FOD-01; S006-HYG-01</x:v>
      </x:c>
      <x:c r="G140" s="21" t="n">
        <x:v>59</x:v>
      </x:c>
      <x:c r="H140" s="23" t="n">
        <x:v>0.156</x:v>
      </x:c>
      <x:c r="I140" s="21" t="n">
        <x:v>685.5526244866224</x:v>
      </x:c>
      <x:c r="J140" s="25" t="n">
        <x:v>2.5979362904386822</x:v>
      </x:c>
      <x:c r="K140" s="21" t="n">
        <x:v>1561.5526244866223</x:v>
      </x:c>
      <x:c r="L140" s="21" t="n">
        <x:f>(1-J140/VLOOKUP(E140,'口径说明'!$A$6:$E$8,4,FALSE))*100</x:f>
        <x:v>67.52579636951648</x:v>
      </x:c>
      <x:c r="M140" s="21" t="n">
        <x:f>VLOOKUP(E140,'口径说明'!$A$6:$E$8,2,FALSE)-G140</x:f>
        <x:v>21</x:v>
      </x:c>
      <x:c r="N140" s="23" t="n">
        <x:f>VLOOKUP(E140,'口径说明'!$A$6:$E$8,3,FALSE)-H140</x:f>
        <x:v>0.094</x:v>
      </x:c>
      <x:c r="O140" s="25" t="n">
        <x:f>VLOOKUP(E140,'口径说明'!$A$6:$E$8,4,FALSE)*(1-B140/100)-J140</x:f>
        <x:v>3.4020637095613178</x:v>
      </x:c>
      <x:c r="P140" s="27" t="str">
        <x:f>IF(AND(M140&gt;=-0.0000001,N140&gt;=-0.0000001,O140&gt;=-0.0000001),"满足","不满足")</x:f>
        <x:v>满足</x:v>
      </x:c>
    </x:row>
    <x:row r="141" ht="44" customHeight="1">
      <x:c r="A141" s="2" t="str">
        <x:v>SC008</x:v>
      </x:c>
      <x:c r="B141" s="14" t="n">
        <x:v>25</x:v>
      </x:c>
      <x:c r="C141" s="2" t="str">
        <x:v>SC008-011</x:v>
      </x:c>
      <x:c r="D141" s="2" t="str">
        <x:v>S007</x:v>
      </x:c>
      <x:c r="E141" s="2" t="str">
        <x:v>C</x:v>
      </x:c>
      <x:c r="F141" s="13" t="str">
        <x:v>S007-MED-01; S007-WAT-01; S007-WAT-02; S007-FOD-01; S007-HYG-01</x:v>
      </x:c>
      <x:c r="G141" s="20" t="n">
        <x:v>45</x:v>
      </x:c>
      <x:c r="H141" s="22" t="n">
        <x:v>0.129</x:v>
      </x:c>
      <x:c r="I141" s="20" t="n">
        <x:v>1097.600698410691</x:v>
      </x:c>
      <x:c r="J141" s="24" t="n">
        <x:v>3.4110038084433194</x:v>
      </x:c>
      <x:c r="K141" s="20" t="n">
        <x:v>1907.600698410691</x:v>
      </x:c>
      <x:c r="L141" s="20" t="n">
        <x:f>(1-J141/VLOOKUP(E141,'口径说明'!$A$6:$E$8,4,FALSE))*100</x:f>
        <x:v>57.36245239445851</x:v>
      </x:c>
      <x:c r="M141" s="20" t="n">
        <x:f>VLOOKUP(E141,'口径说明'!$A$6:$E$8,2,FALSE)-G141</x:f>
        <x:v>35</x:v>
      </x:c>
      <x:c r="N141" s="22" t="n">
        <x:f>VLOOKUP(E141,'口径说明'!$A$6:$E$8,3,FALSE)-H141</x:f>
        <x:v>0.121</x:v>
      </x:c>
      <x:c r="O141" s="24" t="n">
        <x:f>VLOOKUP(E141,'口径说明'!$A$6:$E$8,4,FALSE)*(1-B141/100)-J141</x:f>
        <x:v>2.5889961915566806</x:v>
      </x:c>
      <x:c r="P141" s="26" t="str">
        <x:f>IF(AND(M141&gt;=-0.0000001,N141&gt;=-0.0000001,O141&gt;=-0.0000001),"满足","不满足")</x:f>
        <x:v>满足</x:v>
      </x:c>
    </x:row>
    <x:row r="142" ht="44" customHeight="1">
      <x:c r="A142" s="15" t="str">
        <x:v>SC008</x:v>
      </x:c>
      <x:c r="B142" s="17" t="n">
        <x:v>25</x:v>
      </x:c>
      <x:c r="C142" s="15" t="str">
        <x:v>SC008-012</x:v>
      </x:c>
      <x:c r="D142" s="15" t="str">
        <x:v>S008</x:v>
      </x:c>
      <x:c r="E142" s="15" t="str">
        <x:v>C</x:v>
      </x:c>
      <x:c r="F142" s="16" t="str">
        <x:v>S008-MED-01; S008-WAT-01; S008-WAT-02; S008-FOD-01; S008-HYG-01</x:v>
      </x:c>
      <x:c r="G142" s="21" t="n">
        <x:v>45</x:v>
      </x:c>
      <x:c r="H142" s="23" t="n">
        <x:v>0.129</x:v>
      </x:c>
      <x:c r="I142" s="21" t="n">
        <x:v>1389.7115246008332</x:v>
      </x:c>
      <x:c r="J142" s="25" t="n">
        <x:v>5.836020667966359</x:v>
      </x:c>
      <x:c r="K142" s="21" t="n">
        <x:v>2199.7115246008334</x:v>
      </x:c>
      <x:c r="L142" s="21" t="n">
        <x:f>(1-J142/VLOOKUP(E142,'口径说明'!$A$6:$E$8,4,FALSE))*100</x:f>
        <x:v>27.04974165042051</x:v>
      </x:c>
      <x:c r="M142" s="21" t="n">
        <x:f>VLOOKUP(E142,'口径说明'!$A$6:$E$8,2,FALSE)-G142</x:f>
        <x:v>35</x:v>
      </x:c>
      <x:c r="N142" s="23" t="n">
        <x:f>VLOOKUP(E142,'口径说明'!$A$6:$E$8,3,FALSE)-H142</x:f>
        <x:v>0.121</x:v>
      </x:c>
      <x:c r="O142" s="25" t="n">
        <x:f>VLOOKUP(E142,'口径说明'!$A$6:$E$8,4,FALSE)*(1-B142/100)-J142</x:f>
        <x:v>0.1639793320336409</x:v>
      </x:c>
      <x:c r="P142" s="27" t="str">
        <x:f>IF(AND(M142&gt;=-0.0000001,N142&gt;=-0.0000001,O142&gt;=-0.0000001),"满足","不满足")</x:f>
        <x:v>满足</x:v>
      </x:c>
    </x:row>
    <x:row r="143" ht="30" customHeight="1">
      <x:c r="A143" s="2" t="str">
        <x:v>SC008</x:v>
      </x:c>
      <x:c r="B143" s="14" t="n">
        <x:v>25</x:v>
      </x:c>
      <x:c r="C143" s="2" t="str">
        <x:v>SC008-013</x:v>
      </x:c>
      <x:c r="D143" s="2" t="str">
        <x:v>S009</x:v>
      </x:c>
      <x:c r="E143" s="2" t="str">
        <x:v>B</x:v>
      </x:c>
      <x:c r="F143" s="13" t="str">
        <x:v>S009-MED-01; S009-WAT-01; S009-FOD-01</x:v>
      </x:c>
      <x:c r="G143" s="20" t="n">
        <x:v>25</x:v>
      </x:c>
      <x:c r="H143" s="22" t="n">
        <x:v>0.067</x:v>
      </x:c>
      <x:c r="I143" s="20" t="n">
        <x:v>928.4628643343575</x:v>
      </x:c>
      <x:c r="J143" s="24" t="n">
        <x:v>2.0962654017373348</x:v>
      </x:c>
      <x:c r="K143" s="20" t="n">
        <x:v>1558.4628643343576</x:v>
      </x:c>
      <x:c r="L143" s="20" t="n">
        <x:f>(1-J143/VLOOKUP(E143,'口径说明'!$A$6:$E$8,4,FALSE))*100</x:f>
        <x:v>47.59336495656663</x:v>
      </x:c>
      <x:c r="M143" s="20" t="n">
        <x:f>VLOOKUP(E143,'口径说明'!$A$6:$E$8,2,FALSE)-G143</x:f>
        <x:v>5</x:v>
      </x:c>
      <x:c r="N143" s="22" t="n">
        <x:f>VLOOKUP(E143,'口径说明'!$A$6:$E$8,3,FALSE)-H143</x:f>
        <x:v>0.0059999999999999915</x:v>
      </x:c>
      <x:c r="O143" s="24" t="n">
        <x:f>VLOOKUP(E143,'口径说明'!$A$6:$E$8,4,FALSE)*(1-B143/100)-J143</x:f>
        <x:v>0.9037345982626652</x:v>
      </x:c>
      <x:c r="P143" s="26" t="str">
        <x:f>IF(AND(M143&gt;=-0.0000001,N143&gt;=-0.0000001,O143&gt;=-0.0000001),"满足","不满足")</x:f>
        <x:v>满足</x:v>
      </x:c>
    </x:row>
    <x:row r="144" ht="30" customHeight="1">
      <x:c r="A144" s="15" t="str">
        <x:v>SC008</x:v>
      </x:c>
      <x:c r="B144" s="17" t="n">
        <x:v>25</x:v>
      </x:c>
      <x:c r="C144" s="15" t="str">
        <x:v>SC008-014</x:v>
      </x:c>
      <x:c r="D144" s="15" t="str">
        <x:v>S010</x:v>
      </x:c>
      <x:c r="E144" s="15" t="str">
        <x:v>B</x:v>
      </x:c>
      <x:c r="F144" s="16" t="str">
        <x:v>S010-MED-01; S010-WAT-01; S010-FOD-01</x:v>
      </x:c>
      <x:c r="G144" s="21" t="n">
        <x:v>25</x:v>
      </x:c>
      <x:c r="H144" s="23" t="n">
        <x:v>0.067</x:v>
      </x:c>
      <x:c r="I144" s="21" t="n">
        <x:v>925.4035197802174</x:v>
      </x:c>
      <x:c r="J144" s="25" t="n">
        <x:v>1.8232165642314142</x:v>
      </x:c>
      <x:c r="K144" s="21" t="n">
        <x:v>1555.4035197802173</x:v>
      </x:c>
      <x:c r="L144" s="21" t="n">
        <x:f>(1-J144/VLOOKUP(E144,'口径说明'!$A$6:$E$8,4,FALSE))*100</x:f>
        <x:v>54.41958589421465</x:v>
      </x:c>
      <x:c r="M144" s="21" t="n">
        <x:f>VLOOKUP(E144,'口径说明'!$A$6:$E$8,2,FALSE)-G144</x:f>
        <x:v>5</x:v>
      </x:c>
      <x:c r="N144" s="23" t="n">
        <x:f>VLOOKUP(E144,'口径说明'!$A$6:$E$8,3,FALSE)-H144</x:f>
        <x:v>0.0059999999999999915</x:v>
      </x:c>
      <x:c r="O144" s="25" t="n">
        <x:f>VLOOKUP(E144,'口径说明'!$A$6:$E$8,4,FALSE)*(1-B144/100)-J144</x:f>
        <x:v>1.1767834357685858</x:v>
      </x:c>
      <x:c r="P144" s="27" t="str">
        <x:f>IF(AND(M144&gt;=-0.0000001,N144&gt;=-0.0000001,O144&gt;=-0.0000001),"满足","不满足")</x:f>
        <x:v>满足</x:v>
      </x:c>
    </x:row>
    <x:row r="145" ht="30" customHeight="1">
      <x:c r="A145" s="2" t="str">
        <x:v>SC008</x:v>
      </x:c>
      <x:c r="B145" s="14" t="n">
        <x:v>25</x:v>
      </x:c>
      <x:c r="C145" s="2" t="str">
        <x:v>SC008-015</x:v>
      </x:c>
      <x:c r="D145" s="2" t="str">
        <x:v>S011</x:v>
      </x:c>
      <x:c r="E145" s="2" t="str">
        <x:v>B</x:v>
      </x:c>
      <x:c r="F145" s="13" t="str">
        <x:v>S011-MED-01; S011-WAT-01; S011-FOD-01</x:v>
      </x:c>
      <x:c r="G145" s="20" t="n">
        <x:v>25</x:v>
      </x:c>
      <x:c r="H145" s="22" t="n">
        <x:v>0.067</x:v>
      </x:c>
      <x:c r="I145" s="20" t="n">
        <x:v>558.4247628605204</x:v>
      </x:c>
      <x:c r="J145" s="24" t="n">
        <x:v>1.0739366863951034</x:v>
      </x:c>
      <x:c r="K145" s="20" t="n">
        <x:v>1188.4247628605203</x:v>
      </x:c>
      <x:c r="L145" s="20" t="n">
        <x:f>(1-J145/VLOOKUP(E145,'口径说明'!$A$6:$E$8,4,FALSE))*100</x:f>
        <x:v>73.15158284012242</x:v>
      </x:c>
      <x:c r="M145" s="20" t="n">
        <x:f>VLOOKUP(E145,'口径说明'!$A$6:$E$8,2,FALSE)-G145</x:f>
        <x:v>5</x:v>
      </x:c>
      <x:c r="N145" s="22" t="n">
        <x:f>VLOOKUP(E145,'口径说明'!$A$6:$E$8,3,FALSE)-H145</x:f>
        <x:v>0.0059999999999999915</x:v>
      </x:c>
      <x:c r="O145" s="24" t="n">
        <x:f>VLOOKUP(E145,'口径说明'!$A$6:$E$8,4,FALSE)*(1-B145/100)-J145</x:f>
        <x:v>1.9260633136048966</x:v>
      </x:c>
      <x:c r="P145" s="26" t="str">
        <x:f>IF(AND(M145&gt;=-0.0000001,N145&gt;=-0.0000001,O145&gt;=-0.0000001),"满足","不满足")</x:f>
        <x:v>满足</x:v>
      </x:c>
    </x:row>
    <x:row r="146" ht="30" customHeight="1">
      <x:c r="A146" s="15" t="str">
        <x:v>SC008</x:v>
      </x:c>
      <x:c r="B146" s="17" t="n">
        <x:v>25</x:v>
      </x:c>
      <x:c r="C146" s="15" t="str">
        <x:v>SC008-016</x:v>
      </x:c>
      <x:c r="D146" s="15" t="str">
        <x:v>S012</x:v>
      </x:c>
      <x:c r="E146" s="15" t="str">
        <x:v>B</x:v>
      </x:c>
      <x:c r="F146" s="16" t="str">
        <x:v>S012-MED-01; S012-WAT-01; S012-FOD-01</x:v>
      </x:c>
      <x:c r="G146" s="21" t="n">
        <x:v>25</x:v>
      </x:c>
      <x:c r="H146" s="23" t="n">
        <x:v>0.067</x:v>
      </x:c>
      <x:c r="I146" s="21" t="n">
        <x:v>1292.826814149187</x:v>
      </x:c>
      <x:c r="J146" s="25" t="n">
        <x:v>2.7525999542899324</x:v>
      </x:c>
      <x:c r="K146" s="21" t="n">
        <x:v>1922.826814149187</x:v>
      </x:c>
      <x:c r="L146" s="21" t="n">
        <x:f>(1-J146/VLOOKUP(E146,'口径说明'!$A$6:$E$8,4,FALSE))*100</x:f>
        <x:v>31.185001142751688</x:v>
      </x:c>
      <x:c r="M146" s="21" t="n">
        <x:f>VLOOKUP(E146,'口径说明'!$A$6:$E$8,2,FALSE)-G146</x:f>
        <x:v>5</x:v>
      </x:c>
      <x:c r="N146" s="23" t="n">
        <x:f>VLOOKUP(E146,'口径说明'!$A$6:$E$8,3,FALSE)-H146</x:f>
        <x:v>0.0059999999999999915</x:v>
      </x:c>
      <x:c r="O146" s="25" t="n">
        <x:f>VLOOKUP(E146,'口径说明'!$A$6:$E$8,4,FALSE)*(1-B146/100)-J146</x:f>
        <x:v>0.24740004571006757</x:v>
      </x:c>
      <x:c r="P146" s="27" t="str">
        <x:f>IF(AND(M146&gt;=-0.0000001,N146&gt;=-0.0000001,O146&gt;=-0.0000001),"满足","不满足")</x:f>
        <x:v>满足</x:v>
      </x:c>
    </x:row>
    <x:row r="147" ht="30" customHeight="1">
      <x:c r="A147" s="2" t="str">
        <x:v>SC008</x:v>
      </x:c>
      <x:c r="B147" s="14" t="n">
        <x:v>25</x:v>
      </x:c>
      <x:c r="C147" s="2" t="str">
        <x:v>SC008-017</x:v>
      </x:c>
      <x:c r="D147" s="2" t="str">
        <x:v>S013</x:v>
      </x:c>
      <x:c r="E147" s="2" t="str">
        <x:v>B</x:v>
      </x:c>
      <x:c r="F147" s="13" t="str">
        <x:v>S013-MED-01; S013-WAT-01; S013-FOD-01</x:v>
      </x:c>
      <x:c r="G147" s="20" t="n">
        <x:v>25</x:v>
      </x:c>
      <x:c r="H147" s="22" t="n">
        <x:v>0.067</x:v>
      </x:c>
      <x:c r="I147" s="20" t="n">
        <x:v>880.511588744525</x:v>
      </x:c>
      <x:c r="J147" s="24" t="n">
        <x:v>1.8248281910807471</x:v>
      </x:c>
      <x:c r="K147" s="20" t="n">
        <x:v>1510.511588744525</x:v>
      </x:c>
      <x:c r="L147" s="20" t="n">
        <x:f>(1-J147/VLOOKUP(E147,'口径说明'!$A$6:$E$8,4,FALSE))*100</x:f>
        <x:v>54.37929522298133</x:v>
      </x:c>
      <x:c r="M147" s="20" t="n">
        <x:f>VLOOKUP(E147,'口径说明'!$A$6:$E$8,2,FALSE)-G147</x:f>
        <x:v>5</x:v>
      </x:c>
      <x:c r="N147" s="22" t="n">
        <x:f>VLOOKUP(E147,'口径说明'!$A$6:$E$8,3,FALSE)-H147</x:f>
        <x:v>0.0059999999999999915</x:v>
      </x:c>
      <x:c r="O147" s="24" t="n">
        <x:f>VLOOKUP(E147,'口径说明'!$A$6:$E$8,4,FALSE)*(1-B147/100)-J147</x:f>
        <x:v>1.1751718089192529</x:v>
      </x:c>
      <x:c r="P147" s="26" t="str">
        <x:f>IF(AND(M147&gt;=-0.0000001,N147&gt;=-0.0000001,O147&gt;=-0.0000001),"满足","不满足")</x:f>
        <x:v>满足</x:v>
      </x:c>
    </x:row>
    <x:row r="148" ht="30" customHeight="1">
      <x:c r="A148" s="15" t="str">
        <x:v>SC008</x:v>
      </x:c>
      <x:c r="B148" s="17" t="n">
        <x:v>25</x:v>
      </x:c>
      <x:c r="C148" s="15" t="str">
        <x:v>SC008-018</x:v>
      </x:c>
      <x:c r="D148" s="15" t="str">
        <x:v>S014</x:v>
      </x:c>
      <x:c r="E148" s="15" t="str">
        <x:v>B</x:v>
      </x:c>
      <x:c r="F148" s="16" t="str">
        <x:v>S014-MED-01; S014-WAT-01; S014-FOD-01</x:v>
      </x:c>
      <x:c r="G148" s="21" t="n">
        <x:v>25</x:v>
      </x:c>
      <x:c r="H148" s="23" t="n">
        <x:v>0.067</x:v>
      </x:c>
      <x:c r="I148" s="21" t="n">
        <x:v>1239.7476752786913</x:v>
      </x:c>
      <x:c r="J148" s="25" t="n">
        <x:v>2.1402909781417883</x:v>
      </x:c>
      <x:c r="K148" s="21" t="n">
        <x:v>1869.7476752786913</x:v>
      </x:c>
      <x:c r="L148" s="21" t="n">
        <x:f>(1-J148/VLOOKUP(E148,'口径说明'!$A$6:$E$8,4,FALSE))*100</x:f>
        <x:v>46.49272554645529</x:v>
      </x:c>
      <x:c r="M148" s="21" t="n">
        <x:f>VLOOKUP(E148,'口径说明'!$A$6:$E$8,2,FALSE)-G148</x:f>
        <x:v>5</x:v>
      </x:c>
      <x:c r="N148" s="23" t="n">
        <x:f>VLOOKUP(E148,'口径说明'!$A$6:$E$8,3,FALSE)-H148</x:f>
        <x:v>0.0059999999999999915</x:v>
      </x:c>
      <x:c r="O148" s="25" t="n">
        <x:f>VLOOKUP(E148,'口径说明'!$A$6:$E$8,4,FALSE)*(1-B148/100)-J148</x:f>
        <x:v>0.8597090218582117</x:v>
      </x:c>
      <x:c r="P148" s="27" t="str">
        <x:f>IF(AND(M148&gt;=-0.0000001,N148&gt;=-0.0000001,O148&gt;=-0.0000001),"满足","不满足")</x:f>
        <x:v>满足</x:v>
      </x:c>
    </x:row>
    <x:row r="149" ht="30" customHeight="1">
      <x:c r="A149" s="2" t="str">
        <x:v>SC008</x:v>
      </x:c>
      <x:c r="B149" s="14" t="n">
        <x:v>25</x:v>
      </x:c>
      <x:c r="C149" s="2" t="str">
        <x:v>SC008-019</x:v>
      </x:c>
      <x:c r="D149" s="2" t="str">
        <x:v>S015</x:v>
      </x:c>
      <x:c r="E149" s="2" t="str">
        <x:v>B</x:v>
      </x:c>
      <x:c r="F149" s="13" t="str">
        <x:v>S015-MED-01; S015-WAT-01; S015-FOD-01</x:v>
      </x:c>
      <x:c r="G149" s="20" t="n">
        <x:v>25</x:v>
      </x:c>
      <x:c r="H149" s="22" t="n">
        <x:v>0.067</x:v>
      </x:c>
      <x:c r="I149" s="20" t="n">
        <x:v>1198.3275601736595</x:v>
      </x:c>
      <x:c r="J149" s="24" t="n">
        <x:v>2.307528505752516</x:v>
      </x:c>
      <x:c r="K149" s="20" t="n">
        <x:v>1828.3275601736595</x:v>
      </x:c>
      <x:c r="L149" s="20" t="n">
        <x:f>(1-J149/VLOOKUP(E149,'口径说明'!$A$6:$E$8,4,FALSE))*100</x:f>
        <x:v>42.311787356187104</x:v>
      </x:c>
      <x:c r="M149" s="20" t="n">
        <x:f>VLOOKUP(E149,'口径说明'!$A$6:$E$8,2,FALSE)-G149</x:f>
        <x:v>5</x:v>
      </x:c>
      <x:c r="N149" s="22" t="n">
        <x:f>VLOOKUP(E149,'口径说明'!$A$6:$E$8,3,FALSE)-H149</x:f>
        <x:v>0.0059999999999999915</x:v>
      </x:c>
      <x:c r="O149" s="24" t="n">
        <x:f>VLOOKUP(E149,'口径说明'!$A$6:$E$8,4,FALSE)*(1-B149/100)-J149</x:f>
        <x:v>0.6924714942474841</x:v>
      </x:c>
      <x:c r="P149" s="26" t="str">
        <x:f>IF(AND(M149&gt;=-0.0000001,N149&gt;=-0.0000001,O149&gt;=-0.0000001),"满足","不满足")</x:f>
        <x:v>满足</x:v>
      </x:c>
    </x:row>
    <x:row r="150" ht="61" customHeight="1">
      <x:c r="A150" s="15" t="str">
        <x:v>SC009</x:v>
      </x:c>
      <x:c r="B150" s="17" t="n">
        <x:v>27.5</x:v>
      </x:c>
      <x:c r="C150" s="15" t="str">
        <x:v>SC009-001</x:v>
      </x:c>
      <x:c r="D150" s="15" t="str">
        <x:v>S001</x:v>
      </x:c>
      <x:c r="E150" s="15" t="str">
        <x:v>C</x:v>
      </x:c>
      <x:c r="F150" s="16" t="str">
        <x:v>S001-WAT-01; S001-WAT-02; S001-WAT-03; S001-FOD-01; S001-FOD-02; S001-FOD-03; S001-HYG-01; S001-HYG-02</x:v>
      </x:c>
      <x:c r="G150" s="21" t="n">
        <x:v>78</x:v>
      </x:c>
      <x:c r="H150" s="23" t="n">
        <x:v>0.235</x:v>
      </x:c>
      <x:c r="I150" s="21" t="n">
        <x:v>618.1750458620229</x:v>
      </x:c>
      <x:c r="J150" s="25" t="n">
        <x:v>2.9957758049046697</x:v>
      </x:c>
      <x:c r="K150" s="21" t="n">
        <x:v>1626.175045862023</x:v>
      </x:c>
      <x:c r="L150" s="21" t="n">
        <x:f>(1-J150/VLOOKUP(E150,'口径说明'!$A$6:$E$8,4,FALSE))*100</x:f>
        <x:v>62.552802438691636</x:v>
      </x:c>
      <x:c r="M150" s="21" t="n">
        <x:f>VLOOKUP(E150,'口径说明'!$A$6:$E$8,2,FALSE)-G150</x:f>
        <x:v>2</x:v>
      </x:c>
      <x:c r="N150" s="23" t="n">
        <x:f>VLOOKUP(E150,'口径说明'!$A$6:$E$8,3,FALSE)-H150</x:f>
        <x:v>0.015000000000000013</x:v>
      </x:c>
      <x:c r="O150" s="25" t="n">
        <x:f>VLOOKUP(E150,'口径说明'!$A$6:$E$8,4,FALSE)*(1-B150/100)-J150</x:f>
        <x:v>2.80422419509533</x:v>
      </x:c>
      <x:c r="P150" s="27" t="str">
        <x:f>IF(AND(M150&gt;=-0.0000001,N150&gt;=-0.0000001,O150&gt;=-0.0000001),"满足","不满足")</x:f>
        <x:v>满足</x:v>
      </x:c>
    </x:row>
    <x:row r="151" ht="44" customHeight="1">
      <x:c r="A151" s="2" t="str">
        <x:v>SC009</x:v>
      </x:c>
      <x:c r="B151" s="14" t="n">
        <x:v>27.5</x:v>
      </x:c>
      <x:c r="C151" s="2" t="str">
        <x:v>SC009-002</x:v>
      </x:c>
      <x:c r="D151" s="2" t="str">
        <x:v>S001</x:v>
      </x:c>
      <x:c r="E151" s="2" t="str">
        <x:v>C</x:v>
      </x:c>
      <x:c r="F151" s="13" t="str">
        <x:v>S001-MED-01; S001-MED-02; S001-WAT-04; S001-WAT-05; S001-WAT-06; S001-WAT-07; S001-WAT-08</x:v>
      </x:c>
      <x:c r="G151" s="20" t="n">
        <x:v>76</x:v>
      </x:c>
      <x:c r="H151" s="22" t="n">
        <x:v>0.159</x:v>
      </x:c>
      <x:c r="I151" s="20" t="n">
        <x:v>618.1750458620229</x:v>
      </x:c>
      <x:c r="J151" s="24" t="n">
        <x:v>2.917588095586827</x:v>
      </x:c>
      <x:c r="K151" s="20" t="n">
        <x:v>1560.175045862023</x:v>
      </x:c>
      <x:c r="L151" s="20" t="n">
        <x:f>(1-J151/VLOOKUP(E151,'口径说明'!$A$6:$E$8,4,FALSE))*100</x:f>
        <x:v>63.53014880516466</x:v>
      </x:c>
      <x:c r="M151" s="20" t="n">
        <x:f>VLOOKUP(E151,'口径说明'!$A$6:$E$8,2,FALSE)-G151</x:f>
        <x:v>4</x:v>
      </x:c>
      <x:c r="N151" s="22" t="n">
        <x:f>VLOOKUP(E151,'口径说明'!$A$6:$E$8,3,FALSE)-H151</x:f>
        <x:v>0.091</x:v>
      </x:c>
      <x:c r="O151" s="24" t="n">
        <x:f>VLOOKUP(E151,'口径说明'!$A$6:$E$8,4,FALSE)*(1-B151/100)-J151</x:f>
        <x:v>2.8824119044131726</x:v>
      </x:c>
      <x:c r="P151" s="26" t="str">
        <x:f>IF(AND(M151&gt;=-0.0000001,N151&gt;=-0.0000001,O151&gt;=-0.0000001),"满足","不满足")</x:f>
        <x:v>满足</x:v>
      </x:c>
    </x:row>
    <x:row r="152" ht="30" customHeight="1">
      <x:c r="A152" s="15" t="str">
        <x:v>SC009</x:v>
      </x:c>
      <x:c r="B152" s="17" t="n">
        <x:v>27.5</x:v>
      </x:c>
      <x:c r="C152" s="15" t="str">
        <x:v>SC009-003</x:v>
      </x:c>
      <x:c r="D152" s="15" t="str">
        <x:v>S002</x:v>
      </x:c>
      <x:c r="E152" s="15" t="str">
        <x:v>B</x:v>
      </x:c>
      <x:c r="F152" s="16" t="str">
        <x:v>S002-MED-01; S002-WAT-01; S002-FOD-01</x:v>
      </x:c>
      <x:c r="G152" s="21" t="n">
        <x:v>25</x:v>
      </x:c>
      <x:c r="H152" s="23" t="n">
        <x:v>0.067</x:v>
      </x:c>
      <x:c r="I152" s="21" t="n">
        <x:v>1186.7240813077576</x:v>
      </x:c>
      <x:c r="J152" s="25" t="n">
        <x:v>2.7134729412419873</x:v>
      </x:c>
      <x:c r="K152" s="21" t="n">
        <x:v>1816.7240813077576</x:v>
      </x:c>
      <x:c r="L152" s="21" t="n">
        <x:f>(1-J152/VLOOKUP(E152,'口径说明'!$A$6:$E$8,4,FALSE))*100</x:f>
        <x:v>32.16317646895032</x:v>
      </x:c>
      <x:c r="M152" s="21" t="n">
        <x:f>VLOOKUP(E152,'口径说明'!$A$6:$E$8,2,FALSE)-G152</x:f>
        <x:v>5</x:v>
      </x:c>
      <x:c r="N152" s="23" t="n">
        <x:f>VLOOKUP(E152,'口径说明'!$A$6:$E$8,3,FALSE)-H152</x:f>
        <x:v>0.0059999999999999915</x:v>
      </x:c>
      <x:c r="O152" s="25" t="n">
        <x:f>VLOOKUP(E152,'口径说明'!$A$6:$E$8,4,FALSE)*(1-B152/100)-J152</x:f>
        <x:v>0.18652705875801256</x:v>
      </x:c>
      <x:c r="P152" s="27" t="str">
        <x:f>IF(AND(M152&gt;=-0.0000001,N152&gt;=-0.0000001,O152&gt;=-0.0000001),"满足","不满足")</x:f>
        <x:v>满足</x:v>
      </x:c>
    </x:row>
    <x:row r="153" ht="44" customHeight="1">
      <x:c r="A153" s="2" t="str">
        <x:v>SC009</x:v>
      </x:c>
      <x:c r="B153" s="14" t="n">
        <x:v>27.5</x:v>
      </x:c>
      <x:c r="C153" s="2" t="str">
        <x:v>SC009-004</x:v>
      </x:c>
      <x:c r="D153" s="2" t="str">
        <x:v>S002</x:v>
      </x:c>
      <x:c r="E153" s="2" t="str">
        <x:v>C</x:v>
      </x:c>
      <x:c r="F153" s="13" t="str">
        <x:v>S002-WAT-02; S002-WAT-03; S002-WAT-04; S002-FOD-02; S002-HYG-01</x:v>
      </x:c>
      <x:c r="G153" s="20" t="n">
        <x:v>56</x:v>
      </x:c>
      <x:c r="H153" s="22" t="n">
        <x:v>0.144</x:v>
      </x:c>
      <x:c r="I153" s="20" t="n">
        <x:v>1231.8421660245544</x:v>
      </x:c>
      <x:c r="J153" s="24" t="n">
        <x:v>5.721356203945945</x:v>
      </x:c>
      <x:c r="K153" s="20" t="n">
        <x:v>2041.8421660245544</x:v>
      </x:c>
      <x:c r="L153" s="20" t="n">
        <x:f>(1-J153/VLOOKUP(E153,'口径说明'!$A$6:$E$8,4,FALSE))*100</x:f>
        <x:v>28.48304745067569</x:v>
      </x:c>
      <x:c r="M153" s="20" t="n">
        <x:f>VLOOKUP(E153,'口径说明'!$A$6:$E$8,2,FALSE)-G153</x:f>
        <x:v>24</x:v>
      </x:c>
      <x:c r="N153" s="22" t="n">
        <x:f>VLOOKUP(E153,'口径说明'!$A$6:$E$8,3,FALSE)-H153</x:f>
        <x:v>0.10600000000000001</x:v>
      </x:c>
      <x:c r="O153" s="24" t="n">
        <x:f>VLOOKUP(E153,'口径说明'!$A$6:$E$8,4,FALSE)*(1-B153/100)-J153</x:f>
        <x:v>0.07864379605405514</x:v>
      </x:c>
      <x:c r="P153" s="26" t="str">
        <x:f>IF(AND(M153&gt;=-0.0000001,N153&gt;=-0.0000001,O153&gt;=-0.0000001),"满足","不满足")</x:f>
        <x:v>满足</x:v>
      </x:c>
    </x:row>
    <x:row r="154" ht="30" customHeight="1">
      <x:c r="A154" s="15" t="str">
        <x:v>SC009</x:v>
      </x:c>
      <x:c r="B154" s="17" t="n">
        <x:v>27.5</x:v>
      </x:c>
      <x:c r="C154" s="15" t="str">
        <x:v>SC009-005</x:v>
      </x:c>
      <x:c r="D154" s="15" t="str">
        <x:v>S003</x:v>
      </x:c>
      <x:c r="E154" s="15" t="str">
        <x:v>B</x:v>
      </x:c>
      <x:c r="F154" s="16" t="str">
        <x:v>S003-MED-01; S003-WAT-01; S003-FOD-01</x:v>
      </x:c>
      <x:c r="G154" s="21" t="n">
        <x:v>25</x:v>
      </x:c>
      <x:c r="H154" s="23" t="n">
        <x:v>0.067</x:v>
      </x:c>
      <x:c r="I154" s="21" t="n">
        <x:v>1450.6096650380623</x:v>
      </x:c>
      <x:c r="J154" s="25" t="n">
        <x:v>2.7800780342326075</x:v>
      </x:c>
      <x:c r="K154" s="21" t="n">
        <x:v>2080.6096650380623</x:v>
      </x:c>
      <x:c r="L154" s="21" t="n">
        <x:f>(1-J154/VLOOKUP(E154,'口径说明'!$A$6:$E$8,4,FALSE))*100</x:f>
        <x:v>30.49804914418481</x:v>
      </x:c>
      <x:c r="M154" s="21" t="n">
        <x:f>VLOOKUP(E154,'口径说明'!$A$6:$E$8,2,FALSE)-G154</x:f>
        <x:v>5</x:v>
      </x:c>
      <x:c r="N154" s="23" t="n">
        <x:f>VLOOKUP(E154,'口径说明'!$A$6:$E$8,3,FALSE)-H154</x:f>
        <x:v>0.0059999999999999915</x:v>
      </x:c>
      <x:c r="O154" s="25" t="n">
        <x:f>VLOOKUP(E154,'口径说明'!$A$6:$E$8,4,FALSE)*(1-B154/100)-J154</x:f>
        <x:v>0.11992196576739245</x:v>
      </x:c>
      <x:c r="P154" s="27" t="str">
        <x:f>IF(AND(M154&gt;=-0.0000001,N154&gt;=-0.0000001,O154&gt;=-0.0000001),"满足","不满足")</x:f>
        <x:v>满足</x:v>
      </x:c>
    </x:row>
    <x:row r="155" ht="44" customHeight="1">
      <x:c r="A155" s="2" t="str">
        <x:v>SC009</x:v>
      </x:c>
      <x:c r="B155" s="14" t="n">
        <x:v>27.5</x:v>
      </x:c>
      <x:c r="C155" s="2" t="str">
        <x:v>SC009-006</x:v>
      </x:c>
      <x:c r="D155" s="2" t="str">
        <x:v>S003</x:v>
      </x:c>
      <x:c r="E155" s="2" t="str">
        <x:v>C</x:v>
      </x:c>
      <x:c r="F155" s="13" t="str">
        <x:v>S003-WAT-02; S003-WAT-03; S003-WAT-04; S003-FOD-02; S003-HYG-01</x:v>
      </x:c>
      <x:c r="G155" s="20" t="n">
        <x:v>56</x:v>
      </x:c>
      <x:c r="H155" s="22" t="n">
        <x:v>0.144</x:v>
      </x:c>
      <x:c r="I155" s="20" t="n">
        <x:v>1560.1777110992603</x:v>
      </x:c>
      <x:c r="J155" s="24" t="n">
        <x:v>5.7653646949838375</x:v>
      </x:c>
      <x:c r="K155" s="20" t="n">
        <x:v>2370.1777110992603</x:v>
      </x:c>
      <x:c r="L155" s="20" t="n">
        <x:f>(1-J155/VLOOKUP(E155,'口径说明'!$A$6:$E$8,4,FALSE))*100</x:f>
        <x:v>27.93294131270203</x:v>
      </x:c>
      <x:c r="M155" s="20" t="n">
        <x:f>VLOOKUP(E155,'口径说明'!$A$6:$E$8,2,FALSE)-G155</x:f>
        <x:v>24</x:v>
      </x:c>
      <x:c r="N155" s="22" t="n">
        <x:f>VLOOKUP(E155,'口径说明'!$A$6:$E$8,3,FALSE)-H155</x:f>
        <x:v>0.10600000000000001</x:v>
      </x:c>
      <x:c r="O155" s="24" t="n">
        <x:f>VLOOKUP(E155,'口径说明'!$A$6:$E$8,4,FALSE)*(1-B155/100)-J155</x:f>
        <x:v>0.0346353050161623</x:v>
      </x:c>
      <x:c r="P155" s="26" t="str">
        <x:f>IF(AND(M155&gt;=-0.0000001,N155&gt;=-0.0000001,O155&gt;=-0.0000001),"满足","不满足")</x:f>
        <x:v>满足</x:v>
      </x:c>
    </x:row>
    <x:row r="156" ht="30" customHeight="1">
      <x:c r="A156" s="15" t="str">
        <x:v>SC009</x:v>
      </x:c>
      <x:c r="B156" s="17" t="n">
        <x:v>27.5</x:v>
      </x:c>
      <x:c r="C156" s="15" t="str">
        <x:v>SC009-007</x:v>
      </x:c>
      <x:c r="D156" s="15" t="str">
        <x:v>S004</x:v>
      </x:c>
      <x:c r="E156" s="15" t="str">
        <x:v>B</x:v>
      </x:c>
      <x:c r="F156" s="16" t="str">
        <x:v>S004-MED-01; S004-WAT-01</x:v>
      </x:c>
      <x:c r="G156" s="21" t="n">
        <x:v>17</x:v>
      </x:c>
      <x:c r="H156" s="23" t="n">
        <x:v>0.039</x:v>
      </x:c>
      <x:c r="I156" s="21" t="n">
        <x:v>1351.641663352524</x:v>
      </x:c>
      <x:c r="J156" s="25" t="n">
        <x:v>2.5764747430256225</x:v>
      </x:c>
      <x:c r="K156" s="21" t="n">
        <x:v>1921.641663352524</x:v>
      </x:c>
      <x:c r="L156" s="21" t="n">
        <x:f>(1-J156/VLOOKUP(E156,'口径说明'!$A$6:$E$8,4,FALSE))*100</x:f>
        <x:v>35.58813142435944</x:v>
      </x:c>
      <x:c r="M156" s="21" t="n">
        <x:f>VLOOKUP(E156,'口径说明'!$A$6:$E$8,2,FALSE)-G156</x:f>
        <x:v>13</x:v>
      </x:c>
      <x:c r="N156" s="23" t="n">
        <x:f>VLOOKUP(E156,'口径说明'!$A$6:$E$8,3,FALSE)-H156</x:f>
        <x:v>0.033999999999999996</x:v>
      </x:c>
      <x:c r="O156" s="25" t="n">
        <x:f>VLOOKUP(E156,'口径说明'!$A$6:$E$8,4,FALSE)*(1-B156/100)-J156</x:f>
        <x:v>0.3235252569743774</x:v>
      </x:c>
      <x:c r="P156" s="27" t="str">
        <x:f>IF(AND(M156&gt;=-0.0000001,N156&gt;=-0.0000001,O156&gt;=-0.0000001),"满足","不满足")</x:f>
        <x:v>满足</x:v>
      </x:c>
    </x:row>
    <x:row r="157" ht="44" customHeight="1">
      <x:c r="A157" s="2" t="str">
        <x:v>SC009</x:v>
      </x:c>
      <x:c r="B157" s="14" t="n">
        <x:v>27.5</x:v>
      </x:c>
      <x:c r="C157" s="2" t="str">
        <x:v>SC009-008</x:v>
      </x:c>
      <x:c r="D157" s="2" t="str">
        <x:v>S004</x:v>
      </x:c>
      <x:c r="E157" s="2" t="str">
        <x:v>C</x:v>
      </x:c>
      <x:c r="F157" s="13" t="str">
        <x:v>S004-WAT-02; S004-WAT-03; S004-FOD-01; S004-HYG-01</x:v>
      </x:c>
      <x:c r="G157" s="20" t="n">
        <x:v>42</x:v>
      </x:c>
      <x:c r="H157" s="22" t="n">
        <x:v>0.117</x:v>
      </x:c>
      <x:c r="I157" s="20" t="n">
        <x:v>1425.0547187724458</x:v>
      </x:c>
      <x:c r="J157" s="24" t="n">
        <x:v>5.5184362177342665</x:v>
      </x:c>
      <x:c r="K157" s="20" t="n">
        <x:v>2169.054718772446</x:v>
      </x:c>
      <x:c r="L157" s="20" t="n">
        <x:f>(1-J157/VLOOKUP(E157,'口径说明'!$A$6:$E$8,4,FALSE))*100</x:f>
        <x:v>31.019547278321667</x:v>
      </x:c>
      <x:c r="M157" s="20" t="n">
        <x:f>VLOOKUP(E157,'口径说明'!$A$6:$E$8,2,FALSE)-G157</x:f>
        <x:v>38</x:v>
      </x:c>
      <x:c r="N157" s="22" t="n">
        <x:f>VLOOKUP(E157,'口径说明'!$A$6:$E$8,3,FALSE)-H157</x:f>
        <x:v>0.133</x:v>
      </x:c>
      <x:c r="O157" s="24" t="n">
        <x:f>VLOOKUP(E157,'口径说明'!$A$6:$E$8,4,FALSE)*(1-B157/100)-J157</x:f>
        <x:v>0.2815637822657333</x:v>
      </x:c>
      <x:c r="P157" s="26" t="str">
        <x:f>IF(AND(M157&gt;=-0.0000001,N157&gt;=-0.0000001,O157&gt;=-0.0000001),"满足","不满足")</x:f>
        <x:v>满足</x:v>
      </x:c>
    </x:row>
    <x:row r="158" ht="44" customHeight="1">
      <x:c r="A158" s="15" t="str">
        <x:v>SC009</x:v>
      </x:c>
      <x:c r="B158" s="17" t="n">
        <x:v>27.5</x:v>
      </x:c>
      <x:c r="C158" s="15" t="str">
        <x:v>SC009-009</x:v>
      </x:c>
      <x:c r="D158" s="15" t="str">
        <x:v>S005</x:v>
      </x:c>
      <x:c r="E158" s="15" t="str">
        <x:v>C</x:v>
      </x:c>
      <x:c r="F158" s="16" t="str">
        <x:v>S005-MED-01; S005-WAT-01; S005-WAT-02; S005-WAT-03; S005-FOD-01; S005-HYG-01</x:v>
      </x:c>
      <x:c r="G158" s="21" t="n">
        <x:v>59</x:v>
      </x:c>
      <x:c r="H158" s="23" t="n">
        <x:v>0.156</x:v>
      </x:c>
      <x:c r="I158" s="21" t="n">
        <x:v>1001.1887154914712</x:v>
      </x:c>
      <x:c r="J158" s="25" t="n">
        <x:v>4.222137373445114</x:v>
      </x:c>
      <x:c r="K158" s="21" t="n">
        <x:v>1877.1887154914712</x:v>
      </x:c>
      <x:c r="L158" s="21" t="n">
        <x:f>(1-J158/VLOOKUP(E158,'口径说明'!$A$6:$E$8,4,FALSE))*100</x:f>
        <x:v>47.223282831936075</x:v>
      </x:c>
      <x:c r="M158" s="21" t="n">
        <x:f>VLOOKUP(E158,'口径说明'!$A$6:$E$8,2,FALSE)-G158</x:f>
        <x:v>21</x:v>
      </x:c>
      <x:c r="N158" s="23" t="n">
        <x:f>VLOOKUP(E158,'口径说明'!$A$6:$E$8,3,FALSE)-H158</x:f>
        <x:v>0.094</x:v>
      </x:c>
      <x:c r="O158" s="25" t="n">
        <x:f>VLOOKUP(E158,'口径说明'!$A$6:$E$8,4,FALSE)*(1-B158/100)-J158</x:f>
        <x:v>1.5778626265548858</x:v>
      </x:c>
      <x:c r="P158" s="27" t="str">
        <x:f>IF(AND(M158&gt;=-0.0000001,N158&gt;=-0.0000001,O158&gt;=-0.0000001),"满足","不满足")</x:f>
        <x:v>满足</x:v>
      </x:c>
    </x:row>
    <x:row r="159" ht="44" customHeight="1">
      <x:c r="A159" s="2" t="str">
        <x:v>SC009</x:v>
      </x:c>
      <x:c r="B159" s="14" t="n">
        <x:v>27.5</x:v>
      </x:c>
      <x:c r="C159" s="2" t="str">
        <x:v>SC009-010</x:v>
      </x:c>
      <x:c r="D159" s="2" t="str">
        <x:v>S006</x:v>
      </x:c>
      <x:c r="E159" s="2" t="str">
        <x:v>C</x:v>
      </x:c>
      <x:c r="F159" s="13" t="str">
        <x:v>S006-MED-01; S006-WAT-01; S006-WAT-02; S006-WAT-03; S006-FOD-01; S006-HYG-01</x:v>
      </x:c>
      <x:c r="G159" s="20" t="n">
        <x:v>59</x:v>
      </x:c>
      <x:c r="H159" s="22" t="n">
        <x:v>0.156</x:v>
      </x:c>
      <x:c r="I159" s="20" t="n">
        <x:v>685.5526244866224</x:v>
      </x:c>
      <x:c r="J159" s="24" t="n">
        <x:v>2.5979362904386822</x:v>
      </x:c>
      <x:c r="K159" s="20" t="n">
        <x:v>1561.5526244866223</x:v>
      </x:c>
      <x:c r="L159" s="20" t="n">
        <x:f>(1-J159/VLOOKUP(E159,'口径说明'!$A$6:$E$8,4,FALSE))*100</x:f>
        <x:v>67.52579636951648</x:v>
      </x:c>
      <x:c r="M159" s="20" t="n">
        <x:f>VLOOKUP(E159,'口径说明'!$A$6:$E$8,2,FALSE)-G159</x:f>
        <x:v>21</x:v>
      </x:c>
      <x:c r="N159" s="22" t="n">
        <x:f>VLOOKUP(E159,'口径说明'!$A$6:$E$8,3,FALSE)-H159</x:f>
        <x:v>0.094</x:v>
      </x:c>
      <x:c r="O159" s="24" t="n">
        <x:f>VLOOKUP(E159,'口径说明'!$A$6:$E$8,4,FALSE)*(1-B159/100)-J159</x:f>
        <x:v>3.2020637095613176</x:v>
      </x:c>
      <x:c r="P159" s="26" t="str">
        <x:f>IF(AND(M159&gt;=-0.0000001,N159&gt;=-0.0000001,O159&gt;=-0.0000001),"满足","不满足")</x:f>
        <x:v>满足</x:v>
      </x:c>
    </x:row>
    <x:row r="160" ht="44" customHeight="1">
      <x:c r="A160" s="15" t="str">
        <x:v>SC009</x:v>
      </x:c>
      <x:c r="B160" s="17" t="n">
        <x:v>27.5</x:v>
      </x:c>
      <x:c r="C160" s="15" t="str">
        <x:v>SC009-011</x:v>
      </x:c>
      <x:c r="D160" s="15" t="str">
        <x:v>S007</x:v>
      </x:c>
      <x:c r="E160" s="15" t="str">
        <x:v>C</x:v>
      </x:c>
      <x:c r="F160" s="16" t="str">
        <x:v>S007-MED-01; S007-WAT-01; S007-WAT-02; S007-FOD-01; S007-HYG-01</x:v>
      </x:c>
      <x:c r="G160" s="21" t="n">
        <x:v>45</x:v>
      </x:c>
      <x:c r="H160" s="23" t="n">
        <x:v>0.129</x:v>
      </x:c>
      <x:c r="I160" s="21" t="n">
        <x:v>1097.600698410691</x:v>
      </x:c>
      <x:c r="J160" s="25" t="n">
        <x:v>3.4110038084433194</x:v>
      </x:c>
      <x:c r="K160" s="21" t="n">
        <x:v>1907.600698410691</x:v>
      </x:c>
      <x:c r="L160" s="21" t="n">
        <x:f>(1-J160/VLOOKUP(E160,'口径说明'!$A$6:$E$8,4,FALSE))*100</x:f>
        <x:v>57.36245239445851</x:v>
      </x:c>
      <x:c r="M160" s="21" t="n">
        <x:f>VLOOKUP(E160,'口径说明'!$A$6:$E$8,2,FALSE)-G160</x:f>
        <x:v>35</x:v>
      </x:c>
      <x:c r="N160" s="23" t="n">
        <x:f>VLOOKUP(E160,'口径说明'!$A$6:$E$8,3,FALSE)-H160</x:f>
        <x:v>0.121</x:v>
      </x:c>
      <x:c r="O160" s="25" t="n">
        <x:f>VLOOKUP(E160,'口径说明'!$A$6:$E$8,4,FALSE)*(1-B160/100)-J160</x:f>
        <x:v>2.3889961915566804</x:v>
      </x:c>
      <x:c r="P160" s="27" t="str">
        <x:f>IF(AND(M160&gt;=-0.0000001,N160&gt;=-0.0000001,O160&gt;=-0.0000001),"满足","不满足")</x:f>
        <x:v>满足</x:v>
      </x:c>
    </x:row>
    <x:row r="161" ht="30" customHeight="1">
      <x:c r="A161" s="2" t="str">
        <x:v>SC009</x:v>
      </x:c>
      <x:c r="B161" s="14" t="n">
        <x:v>27.5</x:v>
      </x:c>
      <x:c r="C161" s="2" t="str">
        <x:v>SC009-012</x:v>
      </x:c>
      <x:c r="D161" s="2" t="str">
        <x:v>S008</x:v>
      </x:c>
      <x:c r="E161" s="2" t="str">
        <x:v>B</x:v>
      </x:c>
      <x:c r="F161" s="13" t="str">
        <x:v>S008-FOD-01; S008-HYG-01</x:v>
      </x:c>
      <x:c r="G161" s="20" t="n">
        <x:v>14</x:v>
      </x:c>
      <x:c r="H161" s="22" t="n">
        <x:v>0.063</x:v>
      </x:c>
      <x:c r="I161" s="20" t="n">
        <x:v>1331.841747175703</x:v>
      </x:c>
      <x:c r="J161" s="24" t="n">
        <x:v>2.5893362522722065</x:v>
      </x:c>
      <x:c r="K161" s="20" t="n">
        <x:v>1901.841747175703</x:v>
      </x:c>
      <x:c r="L161" s="20" t="n">
        <x:f>(1-J161/VLOOKUP(E161,'口径说明'!$A$6:$E$8,4,FALSE))*100</x:f>
        <x:v>35.266593693194835</x:v>
      </x:c>
      <x:c r="M161" s="20" t="n">
        <x:f>VLOOKUP(E161,'口径说明'!$A$6:$E$8,2,FALSE)-G161</x:f>
        <x:v>16</x:v>
      </x:c>
      <x:c r="N161" s="22" t="n">
        <x:f>VLOOKUP(E161,'口径说明'!$A$6:$E$8,3,FALSE)-H161</x:f>
        <x:v>0.009999999999999995</x:v>
      </x:c>
      <x:c r="O161" s="24" t="n">
        <x:f>VLOOKUP(E161,'口径说明'!$A$6:$E$8,4,FALSE)*(1-B161/100)-J161</x:f>
        <x:v>0.31066374772779337</x:v>
      </x:c>
      <x:c r="P161" s="26" t="str">
        <x:f>IF(AND(M161&gt;=-0.0000001,N161&gt;=-0.0000001,O161&gt;=-0.0000001),"满足","不满足")</x:f>
        <x:v>满足</x:v>
      </x:c>
    </x:row>
    <x:row r="162" ht="30" customHeight="1">
      <x:c r="A162" s="15" t="str">
        <x:v>SC009</x:v>
      </x:c>
      <x:c r="B162" s="17" t="n">
        <x:v>27.5</x:v>
      </x:c>
      <x:c r="C162" s="15" t="str">
        <x:v>SC009-013</x:v>
      </x:c>
      <x:c r="D162" s="15" t="str">
        <x:v>S008</x:v>
      </x:c>
      <x:c r="E162" s="15" t="str">
        <x:v>C</x:v>
      </x:c>
      <x:c r="F162" s="16" t="str">
        <x:v>S008-MED-01; S008-WAT-01; S008-WAT-02</x:v>
      </x:c>
      <x:c r="G162" s="21" t="n">
        <x:v>31</x:v>
      </x:c>
      <x:c r="H162" s="23" t="n">
        <x:v>0.066</x:v>
      </x:c>
      <x:c r="I162" s="21" t="n">
        <x:v>1389.7115246008332</x:v>
      </x:c>
      <x:c r="J162" s="25" t="n">
        <x:v>5.463424931151853</x:v>
      </x:c>
      <x:c r="K162" s="21" t="n">
        <x:v>2067.7115246008334</x:v>
      </x:c>
      <x:c r="L162" s="21" t="n">
        <x:f>(1-J162/VLOOKUP(E162,'口径说明'!$A$6:$E$8,4,FALSE))*100</x:f>
        <x:v>31.707188360601833</x:v>
      </x:c>
      <x:c r="M162" s="21" t="n">
        <x:f>VLOOKUP(E162,'口径说明'!$A$6:$E$8,2,FALSE)-G162</x:f>
        <x:v>49</x:v>
      </x:c>
      <x:c r="N162" s="23" t="n">
        <x:f>VLOOKUP(E162,'口径说明'!$A$6:$E$8,3,FALSE)-H162</x:f>
        <x:v>0.184</x:v>
      </x:c>
      <x:c r="O162" s="25" t="n">
        <x:f>VLOOKUP(E162,'口径说明'!$A$6:$E$8,4,FALSE)*(1-B162/100)-J162</x:f>
        <x:v>0.3365750688481466</x:v>
      </x:c>
      <x:c r="P162" s="27" t="str">
        <x:f>IF(AND(M162&gt;=-0.0000001,N162&gt;=-0.0000001,O162&gt;=-0.0000001),"满足","不满足")</x:f>
        <x:v>满足</x:v>
      </x:c>
    </x:row>
    <x:row r="163" ht="30" customHeight="1">
      <x:c r="A163" s="2" t="str">
        <x:v>SC009</x:v>
      </x:c>
      <x:c r="B163" s="14" t="n">
        <x:v>27.5</x:v>
      </x:c>
      <x:c r="C163" s="2" t="str">
        <x:v>SC009-014</x:v>
      </x:c>
      <x:c r="D163" s="2" t="str">
        <x:v>S009</x:v>
      </x:c>
      <x:c r="E163" s="2" t="str">
        <x:v>B</x:v>
      </x:c>
      <x:c r="F163" s="13" t="str">
        <x:v>S009-MED-01; S009-WAT-01; S009-FOD-01</x:v>
      </x:c>
      <x:c r="G163" s="20" t="n">
        <x:v>25</x:v>
      </x:c>
      <x:c r="H163" s="22" t="n">
        <x:v>0.067</x:v>
      </x:c>
      <x:c r="I163" s="20" t="n">
        <x:v>928.4628643343575</x:v>
      </x:c>
      <x:c r="J163" s="24" t="n">
        <x:v>2.0962654017373348</x:v>
      </x:c>
      <x:c r="K163" s="20" t="n">
        <x:v>1558.4628643343576</x:v>
      </x:c>
      <x:c r="L163" s="20" t="n">
        <x:f>(1-J163/VLOOKUP(E163,'口径说明'!$A$6:$E$8,4,FALSE))*100</x:f>
        <x:v>47.59336495656663</x:v>
      </x:c>
      <x:c r="M163" s="20" t="n">
        <x:f>VLOOKUP(E163,'口径说明'!$A$6:$E$8,2,FALSE)-G163</x:f>
        <x:v>5</x:v>
      </x:c>
      <x:c r="N163" s="22" t="n">
        <x:f>VLOOKUP(E163,'口径说明'!$A$6:$E$8,3,FALSE)-H163</x:f>
        <x:v>0.0059999999999999915</x:v>
      </x:c>
      <x:c r="O163" s="24" t="n">
        <x:f>VLOOKUP(E163,'口径说明'!$A$6:$E$8,4,FALSE)*(1-B163/100)-J163</x:f>
        <x:v>0.8037345982626651</x:v>
      </x:c>
      <x:c r="P163" s="26" t="str">
        <x:f>IF(AND(M163&gt;=-0.0000001,N163&gt;=-0.0000001,O163&gt;=-0.0000001),"满足","不满足")</x:f>
        <x:v>满足</x:v>
      </x:c>
    </x:row>
    <x:row r="164" ht="30" customHeight="1">
      <x:c r="A164" s="15" t="str">
        <x:v>SC009</x:v>
      </x:c>
      <x:c r="B164" s="17" t="n">
        <x:v>27.5</x:v>
      </x:c>
      <x:c r="C164" s="15" t="str">
        <x:v>SC009-015</x:v>
      </x:c>
      <x:c r="D164" s="15" t="str">
        <x:v>S010</x:v>
      </x:c>
      <x:c r="E164" s="15" t="str">
        <x:v>B</x:v>
      </x:c>
      <x:c r="F164" s="16" t="str">
        <x:v>S010-MED-01; S010-WAT-01; S010-FOD-01</x:v>
      </x:c>
      <x:c r="G164" s="21" t="n">
        <x:v>25</x:v>
      </x:c>
      <x:c r="H164" s="23" t="n">
        <x:v>0.067</x:v>
      </x:c>
      <x:c r="I164" s="21" t="n">
        <x:v>925.4035197802174</x:v>
      </x:c>
      <x:c r="J164" s="25" t="n">
        <x:v>1.8232165642314142</x:v>
      </x:c>
      <x:c r="K164" s="21" t="n">
        <x:v>1555.4035197802173</x:v>
      </x:c>
      <x:c r="L164" s="21" t="n">
        <x:f>(1-J164/VLOOKUP(E164,'口径说明'!$A$6:$E$8,4,FALSE))*100</x:f>
        <x:v>54.41958589421465</x:v>
      </x:c>
      <x:c r="M164" s="21" t="n">
        <x:f>VLOOKUP(E164,'口径说明'!$A$6:$E$8,2,FALSE)-G164</x:f>
        <x:v>5</x:v>
      </x:c>
      <x:c r="N164" s="23" t="n">
        <x:f>VLOOKUP(E164,'口径说明'!$A$6:$E$8,3,FALSE)-H164</x:f>
        <x:v>0.0059999999999999915</x:v>
      </x:c>
      <x:c r="O164" s="25" t="n">
        <x:f>VLOOKUP(E164,'口径说明'!$A$6:$E$8,4,FALSE)*(1-B164/100)-J164</x:f>
        <x:v>1.0767834357685857</x:v>
      </x:c>
      <x:c r="P164" s="27" t="str">
        <x:f>IF(AND(M164&gt;=-0.0000001,N164&gt;=-0.0000001,O164&gt;=-0.0000001),"满足","不满足")</x:f>
        <x:v>满足</x:v>
      </x:c>
    </x:row>
    <x:row r="165" ht="30" customHeight="1">
      <x:c r="A165" s="2" t="str">
        <x:v>SC009</x:v>
      </x:c>
      <x:c r="B165" s="14" t="n">
        <x:v>27.5</x:v>
      </x:c>
      <x:c r="C165" s="2" t="str">
        <x:v>SC009-016</x:v>
      </x:c>
      <x:c r="D165" s="2" t="str">
        <x:v>S011</x:v>
      </x:c>
      <x:c r="E165" s="2" t="str">
        <x:v>B</x:v>
      </x:c>
      <x:c r="F165" s="13" t="str">
        <x:v>S011-MED-01; S011-WAT-01; S011-FOD-01</x:v>
      </x:c>
      <x:c r="G165" s="20" t="n">
        <x:v>25</x:v>
      </x:c>
      <x:c r="H165" s="22" t="n">
        <x:v>0.067</x:v>
      </x:c>
      <x:c r="I165" s="20" t="n">
        <x:v>558.4247628605204</x:v>
      </x:c>
      <x:c r="J165" s="24" t="n">
        <x:v>1.0739366863951034</x:v>
      </x:c>
      <x:c r="K165" s="20" t="n">
        <x:v>1188.4247628605203</x:v>
      </x:c>
      <x:c r="L165" s="20" t="n">
        <x:f>(1-J165/VLOOKUP(E165,'口径说明'!$A$6:$E$8,4,FALSE))*100</x:f>
        <x:v>73.15158284012242</x:v>
      </x:c>
      <x:c r="M165" s="20" t="n">
        <x:f>VLOOKUP(E165,'口径说明'!$A$6:$E$8,2,FALSE)-G165</x:f>
        <x:v>5</x:v>
      </x:c>
      <x:c r="N165" s="22" t="n">
        <x:f>VLOOKUP(E165,'口径说明'!$A$6:$E$8,3,FALSE)-H165</x:f>
        <x:v>0.0059999999999999915</x:v>
      </x:c>
      <x:c r="O165" s="24" t="n">
        <x:f>VLOOKUP(E165,'口径说明'!$A$6:$E$8,4,FALSE)*(1-B165/100)-J165</x:f>
        <x:v>1.8260633136048965</x:v>
      </x:c>
      <x:c r="P165" s="26" t="str">
        <x:f>IF(AND(M165&gt;=-0.0000001,N165&gt;=-0.0000001,O165&gt;=-0.0000001),"满足","不满足")</x:f>
        <x:v>满足</x:v>
      </x:c>
    </x:row>
    <x:row r="166" ht="30" customHeight="1">
      <x:c r="A166" s="15" t="str">
        <x:v>SC009</x:v>
      </x:c>
      <x:c r="B166" s="17" t="n">
        <x:v>27.5</x:v>
      </x:c>
      <x:c r="C166" s="15" t="str">
        <x:v>SC009-017</x:v>
      </x:c>
      <x:c r="D166" s="15" t="str">
        <x:v>S012</x:v>
      </x:c>
      <x:c r="E166" s="15" t="str">
        <x:v>B</x:v>
      </x:c>
      <x:c r="F166" s="16" t="str">
        <x:v>S012-MED-01; S012-WAT-01; S012-FOD-01</x:v>
      </x:c>
      <x:c r="G166" s="21" t="n">
        <x:v>25</x:v>
      </x:c>
      <x:c r="H166" s="23" t="n">
        <x:v>0.067</x:v>
      </x:c>
      <x:c r="I166" s="21" t="n">
        <x:v>1292.826814149187</x:v>
      </x:c>
      <x:c r="J166" s="25" t="n">
        <x:v>2.7525999542899324</x:v>
      </x:c>
      <x:c r="K166" s="21" t="n">
        <x:v>1922.826814149187</x:v>
      </x:c>
      <x:c r="L166" s="21" t="n">
        <x:f>(1-J166/VLOOKUP(E166,'口径说明'!$A$6:$E$8,4,FALSE))*100</x:f>
        <x:v>31.185001142751688</x:v>
      </x:c>
      <x:c r="M166" s="21" t="n">
        <x:f>VLOOKUP(E166,'口径说明'!$A$6:$E$8,2,FALSE)-G166</x:f>
        <x:v>5</x:v>
      </x:c>
      <x:c r="N166" s="23" t="n">
        <x:f>VLOOKUP(E166,'口径说明'!$A$6:$E$8,3,FALSE)-H166</x:f>
        <x:v>0.0059999999999999915</x:v>
      </x:c>
      <x:c r="O166" s="25" t="n">
        <x:f>VLOOKUP(E166,'口径说明'!$A$6:$E$8,4,FALSE)*(1-B166/100)-J166</x:f>
        <x:v>0.14740004571006748</x:v>
      </x:c>
      <x:c r="P166" s="27" t="str">
        <x:f>IF(AND(M166&gt;=-0.0000001,N166&gt;=-0.0000001,O166&gt;=-0.0000001),"满足","不满足")</x:f>
        <x:v>满足</x:v>
      </x:c>
    </x:row>
    <x:row r="167" ht="30" customHeight="1">
      <x:c r="A167" s="2" t="str">
        <x:v>SC009</x:v>
      </x:c>
      <x:c r="B167" s="14" t="n">
        <x:v>27.5</x:v>
      </x:c>
      <x:c r="C167" s="2" t="str">
        <x:v>SC009-018</x:v>
      </x:c>
      <x:c r="D167" s="2" t="str">
        <x:v>S013</x:v>
      </x:c>
      <x:c r="E167" s="2" t="str">
        <x:v>B</x:v>
      </x:c>
      <x:c r="F167" s="13" t="str">
        <x:v>S013-MED-01; S013-WAT-01; S013-FOD-01</x:v>
      </x:c>
      <x:c r="G167" s="20" t="n">
        <x:v>25</x:v>
      </x:c>
      <x:c r="H167" s="22" t="n">
        <x:v>0.067</x:v>
      </x:c>
      <x:c r="I167" s="20" t="n">
        <x:v>880.511588744525</x:v>
      </x:c>
      <x:c r="J167" s="24" t="n">
        <x:v>1.8248281910807471</x:v>
      </x:c>
      <x:c r="K167" s="20" t="n">
        <x:v>1510.511588744525</x:v>
      </x:c>
      <x:c r="L167" s="20" t="n">
        <x:f>(1-J167/VLOOKUP(E167,'口径说明'!$A$6:$E$8,4,FALSE))*100</x:f>
        <x:v>54.37929522298133</x:v>
      </x:c>
      <x:c r="M167" s="20" t="n">
        <x:f>VLOOKUP(E167,'口径说明'!$A$6:$E$8,2,FALSE)-G167</x:f>
        <x:v>5</x:v>
      </x:c>
      <x:c r="N167" s="22" t="n">
        <x:f>VLOOKUP(E167,'口径说明'!$A$6:$E$8,3,FALSE)-H167</x:f>
        <x:v>0.0059999999999999915</x:v>
      </x:c>
      <x:c r="O167" s="24" t="n">
        <x:f>VLOOKUP(E167,'口径说明'!$A$6:$E$8,4,FALSE)*(1-B167/100)-J167</x:f>
        <x:v>1.0751718089192528</x:v>
      </x:c>
      <x:c r="P167" s="26" t="str">
        <x:f>IF(AND(M167&gt;=-0.0000001,N167&gt;=-0.0000001,O167&gt;=-0.0000001),"满足","不满足")</x:f>
        <x:v>满足</x:v>
      </x:c>
    </x:row>
    <x:row r="168" ht="30" customHeight="1">
      <x:c r="A168" s="15" t="str">
        <x:v>SC009</x:v>
      </x:c>
      <x:c r="B168" s="17" t="n">
        <x:v>27.5</x:v>
      </x:c>
      <x:c r="C168" s="15" t="str">
        <x:v>SC009-019</x:v>
      </x:c>
      <x:c r="D168" s="15" t="str">
        <x:v>S014</x:v>
      </x:c>
      <x:c r="E168" s="15" t="str">
        <x:v>B</x:v>
      </x:c>
      <x:c r="F168" s="16" t="str">
        <x:v>S014-MED-01; S014-WAT-01; S014-FOD-01</x:v>
      </x:c>
      <x:c r="G168" s="21" t="n">
        <x:v>25</x:v>
      </x:c>
      <x:c r="H168" s="23" t="n">
        <x:v>0.067</x:v>
      </x:c>
      <x:c r="I168" s="21" t="n">
        <x:v>1239.7476752786913</x:v>
      </x:c>
      <x:c r="J168" s="25" t="n">
        <x:v>2.1402909781417883</x:v>
      </x:c>
      <x:c r="K168" s="21" t="n">
        <x:v>1869.7476752786913</x:v>
      </x:c>
      <x:c r="L168" s="21" t="n">
        <x:f>(1-J168/VLOOKUP(E168,'口径说明'!$A$6:$E$8,4,FALSE))*100</x:f>
        <x:v>46.49272554645529</x:v>
      </x:c>
      <x:c r="M168" s="21" t="n">
        <x:f>VLOOKUP(E168,'口径说明'!$A$6:$E$8,2,FALSE)-G168</x:f>
        <x:v>5</x:v>
      </x:c>
      <x:c r="N168" s="23" t="n">
        <x:f>VLOOKUP(E168,'口径说明'!$A$6:$E$8,3,FALSE)-H168</x:f>
        <x:v>0.0059999999999999915</x:v>
      </x:c>
      <x:c r="O168" s="25" t="n">
        <x:f>VLOOKUP(E168,'口径说明'!$A$6:$E$8,4,FALSE)*(1-B168/100)-J168</x:f>
        <x:v>0.7597090218582117</x:v>
      </x:c>
      <x:c r="P168" s="27" t="str">
        <x:f>IF(AND(M168&gt;=-0.0000001,N168&gt;=-0.0000001,O168&gt;=-0.0000001),"满足","不满足")</x:f>
        <x:v>满足</x:v>
      </x:c>
    </x:row>
    <x:row r="169" ht="30" customHeight="1">
      <x:c r="A169" s="2" t="str">
        <x:v>SC009</x:v>
      </x:c>
      <x:c r="B169" s="14" t="n">
        <x:v>27.5</x:v>
      </x:c>
      <x:c r="C169" s="2" t="str">
        <x:v>SC009-020</x:v>
      </x:c>
      <x:c r="D169" s="2" t="str">
        <x:v>S015</x:v>
      </x:c>
      <x:c r="E169" s="2" t="str">
        <x:v>B</x:v>
      </x:c>
      <x:c r="F169" s="13" t="str">
        <x:v>S015-MED-01; S015-WAT-01; S015-FOD-01</x:v>
      </x:c>
      <x:c r="G169" s="20" t="n">
        <x:v>25</x:v>
      </x:c>
      <x:c r="H169" s="22" t="n">
        <x:v>0.067</x:v>
      </x:c>
      <x:c r="I169" s="20" t="n">
        <x:v>1198.3275601736595</x:v>
      </x:c>
      <x:c r="J169" s="24" t="n">
        <x:v>2.307528505752516</x:v>
      </x:c>
      <x:c r="K169" s="20" t="n">
        <x:v>1828.3275601736595</x:v>
      </x:c>
      <x:c r="L169" s="20" t="n">
        <x:f>(1-J169/VLOOKUP(E169,'口径说明'!$A$6:$E$8,4,FALSE))*100</x:f>
        <x:v>42.311787356187104</x:v>
      </x:c>
      <x:c r="M169" s="20" t="n">
        <x:f>VLOOKUP(E169,'口径说明'!$A$6:$E$8,2,FALSE)-G169</x:f>
        <x:v>5</x:v>
      </x:c>
      <x:c r="N169" s="22" t="n">
        <x:f>VLOOKUP(E169,'口径说明'!$A$6:$E$8,3,FALSE)-H169</x:f>
        <x:v>0.0059999999999999915</x:v>
      </x:c>
      <x:c r="O169" s="24" t="n">
        <x:f>VLOOKUP(E169,'口径说明'!$A$6:$E$8,4,FALSE)*(1-B169/100)-J169</x:f>
        <x:v>0.592471494247484</x:v>
      </x:c>
      <x:c r="P169" s="26" t="str">
        <x:f>IF(AND(M169&gt;=-0.0000001,N169&gt;=-0.0000001,O169&gt;=-0.0000001),"满足","不满足")</x:f>
        <x:v>满足</x:v>
      </x:c>
    </x:row>
    <x:row r="170" ht="61" customHeight="1">
      <x:c r="A170" s="15" t="str">
        <x:v>SC010</x:v>
      </x:c>
      <x:c r="B170" s="17" t="n">
        <x:v>30</x:v>
      </x:c>
      <x:c r="C170" s="15" t="str">
        <x:v>SC010-001</x:v>
      </x:c>
      <x:c r="D170" s="15" t="str">
        <x:v>S001</x:v>
      </x:c>
      <x:c r="E170" s="15" t="str">
        <x:v>C</x:v>
      </x:c>
      <x:c r="F170" s="16" t="str">
        <x:v>S001-WAT-01; S001-WAT-02; S001-WAT-03; S001-FOD-01; S001-FOD-02; S001-FOD-03; S001-HYG-01; S001-HYG-02</x:v>
      </x:c>
      <x:c r="G170" s="21" t="n">
        <x:v>78</x:v>
      </x:c>
      <x:c r="H170" s="23" t="n">
        <x:v>0.235</x:v>
      </x:c>
      <x:c r="I170" s="21" t="n">
        <x:v>618.1750458620229</x:v>
      </x:c>
      <x:c r="J170" s="25" t="n">
        <x:v>2.9957758049046697</x:v>
      </x:c>
      <x:c r="K170" s="21" t="n">
        <x:v>1626.175045862023</x:v>
      </x:c>
      <x:c r="L170" s="21" t="n">
        <x:f>(1-J170/VLOOKUP(E170,'口径说明'!$A$6:$E$8,4,FALSE))*100</x:f>
        <x:v>62.552802438691636</x:v>
      </x:c>
      <x:c r="M170" s="21" t="n">
        <x:f>VLOOKUP(E170,'口径说明'!$A$6:$E$8,2,FALSE)-G170</x:f>
        <x:v>2</x:v>
      </x:c>
      <x:c r="N170" s="23" t="n">
        <x:f>VLOOKUP(E170,'口径说明'!$A$6:$E$8,3,FALSE)-H170</x:f>
        <x:v>0.015000000000000013</x:v>
      </x:c>
      <x:c r="O170" s="25" t="n">
        <x:f>VLOOKUP(E170,'口径说明'!$A$6:$E$8,4,FALSE)*(1-B170/100)-J170</x:f>
        <x:v>2.60422419509533</x:v>
      </x:c>
      <x:c r="P170" s="27" t="str">
        <x:f>IF(AND(M170&gt;=-0.0000001,N170&gt;=-0.0000001,O170&gt;=-0.0000001),"满足","不满足")</x:f>
        <x:v>满足</x:v>
      </x:c>
    </x:row>
    <x:row r="171" ht="44" customHeight="1">
      <x:c r="A171" s="2" t="str">
        <x:v>SC010</x:v>
      </x:c>
      <x:c r="B171" s="14" t="n">
        <x:v>30</x:v>
      </x:c>
      <x:c r="C171" s="2" t="str">
        <x:v>SC010-002</x:v>
      </x:c>
      <x:c r="D171" s="2" t="str">
        <x:v>S001</x:v>
      </x:c>
      <x:c r="E171" s="2" t="str">
        <x:v>C</x:v>
      </x:c>
      <x:c r="F171" s="13" t="str">
        <x:v>S001-MED-01; S001-MED-02; S001-WAT-04; S001-WAT-05; S001-WAT-06; S001-WAT-07; S001-WAT-08</x:v>
      </x:c>
      <x:c r="G171" s="20" t="n">
        <x:v>76</x:v>
      </x:c>
      <x:c r="H171" s="22" t="n">
        <x:v>0.159</x:v>
      </x:c>
      <x:c r="I171" s="20" t="n">
        <x:v>618.1750458620229</x:v>
      </x:c>
      <x:c r="J171" s="24" t="n">
        <x:v>2.917588095586827</x:v>
      </x:c>
      <x:c r="K171" s="20" t="n">
        <x:v>1560.175045862023</x:v>
      </x:c>
      <x:c r="L171" s="20" t="n">
        <x:f>(1-J171/VLOOKUP(E171,'口径说明'!$A$6:$E$8,4,FALSE))*100</x:f>
        <x:v>63.53014880516466</x:v>
      </x:c>
      <x:c r="M171" s="20" t="n">
        <x:f>VLOOKUP(E171,'口径说明'!$A$6:$E$8,2,FALSE)-G171</x:f>
        <x:v>4</x:v>
      </x:c>
      <x:c r="N171" s="22" t="n">
        <x:f>VLOOKUP(E171,'口径说明'!$A$6:$E$8,3,FALSE)-H171</x:f>
        <x:v>0.091</x:v>
      </x:c>
      <x:c r="O171" s="24" t="n">
        <x:f>VLOOKUP(E171,'口径说明'!$A$6:$E$8,4,FALSE)*(1-B171/100)-J171</x:f>
        <x:v>2.6824119044131725</x:v>
      </x:c>
      <x:c r="P171" s="26" t="str">
        <x:f>IF(AND(M171&gt;=-0.0000001,N171&gt;=-0.0000001,O171&gt;=-0.0000001),"满足","不满足")</x:f>
        <x:v>满足</x:v>
      </x:c>
    </x:row>
    <x:row r="172" ht="44" customHeight="1">
      <x:c r="A172" s="15" t="str">
        <x:v>SC010</x:v>
      </x:c>
      <x:c r="B172" s="17" t="n">
        <x:v>30</x:v>
      </x:c>
      <x:c r="C172" s="15" t="str">
        <x:v>SC010-003</x:v>
      </x:c>
      <x:c r="D172" s="15" t="str">
        <x:v>S002</x:v>
      </x:c>
      <x:c r="E172" s="15" t="str">
        <x:v>C</x:v>
      </x:c>
      <x:c r="F172" s="16" t="str">
        <x:v>S002-WAT-01; S002-WAT-02; S002-FOD-01; S002-HYG-01</x:v>
      </x:c>
      <x:c r="G172" s="21" t="n">
        <x:v>42</x:v>
      </x:c>
      <x:c r="H172" s="23" t="n">
        <x:v>0.117</x:v>
      </x:c>
      <x:c r="I172" s="21" t="n">
        <x:v>1231.8421660245544</x:v>
      </x:c>
      <x:c r="J172" s="25" t="n">
        <x:v>5.248771058449141</x:v>
      </x:c>
      <x:c r="K172" s="21" t="n">
        <x:v>1975.8421660245544</x:v>
      </x:c>
      <x:c r="L172" s="21" t="n">
        <x:f>(1-J172/VLOOKUP(E172,'口径说明'!$A$6:$E$8,4,FALSE))*100</x:f>
        <x:v>34.390361769385734</x:v>
      </x:c>
      <x:c r="M172" s="21" t="n">
        <x:f>VLOOKUP(E172,'口径说明'!$A$6:$E$8,2,FALSE)-G172</x:f>
        <x:v>38</x:v>
      </x:c>
      <x:c r="N172" s="23" t="n">
        <x:f>VLOOKUP(E172,'口径说明'!$A$6:$E$8,3,FALSE)-H172</x:f>
        <x:v>0.133</x:v>
      </x:c>
      <x:c r="O172" s="25" t="n">
        <x:f>VLOOKUP(E172,'口径说明'!$A$6:$E$8,4,FALSE)*(1-B172/100)-J172</x:f>
        <x:v>0.3512289415508585</x:v>
      </x:c>
      <x:c r="P172" s="27" t="str">
        <x:f>IF(AND(M172&gt;=-0.0000001,N172&gt;=-0.0000001,O172&gt;=-0.0000001),"满足","不满足")</x:f>
        <x:v>满足</x:v>
      </x:c>
    </x:row>
    <x:row r="173" ht="44" customHeight="1">
      <x:c r="A173" s="2" t="str">
        <x:v>SC010</x:v>
      </x:c>
      <x:c r="B173" s="14" t="n">
        <x:v>30</x:v>
      </x:c>
      <x:c r="C173" s="2" t="str">
        <x:v>SC010-004</x:v>
      </x:c>
      <x:c r="D173" s="2" t="str">
        <x:v>S002</x:v>
      </x:c>
      <x:c r="E173" s="2" t="str">
        <x:v>C</x:v>
      </x:c>
      <x:c r="F173" s="13" t="str">
        <x:v>S002-MED-01; S002-WAT-03; S002-WAT-04; S002-FOD-02</x:v>
      </x:c>
      <x:c r="G173" s="20" t="n">
        <x:v>39</x:v>
      </x:c>
      <x:c r="H173" s="22" t="n">
        <x:v>0.094</x:v>
      </x:c>
      <x:c r="I173" s="20" t="n">
        <x:v>1231.8421660245544</x:v>
      </x:c>
      <x:c r="J173" s="24" t="n">
        <x:v>5.1710432316735</x:v>
      </x:c>
      <x:c r="K173" s="20" t="n">
        <x:v>1975.8421660245544</x:v>
      </x:c>
      <x:c r="L173" s="20" t="n">
        <x:f>(1-J173/VLOOKUP(E173,'口径说明'!$A$6:$E$8,4,FALSE))*100</x:f>
        <x:v>35.36195960408125</x:v>
      </x:c>
      <x:c r="M173" s="20" t="n">
        <x:f>VLOOKUP(E173,'口径说明'!$A$6:$E$8,2,FALSE)-G173</x:f>
        <x:v>41</x:v>
      </x:c>
      <x:c r="N173" s="22" t="n">
        <x:f>VLOOKUP(E173,'口径说明'!$A$6:$E$8,3,FALSE)-H173</x:f>
        <x:v>0.156</x:v>
      </x:c>
      <x:c r="O173" s="24" t="n">
        <x:f>VLOOKUP(E173,'口径说明'!$A$6:$E$8,4,FALSE)*(1-B173/100)-J173</x:f>
        <x:v>0.42895676832649965</x:v>
      </x:c>
      <x:c r="P173" s="26" t="str">
        <x:f>IF(AND(M173&gt;=-0.0000001,N173&gt;=-0.0000001,O173&gt;=-0.0000001),"满足","不满足")</x:f>
        <x:v>满足</x:v>
      </x:c>
    </x:row>
    <x:row r="174" ht="44" customHeight="1">
      <x:c r="A174" s="15" t="str">
        <x:v>SC010</x:v>
      </x:c>
      <x:c r="B174" s="17" t="n">
        <x:v>30</x:v>
      </x:c>
      <x:c r="C174" s="15" t="str">
        <x:v>SC010-005</x:v>
      </x:c>
      <x:c r="D174" s="15" t="str">
        <x:v>S003</x:v>
      </x:c>
      <x:c r="E174" s="15" t="str">
        <x:v>C</x:v>
      </x:c>
      <x:c r="F174" s="16" t="str">
        <x:v>S003-WAT-01; S003-WAT-02; S003-FOD-01; S003-HYG-01</x:v>
      </x:c>
      <x:c r="G174" s="21" t="n">
        <x:v>42</x:v>
      </x:c>
      <x:c r="H174" s="23" t="n">
        <x:v>0.117</x:v>
      </x:c>
      <x:c r="I174" s="21" t="n">
        <x:v>1560.1777110992603</x:v>
      </x:c>
      <x:c r="J174" s="25" t="n">
        <x:v>5.288613559218573</x:v>
      </x:c>
      <x:c r="K174" s="21" t="n">
        <x:v>2304.1777110992603</x:v>
      </x:c>
      <x:c r="L174" s="21" t="n">
        <x:f>(1-J174/VLOOKUP(E174,'口径说明'!$A$6:$E$8,4,FALSE))*100</x:f>
        <x:v>33.892330509767845</x:v>
      </x:c>
      <x:c r="M174" s="21" t="n">
        <x:f>VLOOKUP(E174,'口径说明'!$A$6:$E$8,2,FALSE)-G174</x:f>
        <x:v>38</x:v>
      </x:c>
      <x:c r="N174" s="23" t="n">
        <x:f>VLOOKUP(E174,'口径说明'!$A$6:$E$8,3,FALSE)-H174</x:f>
        <x:v>0.133</x:v>
      </x:c>
      <x:c r="O174" s="25" t="n">
        <x:f>VLOOKUP(E174,'口径说明'!$A$6:$E$8,4,FALSE)*(1-B174/100)-J174</x:f>
        <x:v>0.3113864407814271</x:v>
      </x:c>
      <x:c r="P174" s="27" t="str">
        <x:f>IF(AND(M174&gt;=-0.0000001,N174&gt;=-0.0000001,O174&gt;=-0.0000001),"满足","不满足")</x:f>
        <x:v>满足</x:v>
      </x:c>
    </x:row>
    <x:row r="175" ht="44" customHeight="1">
      <x:c r="A175" s="2" t="str">
        <x:v>SC010</x:v>
      </x:c>
      <x:c r="B175" s="14" t="n">
        <x:v>30</x:v>
      </x:c>
      <x:c r="C175" s="2" t="str">
        <x:v>SC010-006</x:v>
      </x:c>
      <x:c r="D175" s="2" t="str">
        <x:v>S003</x:v>
      </x:c>
      <x:c r="E175" s="2" t="str">
        <x:v>C</x:v>
      </x:c>
      <x:c r="F175" s="13" t="str">
        <x:v>S003-MED-01; S003-WAT-03; S003-WAT-04; S003-FOD-02</x:v>
      </x:c>
      <x:c r="G175" s="20" t="n">
        <x:v>39</x:v>
      </x:c>
      <x:c r="H175" s="22" t="n">
        <x:v>0.094</x:v>
      </x:c>
      <x:c r="I175" s="20" t="n">
        <x:v>1560.1777110992603</x:v>
      </x:c>
      <x:c r="J175" s="24" t="n">
        <x:v>5.209523875650586</x:v>
      </x:c>
      <x:c r="K175" s="20" t="n">
        <x:v>2304.1777110992603</x:v>
      </x:c>
      <x:c r="L175" s="20" t="n">
        <x:f>(1-J175/VLOOKUP(E175,'口径说明'!$A$6:$E$8,4,FALSE))*100</x:f>
        <x:v>34.88095155436768</x:v>
      </x:c>
      <x:c r="M175" s="20" t="n">
        <x:f>VLOOKUP(E175,'口径说明'!$A$6:$E$8,2,FALSE)-G175</x:f>
        <x:v>41</x:v>
      </x:c>
      <x:c r="N175" s="22" t="n">
        <x:f>VLOOKUP(E175,'口径说明'!$A$6:$E$8,3,FALSE)-H175</x:f>
        <x:v>0.156</x:v>
      </x:c>
      <x:c r="O175" s="24" t="n">
        <x:f>VLOOKUP(E175,'口径说明'!$A$6:$E$8,4,FALSE)*(1-B175/100)-J175</x:f>
        <x:v>0.3904761243494139</x:v>
      </x:c>
      <x:c r="P175" s="26" t="str">
        <x:f>IF(AND(M175&gt;=-0.0000001,N175&gt;=-0.0000001,O175&gt;=-0.0000001),"满足","不满足")</x:f>
        <x:v>满足</x:v>
      </x:c>
    </x:row>
    <x:row r="176" ht="30" customHeight="1">
      <x:c r="A176" s="15" t="str">
        <x:v>SC010</x:v>
      </x:c>
      <x:c r="B176" s="17" t="n">
        <x:v>30</x:v>
      </x:c>
      <x:c r="C176" s="15" t="str">
        <x:v>SC010-007</x:v>
      </x:c>
      <x:c r="D176" s="15" t="str">
        <x:v>S004</x:v>
      </x:c>
      <x:c r="E176" s="15" t="str">
        <x:v>B</x:v>
      </x:c>
      <x:c r="F176" s="16" t="str">
        <x:v>S004-MED-01; S004-WAT-01</x:v>
      </x:c>
      <x:c r="G176" s="21" t="n">
        <x:v>17</x:v>
      </x:c>
      <x:c r="H176" s="23" t="n">
        <x:v>0.039</x:v>
      </x:c>
      <x:c r="I176" s="21" t="n">
        <x:v>1351.641663352524</x:v>
      </x:c>
      <x:c r="J176" s="25" t="n">
        <x:v>2.5764747430256225</x:v>
      </x:c>
      <x:c r="K176" s="21" t="n">
        <x:v>1921.641663352524</x:v>
      </x:c>
      <x:c r="L176" s="21" t="n">
        <x:f>(1-J176/VLOOKUP(E176,'口径说明'!$A$6:$E$8,4,FALSE))*100</x:f>
        <x:v>35.58813142435944</x:v>
      </x:c>
      <x:c r="M176" s="21" t="n">
        <x:f>VLOOKUP(E176,'口径说明'!$A$6:$E$8,2,FALSE)-G176</x:f>
        <x:v>13</x:v>
      </x:c>
      <x:c r="N176" s="23" t="n">
        <x:f>VLOOKUP(E176,'口径说明'!$A$6:$E$8,3,FALSE)-H176</x:f>
        <x:v>0.033999999999999996</x:v>
      </x:c>
      <x:c r="O176" s="25" t="n">
        <x:f>VLOOKUP(E176,'口径说明'!$A$6:$E$8,4,FALSE)*(1-B176/100)-J176</x:f>
        <x:v>0.2235252569743773</x:v>
      </x:c>
      <x:c r="P176" s="27" t="str">
        <x:f>IF(AND(M176&gt;=-0.0000001,N176&gt;=-0.0000001,O176&gt;=-0.0000001),"满足","不满足")</x:f>
        <x:v>满足</x:v>
      </x:c>
    </x:row>
    <x:row r="177" ht="44" customHeight="1">
      <x:c r="A177" s="2" t="str">
        <x:v>SC010</x:v>
      </x:c>
      <x:c r="B177" s="14" t="n">
        <x:v>30</x:v>
      </x:c>
      <x:c r="C177" s="2" t="str">
        <x:v>SC010-008</x:v>
      </x:c>
      <x:c r="D177" s="2" t="str">
        <x:v>S004</x:v>
      </x:c>
      <x:c r="E177" s="2" t="str">
        <x:v>C</x:v>
      </x:c>
      <x:c r="F177" s="13" t="str">
        <x:v>S004-WAT-02; S004-WAT-03; S004-FOD-01; S004-HYG-01</x:v>
      </x:c>
      <x:c r="G177" s="20" t="n">
        <x:v>42</x:v>
      </x:c>
      <x:c r="H177" s="22" t="n">
        <x:v>0.117</x:v>
      </x:c>
      <x:c r="I177" s="20" t="n">
        <x:v>1425.0547187724458</x:v>
      </x:c>
      <x:c r="J177" s="24" t="n">
        <x:v>5.5184362177342665</x:v>
      </x:c>
      <x:c r="K177" s="20" t="n">
        <x:v>2169.054718772446</x:v>
      </x:c>
      <x:c r="L177" s="20" t="n">
        <x:f>(1-J177/VLOOKUP(E177,'口径说明'!$A$6:$E$8,4,FALSE))*100</x:f>
        <x:v>31.019547278321667</x:v>
      </x:c>
      <x:c r="M177" s="20" t="n">
        <x:f>VLOOKUP(E177,'口径说明'!$A$6:$E$8,2,FALSE)-G177</x:f>
        <x:v>38</x:v>
      </x:c>
      <x:c r="N177" s="22" t="n">
        <x:f>VLOOKUP(E177,'口径说明'!$A$6:$E$8,3,FALSE)-H177</x:f>
        <x:v>0.133</x:v>
      </x:c>
      <x:c r="O177" s="24" t="n">
        <x:f>VLOOKUP(E177,'口径说明'!$A$6:$E$8,4,FALSE)*(1-B177/100)-J177</x:f>
        <x:v>0.08156378226573313</x:v>
      </x:c>
      <x:c r="P177" s="26" t="str">
        <x:f>IF(AND(M177&gt;=-0.0000001,N177&gt;=-0.0000001,O177&gt;=-0.0000001),"满足","不满足")</x:f>
        <x:v>满足</x:v>
      </x:c>
    </x:row>
    <x:row r="178" ht="44" customHeight="1">
      <x:c r="A178" s="15" t="str">
        <x:v>SC010</x:v>
      </x:c>
      <x:c r="B178" s="17" t="n">
        <x:v>30</x:v>
      </x:c>
      <x:c r="C178" s="15" t="str">
        <x:v>SC010-009</x:v>
      </x:c>
      <x:c r="D178" s="15" t="str">
        <x:v>S005</x:v>
      </x:c>
      <x:c r="E178" s="15" t="str">
        <x:v>C</x:v>
      </x:c>
      <x:c r="F178" s="16" t="str">
        <x:v>S005-MED-01; S005-WAT-01; S005-WAT-02; S005-WAT-03; S005-FOD-01; S005-HYG-01</x:v>
      </x:c>
      <x:c r="G178" s="21" t="n">
        <x:v>59</x:v>
      </x:c>
      <x:c r="H178" s="23" t="n">
        <x:v>0.156</x:v>
      </x:c>
      <x:c r="I178" s="21" t="n">
        <x:v>1001.1887154914712</x:v>
      </x:c>
      <x:c r="J178" s="25" t="n">
        <x:v>4.222137373445114</x:v>
      </x:c>
      <x:c r="K178" s="21" t="n">
        <x:v>1877.1887154914712</x:v>
      </x:c>
      <x:c r="L178" s="21" t="n">
        <x:f>(1-J178/VLOOKUP(E178,'口径说明'!$A$6:$E$8,4,FALSE))*100</x:f>
        <x:v>47.223282831936075</x:v>
      </x:c>
      <x:c r="M178" s="21" t="n">
        <x:f>VLOOKUP(E178,'口径说明'!$A$6:$E$8,2,FALSE)-G178</x:f>
        <x:v>21</x:v>
      </x:c>
      <x:c r="N178" s="23" t="n">
        <x:f>VLOOKUP(E178,'口径说明'!$A$6:$E$8,3,FALSE)-H178</x:f>
        <x:v>0.094</x:v>
      </x:c>
      <x:c r="O178" s="25" t="n">
        <x:f>VLOOKUP(E178,'口径说明'!$A$6:$E$8,4,FALSE)*(1-B178/100)-J178</x:f>
        <x:v>1.3778626265548857</x:v>
      </x:c>
      <x:c r="P178" s="27" t="str">
        <x:f>IF(AND(M178&gt;=-0.0000001,N178&gt;=-0.0000001,O178&gt;=-0.0000001),"满足","不满足")</x:f>
        <x:v>满足</x:v>
      </x:c>
    </x:row>
    <x:row r="179" ht="44" customHeight="1">
      <x:c r="A179" s="2" t="str">
        <x:v>SC010</x:v>
      </x:c>
      <x:c r="B179" s="14" t="n">
        <x:v>30</x:v>
      </x:c>
      <x:c r="C179" s="2" t="str">
        <x:v>SC010-010</x:v>
      </x:c>
      <x:c r="D179" s="2" t="str">
        <x:v>S006</x:v>
      </x:c>
      <x:c r="E179" s="2" t="str">
        <x:v>C</x:v>
      </x:c>
      <x:c r="F179" s="13" t="str">
        <x:v>S006-MED-01; S006-WAT-01; S006-WAT-02; S006-WAT-03; S006-FOD-01; S006-HYG-01</x:v>
      </x:c>
      <x:c r="G179" s="20" t="n">
        <x:v>59</x:v>
      </x:c>
      <x:c r="H179" s="22" t="n">
        <x:v>0.156</x:v>
      </x:c>
      <x:c r="I179" s="20" t="n">
        <x:v>685.5526244866224</x:v>
      </x:c>
      <x:c r="J179" s="24" t="n">
        <x:v>2.5979362904386822</x:v>
      </x:c>
      <x:c r="K179" s="20" t="n">
        <x:v>1561.5526244866223</x:v>
      </x:c>
      <x:c r="L179" s="20" t="n">
        <x:f>(1-J179/VLOOKUP(E179,'口径说明'!$A$6:$E$8,4,FALSE))*100</x:f>
        <x:v>67.52579636951648</x:v>
      </x:c>
      <x:c r="M179" s="20" t="n">
        <x:f>VLOOKUP(E179,'口径说明'!$A$6:$E$8,2,FALSE)-G179</x:f>
        <x:v>21</x:v>
      </x:c>
      <x:c r="N179" s="22" t="n">
        <x:f>VLOOKUP(E179,'口径说明'!$A$6:$E$8,3,FALSE)-H179</x:f>
        <x:v>0.094</x:v>
      </x:c>
      <x:c r="O179" s="24" t="n">
        <x:f>VLOOKUP(E179,'口径说明'!$A$6:$E$8,4,FALSE)*(1-B179/100)-J179</x:f>
        <x:v>3.0020637095613174</x:v>
      </x:c>
      <x:c r="P179" s="26" t="str">
        <x:f>IF(AND(M179&gt;=-0.0000001,N179&gt;=-0.0000001,O179&gt;=-0.0000001),"满足","不满足")</x:f>
        <x:v>满足</x:v>
      </x:c>
    </x:row>
    <x:row r="180" ht="44" customHeight="1">
      <x:c r="A180" s="15" t="str">
        <x:v>SC010</x:v>
      </x:c>
      <x:c r="B180" s="17" t="n">
        <x:v>30</x:v>
      </x:c>
      <x:c r="C180" s="15" t="str">
        <x:v>SC010-011</x:v>
      </x:c>
      <x:c r="D180" s="15" t="str">
        <x:v>S007</x:v>
      </x:c>
      <x:c r="E180" s="15" t="str">
        <x:v>C</x:v>
      </x:c>
      <x:c r="F180" s="16" t="str">
        <x:v>S007-MED-01; S007-WAT-01; S007-WAT-02; S007-FOD-01; S007-HYG-01</x:v>
      </x:c>
      <x:c r="G180" s="21" t="n">
        <x:v>45</x:v>
      </x:c>
      <x:c r="H180" s="23" t="n">
        <x:v>0.129</x:v>
      </x:c>
      <x:c r="I180" s="21" t="n">
        <x:v>1097.600698410691</x:v>
      </x:c>
      <x:c r="J180" s="25" t="n">
        <x:v>3.4110038084433194</x:v>
      </x:c>
      <x:c r="K180" s="21" t="n">
        <x:v>1907.600698410691</x:v>
      </x:c>
      <x:c r="L180" s="21" t="n">
        <x:f>(1-J180/VLOOKUP(E180,'口径说明'!$A$6:$E$8,4,FALSE))*100</x:f>
        <x:v>57.36245239445851</x:v>
      </x:c>
      <x:c r="M180" s="21" t="n">
        <x:f>VLOOKUP(E180,'口径说明'!$A$6:$E$8,2,FALSE)-G180</x:f>
        <x:v>35</x:v>
      </x:c>
      <x:c r="N180" s="23" t="n">
        <x:f>VLOOKUP(E180,'口径说明'!$A$6:$E$8,3,FALSE)-H180</x:f>
        <x:v>0.121</x:v>
      </x:c>
      <x:c r="O180" s="25" t="n">
        <x:f>VLOOKUP(E180,'口径说明'!$A$6:$E$8,4,FALSE)*(1-B180/100)-J180</x:f>
        <x:v>2.1889961915566802</x:v>
      </x:c>
      <x:c r="P180" s="27" t="str">
        <x:f>IF(AND(M180&gt;=-0.0000001,N180&gt;=-0.0000001,O180&gt;=-0.0000001),"满足","不满足")</x:f>
        <x:v>满足</x:v>
      </x:c>
    </x:row>
    <x:row r="181" ht="30" customHeight="1">
      <x:c r="A181" s="2" t="str">
        <x:v>SC010</x:v>
      </x:c>
      <x:c r="B181" s="14" t="n">
        <x:v>30</x:v>
      </x:c>
      <x:c r="C181" s="2" t="str">
        <x:v>SC010-012</x:v>
      </x:c>
      <x:c r="D181" s="2" t="str">
        <x:v>S008</x:v>
      </x:c>
      <x:c r="E181" s="2" t="str">
        <x:v>B</x:v>
      </x:c>
      <x:c r="F181" s="13" t="str">
        <x:v>S008-FOD-01; S008-HYG-01</x:v>
      </x:c>
      <x:c r="G181" s="20" t="n">
        <x:v>14</x:v>
      </x:c>
      <x:c r="H181" s="22" t="n">
        <x:v>0.063</x:v>
      </x:c>
      <x:c r="I181" s="20" t="n">
        <x:v>1331.841747175703</x:v>
      </x:c>
      <x:c r="J181" s="24" t="n">
        <x:v>2.5893362522722065</x:v>
      </x:c>
      <x:c r="K181" s="20" t="n">
        <x:v>1901.841747175703</x:v>
      </x:c>
      <x:c r="L181" s="20" t="n">
        <x:f>(1-J181/VLOOKUP(E181,'口径说明'!$A$6:$E$8,4,FALSE))*100</x:f>
        <x:v>35.266593693194835</x:v>
      </x:c>
      <x:c r="M181" s="20" t="n">
        <x:f>VLOOKUP(E181,'口径说明'!$A$6:$E$8,2,FALSE)-G181</x:f>
        <x:v>16</x:v>
      </x:c>
      <x:c r="N181" s="22" t="n">
        <x:f>VLOOKUP(E181,'口径说明'!$A$6:$E$8,3,FALSE)-H181</x:f>
        <x:v>0.009999999999999995</x:v>
      </x:c>
      <x:c r="O181" s="24" t="n">
        <x:f>VLOOKUP(E181,'口径说明'!$A$6:$E$8,4,FALSE)*(1-B181/100)-J181</x:f>
        <x:v>0.21066374772779328</x:v>
      </x:c>
      <x:c r="P181" s="26" t="str">
        <x:f>IF(AND(M181&gt;=-0.0000001,N181&gt;=-0.0000001,O181&gt;=-0.0000001),"满足","不满足")</x:f>
        <x:v>满足</x:v>
      </x:c>
    </x:row>
    <x:row r="182" ht="30" customHeight="1">
      <x:c r="A182" s="15" t="str">
        <x:v>SC010</x:v>
      </x:c>
      <x:c r="B182" s="17" t="n">
        <x:v>30</x:v>
      </x:c>
      <x:c r="C182" s="15" t="str">
        <x:v>SC010-013</x:v>
      </x:c>
      <x:c r="D182" s="15" t="str">
        <x:v>S008</x:v>
      </x:c>
      <x:c r="E182" s="15" t="str">
        <x:v>C</x:v>
      </x:c>
      <x:c r="F182" s="16" t="str">
        <x:v>S008-MED-01; S008-WAT-01; S008-WAT-02</x:v>
      </x:c>
      <x:c r="G182" s="21" t="n">
        <x:v>31</x:v>
      </x:c>
      <x:c r="H182" s="23" t="n">
        <x:v>0.066</x:v>
      </x:c>
      <x:c r="I182" s="21" t="n">
        <x:v>1389.7115246008332</x:v>
      </x:c>
      <x:c r="J182" s="25" t="n">
        <x:v>5.463424931151853</x:v>
      </x:c>
      <x:c r="K182" s="21" t="n">
        <x:v>2067.7115246008334</x:v>
      </x:c>
      <x:c r="L182" s="21" t="n">
        <x:f>(1-J182/VLOOKUP(E182,'口径说明'!$A$6:$E$8,4,FALSE))*100</x:f>
        <x:v>31.707188360601833</x:v>
      </x:c>
      <x:c r="M182" s="21" t="n">
        <x:f>VLOOKUP(E182,'口径说明'!$A$6:$E$8,2,FALSE)-G182</x:f>
        <x:v>49</x:v>
      </x:c>
      <x:c r="N182" s="23" t="n">
        <x:f>VLOOKUP(E182,'口径说明'!$A$6:$E$8,3,FALSE)-H182</x:f>
        <x:v>0.184</x:v>
      </x:c>
      <x:c r="O182" s="25" t="n">
        <x:f>VLOOKUP(E182,'口径说明'!$A$6:$E$8,4,FALSE)*(1-B182/100)-J182</x:f>
        <x:v>0.1365750688481464</x:v>
      </x:c>
      <x:c r="P182" s="27" t="str">
        <x:f>IF(AND(M182&gt;=-0.0000001,N182&gt;=-0.0000001,O182&gt;=-0.0000001),"满足","不满足")</x:f>
        <x:v>满足</x:v>
      </x:c>
    </x:row>
    <x:row r="183" ht="30" customHeight="1">
      <x:c r="A183" s="2" t="str">
        <x:v>SC010</x:v>
      </x:c>
      <x:c r="B183" s="14" t="n">
        <x:v>30</x:v>
      </x:c>
      <x:c r="C183" s="2" t="str">
        <x:v>SC010-014</x:v>
      </x:c>
      <x:c r="D183" s="2" t="str">
        <x:v>S009</x:v>
      </x:c>
      <x:c r="E183" s="2" t="str">
        <x:v>B</x:v>
      </x:c>
      <x:c r="F183" s="13" t="str">
        <x:v>S009-MED-01; S009-WAT-01; S009-FOD-01</x:v>
      </x:c>
      <x:c r="G183" s="20" t="n">
        <x:v>25</x:v>
      </x:c>
      <x:c r="H183" s="22" t="n">
        <x:v>0.067</x:v>
      </x:c>
      <x:c r="I183" s="20" t="n">
        <x:v>928.4628643343575</x:v>
      </x:c>
      <x:c r="J183" s="24" t="n">
        <x:v>2.0962654017373348</x:v>
      </x:c>
      <x:c r="K183" s="20" t="n">
        <x:v>1558.4628643343576</x:v>
      </x:c>
      <x:c r="L183" s="20" t="n">
        <x:f>(1-J183/VLOOKUP(E183,'口径说明'!$A$6:$E$8,4,FALSE))*100</x:f>
        <x:v>47.59336495656663</x:v>
      </x:c>
      <x:c r="M183" s="20" t="n">
        <x:f>VLOOKUP(E183,'口径说明'!$A$6:$E$8,2,FALSE)-G183</x:f>
        <x:v>5</x:v>
      </x:c>
      <x:c r="N183" s="22" t="n">
        <x:f>VLOOKUP(E183,'口径说明'!$A$6:$E$8,3,FALSE)-H183</x:f>
        <x:v>0.0059999999999999915</x:v>
      </x:c>
      <x:c r="O183" s="24" t="n">
        <x:f>VLOOKUP(E183,'口径说明'!$A$6:$E$8,4,FALSE)*(1-B183/100)-J183</x:f>
        <x:v>0.703734598262665</x:v>
      </x:c>
      <x:c r="P183" s="26" t="str">
        <x:f>IF(AND(M183&gt;=-0.0000001,N183&gt;=-0.0000001,O183&gt;=-0.0000001),"满足","不满足")</x:f>
        <x:v>满足</x:v>
      </x:c>
    </x:row>
    <x:row r="184" ht="30" customHeight="1">
      <x:c r="A184" s="15" t="str">
        <x:v>SC010</x:v>
      </x:c>
      <x:c r="B184" s="17" t="n">
        <x:v>30</x:v>
      </x:c>
      <x:c r="C184" s="15" t="str">
        <x:v>SC010-015</x:v>
      </x:c>
      <x:c r="D184" s="15" t="str">
        <x:v>S010</x:v>
      </x:c>
      <x:c r="E184" s="15" t="str">
        <x:v>B</x:v>
      </x:c>
      <x:c r="F184" s="16" t="str">
        <x:v>S010-MED-01; S010-WAT-01; S010-FOD-01</x:v>
      </x:c>
      <x:c r="G184" s="21" t="n">
        <x:v>25</x:v>
      </x:c>
      <x:c r="H184" s="23" t="n">
        <x:v>0.067</x:v>
      </x:c>
      <x:c r="I184" s="21" t="n">
        <x:v>925.4035197802174</x:v>
      </x:c>
      <x:c r="J184" s="25" t="n">
        <x:v>1.8232165642314142</x:v>
      </x:c>
      <x:c r="K184" s="21" t="n">
        <x:v>1555.4035197802173</x:v>
      </x:c>
      <x:c r="L184" s="21" t="n">
        <x:f>(1-J184/VLOOKUP(E184,'口径说明'!$A$6:$E$8,4,FALSE))*100</x:f>
        <x:v>54.41958589421465</x:v>
      </x:c>
      <x:c r="M184" s="21" t="n">
        <x:f>VLOOKUP(E184,'口径说明'!$A$6:$E$8,2,FALSE)-G184</x:f>
        <x:v>5</x:v>
      </x:c>
      <x:c r="N184" s="23" t="n">
        <x:f>VLOOKUP(E184,'口径说明'!$A$6:$E$8,3,FALSE)-H184</x:f>
        <x:v>0.0059999999999999915</x:v>
      </x:c>
      <x:c r="O184" s="25" t="n">
        <x:f>VLOOKUP(E184,'口径说明'!$A$6:$E$8,4,FALSE)*(1-B184/100)-J184</x:f>
        <x:v>0.9767834357685856</x:v>
      </x:c>
      <x:c r="P184" s="27" t="str">
        <x:f>IF(AND(M184&gt;=-0.0000001,N184&gt;=-0.0000001,O184&gt;=-0.0000001),"满足","不满足")</x:f>
        <x:v>满足</x:v>
      </x:c>
    </x:row>
    <x:row r="185" ht="30" customHeight="1">
      <x:c r="A185" s="2" t="str">
        <x:v>SC010</x:v>
      </x:c>
      <x:c r="B185" s="14" t="n">
        <x:v>30</x:v>
      </x:c>
      <x:c r="C185" s="2" t="str">
        <x:v>SC010-016</x:v>
      </x:c>
      <x:c r="D185" s="2" t="str">
        <x:v>S011</x:v>
      </x:c>
      <x:c r="E185" s="2" t="str">
        <x:v>B</x:v>
      </x:c>
      <x:c r="F185" s="13" t="str">
        <x:v>S011-MED-01; S011-WAT-01; S011-FOD-01</x:v>
      </x:c>
      <x:c r="G185" s="20" t="n">
        <x:v>25</x:v>
      </x:c>
      <x:c r="H185" s="22" t="n">
        <x:v>0.067</x:v>
      </x:c>
      <x:c r="I185" s="20" t="n">
        <x:v>558.4247628605204</x:v>
      </x:c>
      <x:c r="J185" s="24" t="n">
        <x:v>1.0739366863951034</x:v>
      </x:c>
      <x:c r="K185" s="20" t="n">
        <x:v>1188.4247628605203</x:v>
      </x:c>
      <x:c r="L185" s="20" t="n">
        <x:f>(1-J185/VLOOKUP(E185,'口径说明'!$A$6:$E$8,4,FALSE))*100</x:f>
        <x:v>73.15158284012242</x:v>
      </x:c>
      <x:c r="M185" s="20" t="n">
        <x:f>VLOOKUP(E185,'口径说明'!$A$6:$E$8,2,FALSE)-G185</x:f>
        <x:v>5</x:v>
      </x:c>
      <x:c r="N185" s="22" t="n">
        <x:f>VLOOKUP(E185,'口径说明'!$A$6:$E$8,3,FALSE)-H185</x:f>
        <x:v>0.0059999999999999915</x:v>
      </x:c>
      <x:c r="O185" s="24" t="n">
        <x:f>VLOOKUP(E185,'口径说明'!$A$6:$E$8,4,FALSE)*(1-B185/100)-J185</x:f>
        <x:v>1.7260633136048964</x:v>
      </x:c>
      <x:c r="P185" s="26" t="str">
        <x:f>IF(AND(M185&gt;=-0.0000001,N185&gt;=-0.0000001,O185&gt;=-0.0000001),"满足","不满足")</x:f>
        <x:v>满足</x:v>
      </x:c>
    </x:row>
    <x:row r="186" ht="30" customHeight="1">
      <x:c r="A186" s="15" t="str">
        <x:v>SC010</x:v>
      </x:c>
      <x:c r="B186" s="17" t="n">
        <x:v>30</x:v>
      </x:c>
      <x:c r="C186" s="15" t="str">
        <x:v>SC010-017</x:v>
      </x:c>
      <x:c r="D186" s="15" t="str">
        <x:v>S012</x:v>
      </x:c>
      <x:c r="E186" s="15" t="str">
        <x:v>B</x:v>
      </x:c>
      <x:c r="F186" s="16" t="str">
        <x:v>S012-MED-01; S012-WAT-01; S012-FOD-01</x:v>
      </x:c>
      <x:c r="G186" s="21" t="n">
        <x:v>25</x:v>
      </x:c>
      <x:c r="H186" s="23" t="n">
        <x:v>0.067</x:v>
      </x:c>
      <x:c r="I186" s="21" t="n">
        <x:v>1292.826814149187</x:v>
      </x:c>
      <x:c r="J186" s="25" t="n">
        <x:v>2.7525999542899324</x:v>
      </x:c>
      <x:c r="K186" s="21" t="n">
        <x:v>1922.826814149187</x:v>
      </x:c>
      <x:c r="L186" s="21" t="n">
        <x:f>(1-J186/VLOOKUP(E186,'口径说明'!$A$6:$E$8,4,FALSE))*100</x:f>
        <x:v>31.185001142751688</x:v>
      </x:c>
      <x:c r="M186" s="21" t="n">
        <x:f>VLOOKUP(E186,'口径说明'!$A$6:$E$8,2,FALSE)-G186</x:f>
        <x:v>5</x:v>
      </x:c>
      <x:c r="N186" s="23" t="n">
        <x:f>VLOOKUP(E186,'口径说明'!$A$6:$E$8,3,FALSE)-H186</x:f>
        <x:v>0.0059999999999999915</x:v>
      </x:c>
      <x:c r="O186" s="25" t="n">
        <x:f>VLOOKUP(E186,'口径说明'!$A$6:$E$8,4,FALSE)*(1-B186/100)-J186</x:f>
        <x:v>0.047400045710067396</x:v>
      </x:c>
      <x:c r="P186" s="27" t="str">
        <x:f>IF(AND(M186&gt;=-0.0000001,N186&gt;=-0.0000001,O186&gt;=-0.0000001),"满足","不满足")</x:f>
        <x:v>满足</x:v>
      </x:c>
    </x:row>
    <x:row r="187" ht="30" customHeight="1">
      <x:c r="A187" s="2" t="str">
        <x:v>SC010</x:v>
      </x:c>
      <x:c r="B187" s="14" t="n">
        <x:v>30</x:v>
      </x:c>
      <x:c r="C187" s="2" t="str">
        <x:v>SC010-018</x:v>
      </x:c>
      <x:c r="D187" s="2" t="str">
        <x:v>S013</x:v>
      </x:c>
      <x:c r="E187" s="2" t="str">
        <x:v>B</x:v>
      </x:c>
      <x:c r="F187" s="13" t="str">
        <x:v>S013-MED-01; S013-WAT-01; S013-FOD-01</x:v>
      </x:c>
      <x:c r="G187" s="20" t="n">
        <x:v>25</x:v>
      </x:c>
      <x:c r="H187" s="22" t="n">
        <x:v>0.067</x:v>
      </x:c>
      <x:c r="I187" s="20" t="n">
        <x:v>880.511588744525</x:v>
      </x:c>
      <x:c r="J187" s="24" t="n">
        <x:v>1.8248281910807471</x:v>
      </x:c>
      <x:c r="K187" s="20" t="n">
        <x:v>1510.511588744525</x:v>
      </x:c>
      <x:c r="L187" s="20" t="n">
        <x:f>(1-J187/VLOOKUP(E187,'口径说明'!$A$6:$E$8,4,FALSE))*100</x:f>
        <x:v>54.37929522298133</x:v>
      </x:c>
      <x:c r="M187" s="20" t="n">
        <x:f>VLOOKUP(E187,'口径说明'!$A$6:$E$8,2,FALSE)-G187</x:f>
        <x:v>5</x:v>
      </x:c>
      <x:c r="N187" s="22" t="n">
        <x:f>VLOOKUP(E187,'口径说明'!$A$6:$E$8,3,FALSE)-H187</x:f>
        <x:v>0.0059999999999999915</x:v>
      </x:c>
      <x:c r="O187" s="24" t="n">
        <x:f>VLOOKUP(E187,'口径说明'!$A$6:$E$8,4,FALSE)*(1-B187/100)-J187</x:f>
        <x:v>0.9751718089192527</x:v>
      </x:c>
      <x:c r="P187" s="26" t="str">
        <x:f>IF(AND(M187&gt;=-0.0000001,N187&gt;=-0.0000001,O187&gt;=-0.0000001),"满足","不满足")</x:f>
        <x:v>满足</x:v>
      </x:c>
    </x:row>
    <x:row r="188" ht="30" customHeight="1">
      <x:c r="A188" s="15" t="str">
        <x:v>SC010</x:v>
      </x:c>
      <x:c r="B188" s="17" t="n">
        <x:v>30</x:v>
      </x:c>
      <x:c r="C188" s="15" t="str">
        <x:v>SC010-019</x:v>
      </x:c>
      <x:c r="D188" s="15" t="str">
        <x:v>S014</x:v>
      </x:c>
      <x:c r="E188" s="15" t="str">
        <x:v>B</x:v>
      </x:c>
      <x:c r="F188" s="16" t="str">
        <x:v>S014-MED-01; S014-WAT-01; S014-FOD-01</x:v>
      </x:c>
      <x:c r="G188" s="21" t="n">
        <x:v>25</x:v>
      </x:c>
      <x:c r="H188" s="23" t="n">
        <x:v>0.067</x:v>
      </x:c>
      <x:c r="I188" s="21" t="n">
        <x:v>1239.7476752786913</x:v>
      </x:c>
      <x:c r="J188" s="25" t="n">
        <x:v>2.1402909781417883</x:v>
      </x:c>
      <x:c r="K188" s="21" t="n">
        <x:v>1869.7476752786913</x:v>
      </x:c>
      <x:c r="L188" s="21" t="n">
        <x:f>(1-J188/VLOOKUP(E188,'口径说明'!$A$6:$E$8,4,FALSE))*100</x:f>
        <x:v>46.49272554645529</x:v>
      </x:c>
      <x:c r="M188" s="21" t="n">
        <x:f>VLOOKUP(E188,'口径说明'!$A$6:$E$8,2,FALSE)-G188</x:f>
        <x:v>5</x:v>
      </x:c>
      <x:c r="N188" s="23" t="n">
        <x:f>VLOOKUP(E188,'口径说明'!$A$6:$E$8,3,FALSE)-H188</x:f>
        <x:v>0.0059999999999999915</x:v>
      </x:c>
      <x:c r="O188" s="25" t="n">
        <x:f>VLOOKUP(E188,'口径说明'!$A$6:$E$8,4,FALSE)*(1-B188/100)-J188</x:f>
        <x:v>0.6597090218582116</x:v>
      </x:c>
      <x:c r="P188" s="27" t="str">
        <x:f>IF(AND(M188&gt;=-0.0000001,N188&gt;=-0.0000001,O188&gt;=-0.0000001),"满足","不满足")</x:f>
        <x:v>满足</x:v>
      </x:c>
    </x:row>
    <x:row r="189" ht="30" customHeight="1">
      <x:c r="A189" s="2" t="str">
        <x:v>SC010</x:v>
      </x:c>
      <x:c r="B189" s="14" t="n">
        <x:v>30</x:v>
      </x:c>
      <x:c r="C189" s="2" t="str">
        <x:v>SC010-020</x:v>
      </x:c>
      <x:c r="D189" s="2" t="str">
        <x:v>S015</x:v>
      </x:c>
      <x:c r="E189" s="2" t="str">
        <x:v>B</x:v>
      </x:c>
      <x:c r="F189" s="13" t="str">
        <x:v>S015-MED-01; S015-WAT-01; S015-FOD-01</x:v>
      </x:c>
      <x:c r="G189" s="20" t="n">
        <x:v>25</x:v>
      </x:c>
      <x:c r="H189" s="22" t="n">
        <x:v>0.067</x:v>
      </x:c>
      <x:c r="I189" s="20" t="n">
        <x:v>1198.3275601736595</x:v>
      </x:c>
      <x:c r="J189" s="24" t="n">
        <x:v>2.307528505752516</x:v>
      </x:c>
      <x:c r="K189" s="20" t="n">
        <x:v>1828.3275601736595</x:v>
      </x:c>
      <x:c r="L189" s="20" t="n">
        <x:f>(1-J189/VLOOKUP(E189,'口径说明'!$A$6:$E$8,4,FALSE))*100</x:f>
        <x:v>42.311787356187104</x:v>
      </x:c>
      <x:c r="M189" s="20" t="n">
        <x:f>VLOOKUP(E189,'口径说明'!$A$6:$E$8,2,FALSE)-G189</x:f>
        <x:v>5</x:v>
      </x:c>
      <x:c r="N189" s="22" t="n">
        <x:f>VLOOKUP(E189,'口径说明'!$A$6:$E$8,3,FALSE)-H189</x:f>
        <x:v>0.0059999999999999915</x:v>
      </x:c>
      <x:c r="O189" s="24" t="n">
        <x:f>VLOOKUP(E189,'口径说明'!$A$6:$E$8,4,FALSE)*(1-B189/100)-J189</x:f>
        <x:v>0.49247149424748393</x:v>
      </x:c>
      <x:c r="P189" s="26" t="str">
        <x:f>IF(AND(M189&gt;=-0.0000001,N189&gt;=-0.0000001,O189&gt;=-0.0000001),"满足","不满足")</x:f>
        <x:v>满足</x:v>
      </x:c>
    </x:row>
    <x:row r="190" ht="61" customHeight="1">
      <x:c r="A190" s="15" t="str">
        <x:v>SC011</x:v>
      </x:c>
      <x:c r="B190" s="17" t="n">
        <x:v>32.5</x:v>
      </x:c>
      <x:c r="C190" s="15" t="str">
        <x:v>SC011-001</x:v>
      </x:c>
      <x:c r="D190" s="15" t="str">
        <x:v>S001</x:v>
      </x:c>
      <x:c r="E190" s="15" t="str">
        <x:v>C</x:v>
      </x:c>
      <x:c r="F190" s="16" t="str">
        <x:v>S001-WAT-01; S001-WAT-02; S001-WAT-03; S001-FOD-01; S001-FOD-02; S001-FOD-03; S001-HYG-01; S001-HYG-02</x:v>
      </x:c>
      <x:c r="G190" s="21" t="n">
        <x:v>78</x:v>
      </x:c>
      <x:c r="H190" s="23" t="n">
        <x:v>0.235</x:v>
      </x:c>
      <x:c r="I190" s="21" t="n">
        <x:v>618.1750458620229</x:v>
      </x:c>
      <x:c r="J190" s="25" t="n">
        <x:v>2.9957758049046697</x:v>
      </x:c>
      <x:c r="K190" s="21" t="n">
        <x:v>1626.175045862023</x:v>
      </x:c>
      <x:c r="L190" s="21" t="n">
        <x:f>(1-J190/VLOOKUP(E190,'口径说明'!$A$6:$E$8,4,FALSE))*100</x:f>
        <x:v>62.552802438691636</x:v>
      </x:c>
      <x:c r="M190" s="21" t="n">
        <x:f>VLOOKUP(E190,'口径说明'!$A$6:$E$8,2,FALSE)-G190</x:f>
        <x:v>2</x:v>
      </x:c>
      <x:c r="N190" s="23" t="n">
        <x:f>VLOOKUP(E190,'口径说明'!$A$6:$E$8,3,FALSE)-H190</x:f>
        <x:v>0.015000000000000013</x:v>
      </x:c>
      <x:c r="O190" s="25" t="n">
        <x:f>VLOOKUP(E190,'口径说明'!$A$6:$E$8,4,FALSE)*(1-B190/100)-J190</x:f>
        <x:v>2.4042241950953307</x:v>
      </x:c>
      <x:c r="P190" s="27" t="str">
        <x:f>IF(AND(M190&gt;=-0.0000001,N190&gt;=-0.0000001,O190&gt;=-0.0000001),"满足","不满足")</x:f>
        <x:v>满足</x:v>
      </x:c>
    </x:row>
    <x:row r="191" ht="44" customHeight="1">
      <x:c r="A191" s="2" t="str">
        <x:v>SC011</x:v>
      </x:c>
      <x:c r="B191" s="14" t="n">
        <x:v>32.5</x:v>
      </x:c>
      <x:c r="C191" s="2" t="str">
        <x:v>SC011-002</x:v>
      </x:c>
      <x:c r="D191" s="2" t="str">
        <x:v>S001</x:v>
      </x:c>
      <x:c r="E191" s="2" t="str">
        <x:v>C</x:v>
      </x:c>
      <x:c r="F191" s="13" t="str">
        <x:v>S001-MED-01; S001-MED-02; S001-WAT-04; S001-WAT-05; S001-WAT-06; S001-WAT-07; S001-WAT-08</x:v>
      </x:c>
      <x:c r="G191" s="20" t="n">
        <x:v>76</x:v>
      </x:c>
      <x:c r="H191" s="22" t="n">
        <x:v>0.159</x:v>
      </x:c>
      <x:c r="I191" s="20" t="n">
        <x:v>618.1750458620229</x:v>
      </x:c>
      <x:c r="J191" s="24" t="n">
        <x:v>2.917588095586827</x:v>
      </x:c>
      <x:c r="K191" s="20" t="n">
        <x:v>1560.175045862023</x:v>
      </x:c>
      <x:c r="L191" s="20" t="n">
        <x:f>(1-J191/VLOOKUP(E191,'口径说明'!$A$6:$E$8,4,FALSE))*100</x:f>
        <x:v>63.53014880516466</x:v>
      </x:c>
      <x:c r="M191" s="20" t="n">
        <x:f>VLOOKUP(E191,'口径说明'!$A$6:$E$8,2,FALSE)-G191</x:f>
        <x:v>4</x:v>
      </x:c>
      <x:c r="N191" s="22" t="n">
        <x:f>VLOOKUP(E191,'口径说明'!$A$6:$E$8,3,FALSE)-H191</x:f>
        <x:v>0.091</x:v>
      </x:c>
      <x:c r="O191" s="24" t="n">
        <x:f>VLOOKUP(E191,'口径说明'!$A$6:$E$8,4,FALSE)*(1-B191/100)-J191</x:f>
        <x:v>2.482411904413173</x:v>
      </x:c>
      <x:c r="P191" s="26" t="str">
        <x:f>IF(AND(M191&gt;=-0.0000001,N191&gt;=-0.0000001,O191&gt;=-0.0000001),"满足","不满足")</x:f>
        <x:v>满足</x:v>
      </x:c>
    </x:row>
    <x:row r="192" ht="44" customHeight="1">
      <x:c r="A192" s="15" t="str">
        <x:v>SC011</x:v>
      </x:c>
      <x:c r="B192" s="17" t="n">
        <x:v>32.5</x:v>
      </x:c>
      <x:c r="C192" s="15" t="str">
        <x:v>SC011-003</x:v>
      </x:c>
      <x:c r="D192" s="15" t="str">
        <x:v>S002</x:v>
      </x:c>
      <x:c r="E192" s="15" t="str">
        <x:v>C</x:v>
      </x:c>
      <x:c r="F192" s="16" t="str">
        <x:v>S002-WAT-01; S002-WAT-02; S002-FOD-01; S002-HYG-01</x:v>
      </x:c>
      <x:c r="G192" s="21" t="n">
        <x:v>42</x:v>
      </x:c>
      <x:c r="H192" s="23" t="n">
        <x:v>0.117</x:v>
      </x:c>
      <x:c r="I192" s="21" t="n">
        <x:v>1231.8421660245544</x:v>
      </x:c>
      <x:c r="J192" s="25" t="n">
        <x:v>5.248771058449141</x:v>
      </x:c>
      <x:c r="K192" s="21" t="n">
        <x:v>1975.8421660245544</x:v>
      </x:c>
      <x:c r="L192" s="21" t="n">
        <x:f>(1-J192/VLOOKUP(E192,'口径说明'!$A$6:$E$8,4,FALSE))*100</x:f>
        <x:v>34.390361769385734</x:v>
      </x:c>
      <x:c r="M192" s="21" t="n">
        <x:f>VLOOKUP(E192,'口径说明'!$A$6:$E$8,2,FALSE)-G192</x:f>
        <x:v>38</x:v>
      </x:c>
      <x:c r="N192" s="23" t="n">
        <x:f>VLOOKUP(E192,'口径说明'!$A$6:$E$8,3,FALSE)-H192</x:f>
        <x:v>0.133</x:v>
      </x:c>
      <x:c r="O192" s="25" t="n">
        <x:f>VLOOKUP(E192,'口径说明'!$A$6:$E$8,4,FALSE)*(1-B192/100)-J192</x:f>
        <x:v>0.1512289415508592</x:v>
      </x:c>
      <x:c r="P192" s="27" t="str">
        <x:f>IF(AND(M192&gt;=-0.0000001,N192&gt;=-0.0000001,O192&gt;=-0.0000001),"满足","不满足")</x:f>
        <x:v>满足</x:v>
      </x:c>
    </x:row>
    <x:row r="193" ht="44" customHeight="1">
      <x:c r="A193" s="2" t="str">
        <x:v>SC011</x:v>
      </x:c>
      <x:c r="B193" s="14" t="n">
        <x:v>32.5</x:v>
      </x:c>
      <x:c r="C193" s="2" t="str">
        <x:v>SC011-004</x:v>
      </x:c>
      <x:c r="D193" s="2" t="str">
        <x:v>S002</x:v>
      </x:c>
      <x:c r="E193" s="2" t="str">
        <x:v>C</x:v>
      </x:c>
      <x:c r="F193" s="13" t="str">
        <x:v>S002-MED-01; S002-WAT-03; S002-WAT-04; S002-FOD-02</x:v>
      </x:c>
      <x:c r="G193" s="20" t="n">
        <x:v>39</x:v>
      </x:c>
      <x:c r="H193" s="22" t="n">
        <x:v>0.094</x:v>
      </x:c>
      <x:c r="I193" s="20" t="n">
        <x:v>1231.8421660245544</x:v>
      </x:c>
      <x:c r="J193" s="24" t="n">
        <x:v>5.1710432316735</x:v>
      </x:c>
      <x:c r="K193" s="20" t="n">
        <x:v>1975.8421660245544</x:v>
      </x:c>
      <x:c r="L193" s="20" t="n">
        <x:f>(1-J193/VLOOKUP(E193,'口径说明'!$A$6:$E$8,4,FALSE))*100</x:f>
        <x:v>35.36195960408125</x:v>
      </x:c>
      <x:c r="M193" s="20" t="n">
        <x:f>VLOOKUP(E193,'口径说明'!$A$6:$E$8,2,FALSE)-G193</x:f>
        <x:v>41</x:v>
      </x:c>
      <x:c r="N193" s="22" t="n">
        <x:f>VLOOKUP(E193,'口径说明'!$A$6:$E$8,3,FALSE)-H193</x:f>
        <x:v>0.156</x:v>
      </x:c>
      <x:c r="O193" s="24" t="n">
        <x:f>VLOOKUP(E193,'口径说明'!$A$6:$E$8,4,FALSE)*(1-B193/100)-J193</x:f>
        <x:v>0.22895676832650036</x:v>
      </x:c>
      <x:c r="P193" s="26" t="str">
        <x:f>IF(AND(M193&gt;=-0.0000001,N193&gt;=-0.0000001,O193&gt;=-0.0000001),"满足","不满足")</x:f>
        <x:v>满足</x:v>
      </x:c>
    </x:row>
    <x:row r="194" ht="44" customHeight="1">
      <x:c r="A194" s="15" t="str">
        <x:v>SC011</x:v>
      </x:c>
      <x:c r="B194" s="17" t="n">
        <x:v>32.5</x:v>
      </x:c>
      <x:c r="C194" s="15" t="str">
        <x:v>SC011-005</x:v>
      </x:c>
      <x:c r="D194" s="15" t="str">
        <x:v>S003</x:v>
      </x:c>
      <x:c r="E194" s="15" t="str">
        <x:v>C</x:v>
      </x:c>
      <x:c r="F194" s="16" t="str">
        <x:v>S003-WAT-01; S003-WAT-02; S003-FOD-01; S003-HYG-01</x:v>
      </x:c>
      <x:c r="G194" s="21" t="n">
        <x:v>42</x:v>
      </x:c>
      <x:c r="H194" s="23" t="n">
        <x:v>0.117</x:v>
      </x:c>
      <x:c r="I194" s="21" t="n">
        <x:v>1560.1777110992603</x:v>
      </x:c>
      <x:c r="J194" s="25" t="n">
        <x:v>5.288613559218573</x:v>
      </x:c>
      <x:c r="K194" s="21" t="n">
        <x:v>2304.1777110992603</x:v>
      </x:c>
      <x:c r="L194" s="21" t="n">
        <x:f>(1-J194/VLOOKUP(E194,'口径说明'!$A$6:$E$8,4,FALSE))*100</x:f>
        <x:v>33.892330509767845</x:v>
      </x:c>
      <x:c r="M194" s="21" t="n">
        <x:f>VLOOKUP(E194,'口径说明'!$A$6:$E$8,2,FALSE)-G194</x:f>
        <x:v>38</x:v>
      </x:c>
      <x:c r="N194" s="23" t="n">
        <x:f>VLOOKUP(E194,'口径说明'!$A$6:$E$8,3,FALSE)-H194</x:f>
        <x:v>0.133</x:v>
      </x:c>
      <x:c r="O194" s="25" t="n">
        <x:f>VLOOKUP(E194,'口径说明'!$A$6:$E$8,4,FALSE)*(1-B194/100)-J194</x:f>
        <x:v>0.11138644078142779</x:v>
      </x:c>
      <x:c r="P194" s="27" t="str">
        <x:f>IF(AND(M194&gt;=-0.0000001,N194&gt;=-0.0000001,O194&gt;=-0.0000001),"满足","不满足")</x:f>
        <x:v>满足</x:v>
      </x:c>
    </x:row>
    <x:row r="195" ht="44" customHeight="1">
      <x:c r="A195" s="2" t="str">
        <x:v>SC011</x:v>
      </x:c>
      <x:c r="B195" s="14" t="n">
        <x:v>32.5</x:v>
      </x:c>
      <x:c r="C195" s="2" t="str">
        <x:v>SC011-006</x:v>
      </x:c>
      <x:c r="D195" s="2" t="str">
        <x:v>S003</x:v>
      </x:c>
      <x:c r="E195" s="2" t="str">
        <x:v>C</x:v>
      </x:c>
      <x:c r="F195" s="13" t="str">
        <x:v>S003-MED-01; S003-WAT-03; S003-WAT-04; S003-FOD-02</x:v>
      </x:c>
      <x:c r="G195" s="20" t="n">
        <x:v>39</x:v>
      </x:c>
      <x:c r="H195" s="22" t="n">
        <x:v>0.094</x:v>
      </x:c>
      <x:c r="I195" s="20" t="n">
        <x:v>1560.1777110992603</x:v>
      </x:c>
      <x:c r="J195" s="24" t="n">
        <x:v>5.209523875650586</x:v>
      </x:c>
      <x:c r="K195" s="20" t="n">
        <x:v>2304.1777110992603</x:v>
      </x:c>
      <x:c r="L195" s="20" t="n">
        <x:f>(1-J195/VLOOKUP(E195,'口径说明'!$A$6:$E$8,4,FALSE))*100</x:f>
        <x:v>34.88095155436768</x:v>
      </x:c>
      <x:c r="M195" s="20" t="n">
        <x:f>VLOOKUP(E195,'口径说明'!$A$6:$E$8,2,FALSE)-G195</x:f>
        <x:v>41</x:v>
      </x:c>
      <x:c r="N195" s="22" t="n">
        <x:f>VLOOKUP(E195,'口径说明'!$A$6:$E$8,3,FALSE)-H195</x:f>
        <x:v>0.156</x:v>
      </x:c>
      <x:c r="O195" s="24" t="n">
        <x:f>VLOOKUP(E195,'口径说明'!$A$6:$E$8,4,FALSE)*(1-B195/100)-J195</x:f>
        <x:v>0.19047612434941463</x:v>
      </x:c>
      <x:c r="P195" s="26" t="str">
        <x:f>IF(AND(M195&gt;=-0.0000001,N195&gt;=-0.0000001,O195&gt;=-0.0000001),"满足","不满足")</x:f>
        <x:v>满足</x:v>
      </x:c>
    </x:row>
    <x:row r="196" ht="30" customHeight="1">
      <x:c r="A196" s="15" t="str">
        <x:v>SC011</x:v>
      </x:c>
      <x:c r="B196" s="17" t="n">
        <x:v>32.5</x:v>
      </x:c>
      <x:c r="C196" s="15" t="str">
        <x:v>SC011-007</x:v>
      </x:c>
      <x:c r="D196" s="15" t="str">
        <x:v>S004</x:v>
      </x:c>
      <x:c r="E196" s="15" t="str">
        <x:v>C</x:v>
      </x:c>
      <x:c r="F196" s="16" t="str">
        <x:v>S004-WAT-01; S004-FOD-01; S004-HYG-01</x:v>
      </x:c>
      <x:c r="G196" s="21" t="n">
        <x:v>28</x:v>
      </x:c>
      <x:c r="H196" s="23" t="n">
        <x:v>0.09</x:v>
      </x:c>
      <x:c r="I196" s="21" t="n">
        <x:v>1425.0547187724458</x:v>
      </x:c>
      <x:c r="J196" s="25" t="n">
        <x:v>5.190519293755733</x:v>
      </x:c>
      <x:c r="K196" s="21" t="n">
        <x:v>2103.054718772446</x:v>
      </x:c>
      <x:c r="L196" s="21" t="n">
        <x:f>(1-J196/VLOOKUP(E196,'口径说明'!$A$6:$E$8,4,FALSE))*100</x:f>
        <x:v>35.11850882805334</x:v>
      </x:c>
      <x:c r="M196" s="21" t="n">
        <x:f>VLOOKUP(E196,'口径说明'!$A$6:$E$8,2,FALSE)-G196</x:f>
        <x:v>52</x:v>
      </x:c>
      <x:c r="N196" s="23" t="n">
        <x:f>VLOOKUP(E196,'口径说明'!$A$6:$E$8,3,FALSE)-H196</x:f>
        <x:v>0.16</x:v>
      </x:c>
      <x:c r="O196" s="25" t="n">
        <x:f>VLOOKUP(E196,'口径说明'!$A$6:$E$8,4,FALSE)*(1-B196/100)-J196</x:f>
        <x:v>0.20948070624426762</x:v>
      </x:c>
      <x:c r="P196" s="27" t="str">
        <x:f>IF(AND(M196&gt;=-0.0000001,N196&gt;=-0.0000001,O196&gt;=-0.0000001),"满足","不满足")</x:f>
        <x:v>满足</x:v>
      </x:c>
    </x:row>
    <x:row r="197" ht="30" customHeight="1">
      <x:c r="A197" s="2" t="str">
        <x:v>SC011</x:v>
      </x:c>
      <x:c r="B197" s="14" t="n">
        <x:v>32.5</x:v>
      </x:c>
      <x:c r="C197" s="2" t="str">
        <x:v>SC011-008</x:v>
      </x:c>
      <x:c r="D197" s="2" t="str">
        <x:v>S004</x:v>
      </x:c>
      <x:c r="E197" s="2" t="str">
        <x:v>C</x:v>
      </x:c>
      <x:c r="F197" s="13" t="str">
        <x:v>S004-MED-01; S004-WAT-02; S004-WAT-03</x:v>
      </x:c>
      <x:c r="G197" s="20" t="n">
        <x:v>31</x:v>
      </x:c>
      <x:c r="H197" s="22" t="n">
        <x:v>0.066</x:v>
      </x:c>
      <x:c r="I197" s="20" t="n">
        <x:v>1425.0547187724458</x:v>
      </x:c>
      <x:c r="J197" s="24" t="n">
        <x:v>5.2500570534330375</x:v>
      </x:c>
      <x:c r="K197" s="20" t="n">
        <x:v>2103.054718772446</x:v>
      </x:c>
      <x:c r="L197" s="20" t="n">
        <x:f>(1-J197/VLOOKUP(E197,'口径说明'!$A$6:$E$8,4,FALSE))*100</x:f>
        <x:v>34.37428683208703</x:v>
      </x:c>
      <x:c r="M197" s="20" t="n">
        <x:f>VLOOKUP(E197,'口径说明'!$A$6:$E$8,2,FALSE)-G197</x:f>
        <x:v>49</x:v>
      </x:c>
      <x:c r="N197" s="22" t="n">
        <x:f>VLOOKUP(E197,'口径说明'!$A$6:$E$8,3,FALSE)-H197</x:f>
        <x:v>0.184</x:v>
      </x:c>
      <x:c r="O197" s="24" t="n">
        <x:f>VLOOKUP(E197,'口径说明'!$A$6:$E$8,4,FALSE)*(1-B197/100)-J197</x:f>
        <x:v>0.14994294656696283</x:v>
      </x:c>
      <x:c r="P197" s="26" t="str">
        <x:f>IF(AND(M197&gt;=-0.0000001,N197&gt;=-0.0000001,O197&gt;=-0.0000001),"满足","不满足")</x:f>
        <x:v>满足</x:v>
      </x:c>
    </x:row>
    <x:row r="198" ht="44" customHeight="1">
      <x:c r="A198" s="15" t="str">
        <x:v>SC011</x:v>
      </x:c>
      <x:c r="B198" s="17" t="n">
        <x:v>32.5</x:v>
      </x:c>
      <x:c r="C198" s="15" t="str">
        <x:v>SC011-009</x:v>
      </x:c>
      <x:c r="D198" s="15" t="str">
        <x:v>S005</x:v>
      </x:c>
      <x:c r="E198" s="15" t="str">
        <x:v>C</x:v>
      </x:c>
      <x:c r="F198" s="16" t="str">
        <x:v>S005-MED-01; S005-WAT-01; S005-WAT-02; S005-WAT-03; S005-FOD-01; S005-HYG-01</x:v>
      </x:c>
      <x:c r="G198" s="21" t="n">
        <x:v>59</x:v>
      </x:c>
      <x:c r="H198" s="23" t="n">
        <x:v>0.156</x:v>
      </x:c>
      <x:c r="I198" s="21" t="n">
        <x:v>1001.1887154914712</x:v>
      </x:c>
      <x:c r="J198" s="25" t="n">
        <x:v>4.222137373445114</x:v>
      </x:c>
      <x:c r="K198" s="21" t="n">
        <x:v>1877.1887154914712</x:v>
      </x:c>
      <x:c r="L198" s="21" t="n">
        <x:f>(1-J198/VLOOKUP(E198,'口径说明'!$A$6:$E$8,4,FALSE))*100</x:f>
        <x:v>47.223282831936075</x:v>
      </x:c>
      <x:c r="M198" s="21" t="n">
        <x:f>VLOOKUP(E198,'口径说明'!$A$6:$E$8,2,FALSE)-G198</x:f>
        <x:v>21</x:v>
      </x:c>
      <x:c r="N198" s="23" t="n">
        <x:f>VLOOKUP(E198,'口径说明'!$A$6:$E$8,3,FALSE)-H198</x:f>
        <x:v>0.094</x:v>
      </x:c>
      <x:c r="O198" s="25" t="n">
        <x:f>VLOOKUP(E198,'口径说明'!$A$6:$E$8,4,FALSE)*(1-B198/100)-J198</x:f>
        <x:v>1.1778626265548864</x:v>
      </x:c>
      <x:c r="P198" s="27" t="str">
        <x:f>IF(AND(M198&gt;=-0.0000001,N198&gt;=-0.0000001,O198&gt;=-0.0000001),"满足","不满足")</x:f>
        <x:v>满足</x:v>
      </x:c>
    </x:row>
    <x:row r="199" ht="44" customHeight="1">
      <x:c r="A199" s="2" t="str">
        <x:v>SC011</x:v>
      </x:c>
      <x:c r="B199" s="14" t="n">
        <x:v>32.5</x:v>
      </x:c>
      <x:c r="C199" s="2" t="str">
        <x:v>SC011-010</x:v>
      </x:c>
      <x:c r="D199" s="2" t="str">
        <x:v>S006</x:v>
      </x:c>
      <x:c r="E199" s="2" t="str">
        <x:v>C</x:v>
      </x:c>
      <x:c r="F199" s="13" t="str">
        <x:v>S006-MED-01; S006-WAT-01; S006-WAT-02; S006-WAT-03; S006-FOD-01; S006-HYG-01</x:v>
      </x:c>
      <x:c r="G199" s="20" t="n">
        <x:v>59</x:v>
      </x:c>
      <x:c r="H199" s="22" t="n">
        <x:v>0.156</x:v>
      </x:c>
      <x:c r="I199" s="20" t="n">
        <x:v>685.5526244866224</x:v>
      </x:c>
      <x:c r="J199" s="24" t="n">
        <x:v>2.5979362904386822</x:v>
      </x:c>
      <x:c r="K199" s="20" t="n">
        <x:v>1561.5526244866223</x:v>
      </x:c>
      <x:c r="L199" s="20" t="n">
        <x:f>(1-J199/VLOOKUP(E199,'口径说明'!$A$6:$E$8,4,FALSE))*100</x:f>
        <x:v>67.52579636951648</x:v>
      </x:c>
      <x:c r="M199" s="20" t="n">
        <x:f>VLOOKUP(E199,'口径说明'!$A$6:$E$8,2,FALSE)-G199</x:f>
        <x:v>21</x:v>
      </x:c>
      <x:c r="N199" s="22" t="n">
        <x:f>VLOOKUP(E199,'口径说明'!$A$6:$E$8,3,FALSE)-H199</x:f>
        <x:v>0.094</x:v>
      </x:c>
      <x:c r="O199" s="24" t="n">
        <x:f>VLOOKUP(E199,'口径说明'!$A$6:$E$8,4,FALSE)*(1-B199/100)-J199</x:f>
        <x:v>2.802063709561318</x:v>
      </x:c>
      <x:c r="P199" s="26" t="str">
        <x:f>IF(AND(M199&gt;=-0.0000001,N199&gt;=-0.0000001,O199&gt;=-0.0000001),"满足","不满足")</x:f>
        <x:v>满足</x:v>
      </x:c>
    </x:row>
    <x:row r="200" ht="44" customHeight="1">
      <x:c r="A200" s="15" t="str">
        <x:v>SC011</x:v>
      </x:c>
      <x:c r="B200" s="17" t="n">
        <x:v>32.5</x:v>
      </x:c>
      <x:c r="C200" s="15" t="str">
        <x:v>SC011-011</x:v>
      </x:c>
      <x:c r="D200" s="15" t="str">
        <x:v>S007</x:v>
      </x:c>
      <x:c r="E200" s="15" t="str">
        <x:v>C</x:v>
      </x:c>
      <x:c r="F200" s="16" t="str">
        <x:v>S007-MED-01; S007-WAT-01; S007-WAT-02; S007-FOD-01; S007-HYG-01</x:v>
      </x:c>
      <x:c r="G200" s="21" t="n">
        <x:v>45</x:v>
      </x:c>
      <x:c r="H200" s="23" t="n">
        <x:v>0.129</x:v>
      </x:c>
      <x:c r="I200" s="21" t="n">
        <x:v>1097.600698410691</x:v>
      </x:c>
      <x:c r="J200" s="25" t="n">
        <x:v>3.4110038084433194</x:v>
      </x:c>
      <x:c r="K200" s="21" t="n">
        <x:v>1907.600698410691</x:v>
      </x:c>
      <x:c r="L200" s="21" t="n">
        <x:f>(1-J200/VLOOKUP(E200,'口径说明'!$A$6:$E$8,4,FALSE))*100</x:f>
        <x:v>57.36245239445851</x:v>
      </x:c>
      <x:c r="M200" s="21" t="n">
        <x:f>VLOOKUP(E200,'口径说明'!$A$6:$E$8,2,FALSE)-G200</x:f>
        <x:v>35</x:v>
      </x:c>
      <x:c r="N200" s="23" t="n">
        <x:f>VLOOKUP(E200,'口径说明'!$A$6:$E$8,3,FALSE)-H200</x:f>
        <x:v>0.121</x:v>
      </x:c>
      <x:c r="O200" s="25" t="n">
        <x:f>VLOOKUP(E200,'口径说明'!$A$6:$E$8,4,FALSE)*(1-B200/100)-J200</x:f>
        <x:v>1.988996191556681</x:v>
      </x:c>
      <x:c r="P200" s="27" t="str">
        <x:f>IF(AND(M200&gt;=-0.0000001,N200&gt;=-0.0000001,O200&gt;=-0.0000001),"满足","不满足")</x:f>
        <x:v>满足</x:v>
      </x:c>
    </x:row>
    <x:row r="201" ht="30" customHeight="1">
      <x:c r="A201" s="2" t="str">
        <x:v>SC011</x:v>
      </x:c>
      <x:c r="B201" s="14" t="n">
        <x:v>32.5</x:v>
      </x:c>
      <x:c r="C201" s="2" t="str">
        <x:v>SC011-012</x:v>
      </x:c>
      <x:c r="D201" s="2" t="str">
        <x:v>S008</x:v>
      </x:c>
      <x:c r="E201" s="2" t="str">
        <x:v>C</x:v>
      </x:c>
      <x:c r="F201" s="13" t="str">
        <x:v>S008-WAT-01; S008-FOD-01</x:v>
      </x:c>
      <x:c r="G201" s="20" t="n">
        <x:v>22</x:v>
      </x:c>
      <x:c r="H201" s="22" t="n">
        <x:v>0.055</x:v>
      </x:c>
      <x:c r="I201" s="20" t="n">
        <x:v>1389.7115246008332</x:v>
      </x:c>
      <x:c r="J201" s="24" t="n">
        <x:v>5.293281965255011</x:v>
      </x:c>
      <x:c r="K201" s="20" t="n">
        <x:v>2001.7115246008332</x:v>
      </x:c>
      <x:c r="L201" s="20" t="n">
        <x:f>(1-J201/VLOOKUP(E201,'口径说明'!$A$6:$E$8,4,FALSE))*100</x:f>
        <x:v>33.83397543431236</x:v>
      </x:c>
      <x:c r="M201" s="20" t="n">
        <x:f>VLOOKUP(E201,'口径说明'!$A$6:$E$8,2,FALSE)-G201</x:f>
        <x:v>58</x:v>
      </x:c>
      <x:c r="N201" s="22" t="n">
        <x:f>VLOOKUP(E201,'口径说明'!$A$6:$E$8,3,FALSE)-H201</x:f>
        <x:v>0.195</x:v>
      </x:c>
      <x:c r="O201" s="24" t="n">
        <x:f>VLOOKUP(E201,'口径说明'!$A$6:$E$8,4,FALSE)*(1-B201/100)-J201</x:f>
        <x:v>0.10671803474498898</x:v>
      </x:c>
      <x:c r="P201" s="26" t="str">
        <x:f>IF(AND(M201&gt;=-0.0000001,N201&gt;=-0.0000001,O201&gt;=-0.0000001),"满足","不满足")</x:f>
        <x:v>满足</x:v>
      </x:c>
    </x:row>
    <x:row r="202" ht="30" customHeight="1">
      <x:c r="A202" s="15" t="str">
        <x:v>SC011</x:v>
      </x:c>
      <x:c r="B202" s="17" t="n">
        <x:v>32.5</x:v>
      </x:c>
      <x:c r="C202" s="15" t="str">
        <x:v>SC011-013</x:v>
      </x:c>
      <x:c r="D202" s="15" t="str">
        <x:v>S008</x:v>
      </x:c>
      <x:c r="E202" s="15" t="str">
        <x:v>C</x:v>
      </x:c>
      <x:c r="F202" s="16" t="str">
        <x:v>S008-MED-01; S008-WAT-02; S008-HYG-01</x:v>
      </x:c>
      <x:c r="G202" s="21" t="n">
        <x:v>23</x:v>
      </x:c>
      <x:c r="H202" s="23" t="n">
        <x:v>0.074</x:v>
      </x:c>
      <x:c r="I202" s="21" t="n">
        <x:v>1389.7115246008332</x:v>
      </x:c>
      <x:c r="J202" s="25" t="n">
        <x:v>5.309946353070681</x:v>
      </x:c>
      <x:c r="K202" s="21" t="n">
        <x:v>2067.7115246008334</x:v>
      </x:c>
      <x:c r="L202" s="21" t="n">
        <x:f>(1-J202/VLOOKUP(E202,'口径说明'!$A$6:$E$8,4,FALSE))*100</x:f>
        <x:v>33.625670586616486</x:v>
      </x:c>
      <x:c r="M202" s="21" t="n">
        <x:f>VLOOKUP(E202,'口径说明'!$A$6:$E$8,2,FALSE)-G202</x:f>
        <x:v>57</x:v>
      </x:c>
      <x:c r="N202" s="23" t="n">
        <x:f>VLOOKUP(E202,'口径说明'!$A$6:$E$8,3,FALSE)-H202</x:f>
        <x:v>0.176</x:v>
      </x:c>
      <x:c r="O202" s="25" t="n">
        <x:f>VLOOKUP(E202,'口径说明'!$A$6:$E$8,4,FALSE)*(1-B202/100)-J202</x:f>
        <x:v>0.09005364692931916</x:v>
      </x:c>
      <x:c r="P202" s="27" t="str">
        <x:f>IF(AND(M202&gt;=-0.0000001,N202&gt;=-0.0000001,O202&gt;=-0.0000001),"满足","不满足")</x:f>
        <x:v>满足</x:v>
      </x:c>
    </x:row>
    <x:row r="203" ht="30" customHeight="1">
      <x:c r="A203" s="2" t="str">
        <x:v>SC011</x:v>
      </x:c>
      <x:c r="B203" s="14" t="n">
        <x:v>32.5</x:v>
      </x:c>
      <x:c r="C203" s="2" t="str">
        <x:v>SC011-014</x:v>
      </x:c>
      <x:c r="D203" s="2" t="str">
        <x:v>S009</x:v>
      </x:c>
      <x:c r="E203" s="2" t="str">
        <x:v>B</x:v>
      </x:c>
      <x:c r="F203" s="13" t="str">
        <x:v>S009-MED-01; S009-WAT-01; S009-FOD-01</x:v>
      </x:c>
      <x:c r="G203" s="20" t="n">
        <x:v>25</x:v>
      </x:c>
      <x:c r="H203" s="22" t="n">
        <x:v>0.067</x:v>
      </x:c>
      <x:c r="I203" s="20" t="n">
        <x:v>928.4628643343575</x:v>
      </x:c>
      <x:c r="J203" s="24" t="n">
        <x:v>2.0962654017373348</x:v>
      </x:c>
      <x:c r="K203" s="20" t="n">
        <x:v>1558.4628643343576</x:v>
      </x:c>
      <x:c r="L203" s="20" t="n">
        <x:f>(1-J203/VLOOKUP(E203,'口径说明'!$A$6:$E$8,4,FALSE))*100</x:f>
        <x:v>47.59336495656663</x:v>
      </x:c>
      <x:c r="M203" s="20" t="n">
        <x:f>VLOOKUP(E203,'口径说明'!$A$6:$E$8,2,FALSE)-G203</x:f>
        <x:v>5</x:v>
      </x:c>
      <x:c r="N203" s="22" t="n">
        <x:f>VLOOKUP(E203,'口径说明'!$A$6:$E$8,3,FALSE)-H203</x:f>
        <x:v>0.0059999999999999915</x:v>
      </x:c>
      <x:c r="O203" s="24" t="n">
        <x:f>VLOOKUP(E203,'口径说明'!$A$6:$E$8,4,FALSE)*(1-B203/100)-J203</x:f>
        <x:v>0.6037345982626654</x:v>
      </x:c>
      <x:c r="P203" s="26" t="str">
        <x:f>IF(AND(M203&gt;=-0.0000001,N203&gt;=-0.0000001,O203&gt;=-0.0000001),"满足","不满足")</x:f>
        <x:v>满足</x:v>
      </x:c>
    </x:row>
    <x:row r="204" ht="30" customHeight="1">
      <x:c r="A204" s="15" t="str">
        <x:v>SC011</x:v>
      </x:c>
      <x:c r="B204" s="17" t="n">
        <x:v>32.5</x:v>
      </x:c>
      <x:c r="C204" s="15" t="str">
        <x:v>SC011-015</x:v>
      </x:c>
      <x:c r="D204" s="15" t="str">
        <x:v>S010</x:v>
      </x:c>
      <x:c r="E204" s="15" t="str">
        <x:v>B</x:v>
      </x:c>
      <x:c r="F204" s="16" t="str">
        <x:v>S010-MED-01; S010-WAT-01; S010-FOD-01</x:v>
      </x:c>
      <x:c r="G204" s="21" t="n">
        <x:v>25</x:v>
      </x:c>
      <x:c r="H204" s="23" t="n">
        <x:v>0.067</x:v>
      </x:c>
      <x:c r="I204" s="21" t="n">
        <x:v>925.4035197802174</x:v>
      </x:c>
      <x:c r="J204" s="25" t="n">
        <x:v>1.8232165642314142</x:v>
      </x:c>
      <x:c r="K204" s="21" t="n">
        <x:v>1555.4035197802173</x:v>
      </x:c>
      <x:c r="L204" s="21" t="n">
        <x:f>(1-J204/VLOOKUP(E204,'口径说明'!$A$6:$E$8,4,FALSE))*100</x:f>
        <x:v>54.41958589421465</x:v>
      </x:c>
      <x:c r="M204" s="21" t="n">
        <x:f>VLOOKUP(E204,'口径说明'!$A$6:$E$8,2,FALSE)-G204</x:f>
        <x:v>5</x:v>
      </x:c>
      <x:c r="N204" s="23" t="n">
        <x:f>VLOOKUP(E204,'口径说明'!$A$6:$E$8,3,FALSE)-H204</x:f>
        <x:v>0.0059999999999999915</x:v>
      </x:c>
      <x:c r="O204" s="25" t="n">
        <x:f>VLOOKUP(E204,'口径说明'!$A$6:$E$8,4,FALSE)*(1-B204/100)-J204</x:f>
        <x:v>0.876783435768586</x:v>
      </x:c>
      <x:c r="P204" s="27" t="str">
        <x:f>IF(AND(M204&gt;=-0.0000001,N204&gt;=-0.0000001,O204&gt;=-0.0000001),"满足","不满足")</x:f>
        <x:v>满足</x:v>
      </x:c>
    </x:row>
    <x:row r="205" ht="30" customHeight="1">
      <x:c r="A205" s="2" t="str">
        <x:v>SC011</x:v>
      </x:c>
      <x:c r="B205" s="14" t="n">
        <x:v>32.5</x:v>
      </x:c>
      <x:c r="C205" s="2" t="str">
        <x:v>SC011-016</x:v>
      </x:c>
      <x:c r="D205" s="2" t="str">
        <x:v>S011</x:v>
      </x:c>
      <x:c r="E205" s="2" t="str">
        <x:v>B</x:v>
      </x:c>
      <x:c r="F205" s="13" t="str">
        <x:v>S011-MED-01; S011-WAT-01; S011-FOD-01</x:v>
      </x:c>
      <x:c r="G205" s="20" t="n">
        <x:v>25</x:v>
      </x:c>
      <x:c r="H205" s="22" t="n">
        <x:v>0.067</x:v>
      </x:c>
      <x:c r="I205" s="20" t="n">
        <x:v>558.4247628605204</x:v>
      </x:c>
      <x:c r="J205" s="24" t="n">
        <x:v>1.0739366863951034</x:v>
      </x:c>
      <x:c r="K205" s="20" t="n">
        <x:v>1188.4247628605203</x:v>
      </x:c>
      <x:c r="L205" s="20" t="n">
        <x:f>(1-J205/VLOOKUP(E205,'口径说明'!$A$6:$E$8,4,FALSE))*100</x:f>
        <x:v>73.15158284012242</x:v>
      </x:c>
      <x:c r="M205" s="20" t="n">
        <x:f>VLOOKUP(E205,'口径说明'!$A$6:$E$8,2,FALSE)-G205</x:f>
        <x:v>5</x:v>
      </x:c>
      <x:c r="N205" s="22" t="n">
        <x:f>VLOOKUP(E205,'口径说明'!$A$6:$E$8,3,FALSE)-H205</x:f>
        <x:v>0.0059999999999999915</x:v>
      </x:c>
      <x:c r="O205" s="24" t="n">
        <x:f>VLOOKUP(E205,'口径说明'!$A$6:$E$8,4,FALSE)*(1-B205/100)-J205</x:f>
        <x:v>1.6260633136048968</x:v>
      </x:c>
      <x:c r="P205" s="26" t="str">
        <x:f>IF(AND(M205&gt;=-0.0000001,N205&gt;=-0.0000001,O205&gt;=-0.0000001),"满足","不满足")</x:f>
        <x:v>满足</x:v>
      </x:c>
    </x:row>
    <x:row r="206" ht="30" customHeight="1">
      <x:c r="A206" s="15" t="str">
        <x:v>SC011</x:v>
      </x:c>
      <x:c r="B206" s="17" t="n">
        <x:v>32.5</x:v>
      </x:c>
      <x:c r="C206" s="15" t="str">
        <x:v>SC011-017</x:v>
      </x:c>
      <x:c r="D206" s="15" t="str">
        <x:v>S012</x:v>
      </x:c>
      <x:c r="E206" s="15" t="str">
        <x:v>C</x:v>
      </x:c>
      <x:c r="F206" s="16" t="str">
        <x:v>S012-MED-01; S012-WAT-01; S012-FOD-01</x:v>
      </x:c>
      <x:c r="G206" s="21" t="n">
        <x:v>25</x:v>
      </x:c>
      <x:c r="H206" s="23" t="n">
        <x:v>0.067</x:v>
      </x:c>
      <x:c r="I206" s="21" t="n">
        <x:v>1362.6771457735358</x:v>
      </x:c>
      <x:c r="J206" s="25" t="n">
        <x:v>4.922379480058796</x:v>
      </x:c>
      <x:c r="K206" s="21" t="n">
        <x:v>2040.6771457735358</x:v>
      </x:c>
      <x:c r="L206" s="21" t="n">
        <x:f>(1-J206/VLOOKUP(E206,'口径说明'!$A$6:$E$8,4,FALSE))*100</x:f>
        <x:v>38.470256499265055</x:v>
      </x:c>
      <x:c r="M206" s="21" t="n">
        <x:f>VLOOKUP(E206,'口径说明'!$A$6:$E$8,2,FALSE)-G206</x:f>
        <x:v>55</x:v>
      </x:c>
      <x:c r="N206" s="23" t="n">
        <x:f>VLOOKUP(E206,'口径说明'!$A$6:$E$8,3,FALSE)-H206</x:f>
        <x:v>0.183</x:v>
      </x:c>
      <x:c r="O206" s="25" t="n">
        <x:f>VLOOKUP(E206,'口径说明'!$A$6:$E$8,4,FALSE)*(1-B206/100)-J206</x:f>
        <x:v>0.4776205199412047</x:v>
      </x:c>
      <x:c r="P206" s="27" t="str">
        <x:f>IF(AND(M206&gt;=-0.0000001,N206&gt;=-0.0000001,O206&gt;=-0.0000001),"满足","不满足")</x:f>
        <x:v>满足</x:v>
      </x:c>
    </x:row>
    <x:row r="207" ht="30" customHeight="1">
      <x:c r="A207" s="2" t="str">
        <x:v>SC011</x:v>
      </x:c>
      <x:c r="B207" s="14" t="n">
        <x:v>32.5</x:v>
      </x:c>
      <x:c r="C207" s="2" t="str">
        <x:v>SC011-018</x:v>
      </x:c>
      <x:c r="D207" s="2" t="str">
        <x:v>S013</x:v>
      </x:c>
      <x:c r="E207" s="2" t="str">
        <x:v>B</x:v>
      </x:c>
      <x:c r="F207" s="13" t="str">
        <x:v>S013-MED-01; S013-WAT-01; S013-FOD-01</x:v>
      </x:c>
      <x:c r="G207" s="20" t="n">
        <x:v>25</x:v>
      </x:c>
      <x:c r="H207" s="22" t="n">
        <x:v>0.067</x:v>
      </x:c>
      <x:c r="I207" s="20" t="n">
        <x:v>880.511588744525</x:v>
      </x:c>
      <x:c r="J207" s="24" t="n">
        <x:v>1.8248281910807471</x:v>
      </x:c>
      <x:c r="K207" s="20" t="n">
        <x:v>1510.511588744525</x:v>
      </x:c>
      <x:c r="L207" s="20" t="n">
        <x:f>(1-J207/VLOOKUP(E207,'口径说明'!$A$6:$E$8,4,FALSE))*100</x:f>
        <x:v>54.37929522298133</x:v>
      </x:c>
      <x:c r="M207" s="20" t="n">
        <x:f>VLOOKUP(E207,'口径说明'!$A$6:$E$8,2,FALSE)-G207</x:f>
        <x:v>5</x:v>
      </x:c>
      <x:c r="N207" s="22" t="n">
        <x:f>VLOOKUP(E207,'口径说明'!$A$6:$E$8,3,FALSE)-H207</x:f>
        <x:v>0.0059999999999999915</x:v>
      </x:c>
      <x:c r="O207" s="24" t="n">
        <x:f>VLOOKUP(E207,'口径说明'!$A$6:$E$8,4,FALSE)*(1-B207/100)-J207</x:f>
        <x:v>0.8751718089192531</x:v>
      </x:c>
      <x:c r="P207" s="26" t="str">
        <x:f>IF(AND(M207&gt;=-0.0000001,N207&gt;=-0.0000001,O207&gt;=-0.0000001),"满足","不满足")</x:f>
        <x:v>满足</x:v>
      </x:c>
    </x:row>
    <x:row r="208" ht="30" customHeight="1">
      <x:c r="A208" s="15" t="str">
        <x:v>SC011</x:v>
      </x:c>
      <x:c r="B208" s="17" t="n">
        <x:v>32.5</x:v>
      </x:c>
      <x:c r="C208" s="15" t="str">
        <x:v>SC011-019</x:v>
      </x:c>
      <x:c r="D208" s="15" t="str">
        <x:v>S014</x:v>
      </x:c>
      <x:c r="E208" s="15" t="str">
        <x:v>B</x:v>
      </x:c>
      <x:c r="F208" s="16" t="str">
        <x:v>S014-MED-01; S014-WAT-01; S014-FOD-01</x:v>
      </x:c>
      <x:c r="G208" s="21" t="n">
        <x:v>25</x:v>
      </x:c>
      <x:c r="H208" s="23" t="n">
        <x:v>0.067</x:v>
      </x:c>
      <x:c r="I208" s="21" t="n">
        <x:v>1239.7476752786913</x:v>
      </x:c>
      <x:c r="J208" s="25" t="n">
        <x:v>2.1402909781417883</x:v>
      </x:c>
      <x:c r="K208" s="21" t="n">
        <x:v>1869.7476752786913</x:v>
      </x:c>
      <x:c r="L208" s="21" t="n">
        <x:f>(1-J208/VLOOKUP(E208,'口径说明'!$A$6:$E$8,4,FALSE))*100</x:f>
        <x:v>46.49272554645529</x:v>
      </x:c>
      <x:c r="M208" s="21" t="n">
        <x:f>VLOOKUP(E208,'口径说明'!$A$6:$E$8,2,FALSE)-G208</x:f>
        <x:v>5</x:v>
      </x:c>
      <x:c r="N208" s="23" t="n">
        <x:f>VLOOKUP(E208,'口径说明'!$A$6:$E$8,3,FALSE)-H208</x:f>
        <x:v>0.0059999999999999915</x:v>
      </x:c>
      <x:c r="O208" s="25" t="n">
        <x:f>VLOOKUP(E208,'口径说明'!$A$6:$E$8,4,FALSE)*(1-B208/100)-J208</x:f>
        <x:v>0.5597090218582119</x:v>
      </x:c>
      <x:c r="P208" s="27" t="str">
        <x:f>IF(AND(M208&gt;=-0.0000001,N208&gt;=-0.0000001,O208&gt;=-0.0000001),"满足","不满足")</x:f>
        <x:v>满足</x:v>
      </x:c>
    </x:row>
    <x:row r="209" ht="30" customHeight="1">
      <x:c r="A209" s="2" t="str">
        <x:v>SC011</x:v>
      </x:c>
      <x:c r="B209" s="14" t="n">
        <x:v>32.5</x:v>
      </x:c>
      <x:c r="C209" s="2" t="str">
        <x:v>SC011-020</x:v>
      </x:c>
      <x:c r="D209" s="2" t="str">
        <x:v>S015</x:v>
      </x:c>
      <x:c r="E209" s="2" t="str">
        <x:v>B</x:v>
      </x:c>
      <x:c r="F209" s="13" t="str">
        <x:v>S015-MED-01; S015-WAT-01; S015-FOD-01</x:v>
      </x:c>
      <x:c r="G209" s="20" t="n">
        <x:v>25</x:v>
      </x:c>
      <x:c r="H209" s="22" t="n">
        <x:v>0.067</x:v>
      </x:c>
      <x:c r="I209" s="20" t="n">
        <x:v>1198.3275601736595</x:v>
      </x:c>
      <x:c r="J209" s="24" t="n">
        <x:v>2.307528505752516</x:v>
      </x:c>
      <x:c r="K209" s="20" t="n">
        <x:v>1828.3275601736595</x:v>
      </x:c>
      <x:c r="L209" s="20" t="n">
        <x:f>(1-J209/VLOOKUP(E209,'口径说明'!$A$6:$E$8,4,FALSE))*100</x:f>
        <x:v>42.311787356187104</x:v>
      </x:c>
      <x:c r="M209" s="20" t="n">
        <x:f>VLOOKUP(E209,'口径说明'!$A$6:$E$8,2,FALSE)-G209</x:f>
        <x:v>5</x:v>
      </x:c>
      <x:c r="N209" s="22" t="n">
        <x:f>VLOOKUP(E209,'口径说明'!$A$6:$E$8,3,FALSE)-H209</x:f>
        <x:v>0.0059999999999999915</x:v>
      </x:c>
      <x:c r="O209" s="24" t="n">
        <x:f>VLOOKUP(E209,'口径说明'!$A$6:$E$8,4,FALSE)*(1-B209/100)-J209</x:f>
        <x:v>0.3924714942474843</x:v>
      </x:c>
      <x:c r="P209" s="26" t="str">
        <x:f>IF(AND(M209&gt;=-0.0000001,N209&gt;=-0.0000001,O209&gt;=-0.0000001),"满足","不满足")</x:f>
        <x:v>满足</x:v>
      </x:c>
    </x:row>
    <x:row r="210" ht="61" customHeight="1">
      <x:c r="A210" s="15" t="str">
        <x:v>SC012</x:v>
      </x:c>
      <x:c r="B210" s="17" t="n">
        <x:v>35</x:v>
      </x:c>
      <x:c r="C210" s="15" t="str">
        <x:v>SC012-001</x:v>
      </x:c>
      <x:c r="D210" s="15" t="str">
        <x:v>S001</x:v>
      </x:c>
      <x:c r="E210" s="15" t="str">
        <x:v>C</x:v>
      </x:c>
      <x:c r="F210" s="16" t="str">
        <x:v>S001-WAT-01; S001-WAT-02; S001-WAT-03; S001-FOD-01; S001-FOD-02; S001-FOD-03; S001-HYG-01; S001-HYG-02</x:v>
      </x:c>
      <x:c r="G210" s="21" t="n">
        <x:v>78</x:v>
      </x:c>
      <x:c r="H210" s="23" t="n">
        <x:v>0.235</x:v>
      </x:c>
      <x:c r="I210" s="21" t="n">
        <x:v>618.1750458620229</x:v>
      </x:c>
      <x:c r="J210" s="25" t="n">
        <x:v>2.9957758049046697</x:v>
      </x:c>
      <x:c r="K210" s="21" t="n">
        <x:v>1626.175045862023</x:v>
      </x:c>
      <x:c r="L210" s="21" t="n">
        <x:f>(1-J210/VLOOKUP(E210,'口径说明'!$A$6:$E$8,4,FALSE))*100</x:f>
        <x:v>62.552802438691636</x:v>
      </x:c>
      <x:c r="M210" s="21" t="n">
        <x:f>VLOOKUP(E210,'口径说明'!$A$6:$E$8,2,FALSE)-G210</x:f>
        <x:v>2</x:v>
      </x:c>
      <x:c r="N210" s="23" t="n">
        <x:f>VLOOKUP(E210,'口径说明'!$A$6:$E$8,3,FALSE)-H210</x:f>
        <x:v>0.015000000000000013</x:v>
      </x:c>
      <x:c r="O210" s="25" t="n">
        <x:f>VLOOKUP(E210,'口径说明'!$A$6:$E$8,4,FALSE)*(1-B210/100)-J210</x:f>
        <x:v>2.2042241950953305</x:v>
      </x:c>
      <x:c r="P210" s="27" t="str">
        <x:f>IF(AND(M210&gt;=-0.0000001,N210&gt;=-0.0000001,O210&gt;=-0.0000001),"满足","不满足")</x:f>
        <x:v>满足</x:v>
      </x:c>
    </x:row>
    <x:row r="211" ht="44" customHeight="1">
      <x:c r="A211" s="2" t="str">
        <x:v>SC012</x:v>
      </x:c>
      <x:c r="B211" s="14" t="n">
        <x:v>35</x:v>
      </x:c>
      <x:c r="C211" s="2" t="str">
        <x:v>SC012-002</x:v>
      </x:c>
      <x:c r="D211" s="2" t="str">
        <x:v>S001</x:v>
      </x:c>
      <x:c r="E211" s="2" t="str">
        <x:v>C</x:v>
      </x:c>
      <x:c r="F211" s="13" t="str">
        <x:v>S001-MED-01; S001-MED-02; S001-WAT-04; S001-WAT-05; S001-WAT-06; S001-WAT-07; S001-WAT-08</x:v>
      </x:c>
      <x:c r="G211" s="20" t="n">
        <x:v>76</x:v>
      </x:c>
      <x:c r="H211" s="22" t="n">
        <x:v>0.159</x:v>
      </x:c>
      <x:c r="I211" s="20" t="n">
        <x:v>618.1750458620229</x:v>
      </x:c>
      <x:c r="J211" s="24" t="n">
        <x:v>2.917588095586827</x:v>
      </x:c>
      <x:c r="K211" s="20" t="n">
        <x:v>1560.175045862023</x:v>
      </x:c>
      <x:c r="L211" s="20" t="n">
        <x:f>(1-J211/VLOOKUP(E211,'口径说明'!$A$6:$E$8,4,FALSE))*100</x:f>
        <x:v>63.53014880516466</x:v>
      </x:c>
      <x:c r="M211" s="20" t="n">
        <x:f>VLOOKUP(E211,'口径说明'!$A$6:$E$8,2,FALSE)-G211</x:f>
        <x:v>4</x:v>
      </x:c>
      <x:c r="N211" s="22" t="n">
        <x:f>VLOOKUP(E211,'口径说明'!$A$6:$E$8,3,FALSE)-H211</x:f>
        <x:v>0.091</x:v>
      </x:c>
      <x:c r="O211" s="24" t="n">
        <x:f>VLOOKUP(E211,'口径说明'!$A$6:$E$8,4,FALSE)*(1-B211/100)-J211</x:f>
        <x:v>2.282411904413173</x:v>
      </x:c>
      <x:c r="P211" s="26" t="str">
        <x:f>IF(AND(M211&gt;=-0.0000001,N211&gt;=-0.0000001,O211&gt;=-0.0000001),"满足","不满足")</x:f>
        <x:v>满足</x:v>
      </x:c>
    </x:row>
    <x:row r="212" ht="30" customHeight="1">
      <x:c r="A212" s="15" t="str">
        <x:v>SC012</x:v>
      </x:c>
      <x:c r="B212" s="17" t="n">
        <x:v>35</x:v>
      </x:c>
      <x:c r="C212" s="15" t="str">
        <x:v>SC012-003</x:v>
      </x:c>
      <x:c r="D212" s="15" t="str">
        <x:v>S002</x:v>
      </x:c>
      <x:c r="E212" s="15" t="str">
        <x:v>B</x:v>
      </x:c>
      <x:c r="F212" s="16" t="str">
        <x:v>S002-WAT-01; S002-HYG-01</x:v>
      </x:c>
      <x:c r="G212" s="21" t="n">
        <x:v>20</x:v>
      </x:c>
      <x:c r="H212" s="23" t="n">
        <x:v>0.062</x:v>
      </x:c>
      <x:c r="I212" s="21" t="n">
        <x:v>1186.7240813077576</x:v>
      </x:c>
      <x:c r="J212" s="25" t="n">
        <x:v>2.5200228439182712</x:v>
      </x:c>
      <x:c r="K212" s="21" t="n">
        <x:v>1756.7240813077576</x:v>
      </x:c>
      <x:c r="L212" s="21" t="n">
        <x:f>(1-J212/VLOOKUP(E212,'口径说明'!$A$6:$E$8,4,FALSE))*100</x:f>
        <x:v>36.99942890204322</x:v>
      </x:c>
      <x:c r="M212" s="21" t="n">
        <x:f>VLOOKUP(E212,'口径说明'!$A$6:$E$8,2,FALSE)-G212</x:f>
        <x:v>10</x:v>
      </x:c>
      <x:c r="N212" s="23" t="n">
        <x:f>VLOOKUP(E212,'口径说明'!$A$6:$E$8,3,FALSE)-H212</x:f>
        <x:v>0.010999999999999996</x:v>
      </x:c>
      <x:c r="O212" s="25" t="n">
        <x:f>VLOOKUP(E212,'口径说明'!$A$6:$E$8,4,FALSE)*(1-B212/100)-J212</x:f>
        <x:v>0.07997715608172884</x:v>
      </x:c>
      <x:c r="P212" s="27" t="str">
        <x:f>IF(AND(M212&gt;=-0.0000001,N212&gt;=-0.0000001,O212&gt;=-0.0000001),"满足","不满足")</x:f>
        <x:v>满足</x:v>
      </x:c>
    </x:row>
    <x:row r="213" ht="30" customHeight="1">
      <x:c r="A213" s="2" t="str">
        <x:v>SC012</x:v>
      </x:c>
      <x:c r="B213" s="14" t="n">
        <x:v>35</x:v>
      </x:c>
      <x:c r="C213" s="2" t="str">
        <x:v>SC012-004</x:v>
      </x:c>
      <x:c r="D213" s="2" t="str">
        <x:v>S002</x:v>
      </x:c>
      <x:c r="E213" s="2" t="str">
        <x:v>B</x:v>
      </x:c>
      <x:c r="F213" s="13" t="str">
        <x:v>S002-WAT-02; S002-FOD-01</x:v>
      </x:c>
      <x:c r="G213" s="20" t="n">
        <x:v>22</x:v>
      </x:c>
      <x:c r="H213" s="22" t="n">
        <x:v>0.055</x:v>
      </x:c>
      <x:c r="I213" s="20" t="n">
        <x:v>1186.7240813077576</x:v>
      </x:c>
      <x:c r="J213" s="24" t="n">
        <x:v>2.589138530418365</x:v>
      </x:c>
      <x:c r="K213" s="20" t="n">
        <x:v>1756.7240813077576</x:v>
      </x:c>
      <x:c r="L213" s="20" t="n">
        <x:f>(1-J213/VLOOKUP(E213,'口径说明'!$A$6:$E$8,4,FALSE))*100</x:f>
        <x:v>35.27153673954088</x:v>
      </x:c>
      <x:c r="M213" s="20" t="n">
        <x:f>VLOOKUP(E213,'口径说明'!$A$6:$E$8,2,FALSE)-G213</x:f>
        <x:v>8</x:v>
      </x:c>
      <x:c r="N213" s="22" t="n">
        <x:f>VLOOKUP(E213,'口径说明'!$A$6:$E$8,3,FALSE)-H213</x:f>
        <x:v>0.017999999999999995</x:v>
      </x:c>
      <x:c r="O213" s="24" t="n">
        <x:f>VLOOKUP(E213,'口径说明'!$A$6:$E$8,4,FALSE)*(1-B213/100)-J213</x:f>
        <x:v>0.010861469581635141</x:v>
      </x:c>
      <x:c r="P213" s="26" t="str">
        <x:f>IF(AND(M213&gt;=-0.0000001,N213&gt;=-0.0000001,O213&gt;=-0.0000001),"满足","不满足")</x:f>
        <x:v>满足</x:v>
      </x:c>
    </x:row>
    <x:row r="214" ht="44" customHeight="1">
      <x:c r="A214" s="15" t="str">
        <x:v>SC012</x:v>
      </x:c>
      <x:c r="B214" s="17" t="n">
        <x:v>35</x:v>
      </x:c>
      <x:c r="C214" s="15" t="str">
        <x:v>SC012-005</x:v>
      </x:c>
      <x:c r="D214" s="15" t="str">
        <x:v>S002</x:v>
      </x:c>
      <x:c r="E214" s="15" t="str">
        <x:v>C</x:v>
      </x:c>
      <x:c r="F214" s="16" t="str">
        <x:v>S002-MED-01; S002-WAT-03; S002-WAT-04; S002-FOD-02</x:v>
      </x:c>
      <x:c r="G214" s="21" t="n">
        <x:v>39</x:v>
      </x:c>
      <x:c r="H214" s="23" t="n">
        <x:v>0.094</x:v>
      </x:c>
      <x:c r="I214" s="21" t="n">
        <x:v>1231.8421660245544</x:v>
      </x:c>
      <x:c r="J214" s="25" t="n">
        <x:v>5.1710432316735</x:v>
      </x:c>
      <x:c r="K214" s="21" t="n">
        <x:v>1975.8421660245544</x:v>
      </x:c>
      <x:c r="L214" s="21" t="n">
        <x:f>(1-J214/VLOOKUP(E214,'口径说明'!$A$6:$E$8,4,FALSE))*100</x:f>
        <x:v>35.36195960408125</x:v>
      </x:c>
      <x:c r="M214" s="21" t="n">
        <x:f>VLOOKUP(E214,'口径说明'!$A$6:$E$8,2,FALSE)-G214</x:f>
        <x:v>41</x:v>
      </x:c>
      <x:c r="N214" s="23" t="n">
        <x:f>VLOOKUP(E214,'口径说明'!$A$6:$E$8,3,FALSE)-H214</x:f>
        <x:v>0.156</x:v>
      </x:c>
      <x:c r="O214" s="25" t="n">
        <x:f>VLOOKUP(E214,'口径说明'!$A$6:$E$8,4,FALSE)*(1-B214/100)-J214</x:f>
        <x:v>0.028956768326500182</x:v>
      </x:c>
      <x:c r="P214" s="27" t="str">
        <x:f>IF(AND(M214&gt;=-0.0000001,N214&gt;=-0.0000001,O214&gt;=-0.0000001),"满足","不满足")</x:f>
        <x:v>满足</x:v>
      </x:c>
    </x:row>
    <x:row r="215" ht="30" customHeight="1">
      <x:c r="A215" s="2" t="str">
        <x:v>SC012</x:v>
      </x:c>
      <x:c r="B215" s="14" t="n">
        <x:v>35</x:v>
      </x:c>
      <x:c r="C215" s="2" t="str">
        <x:v>SC012-006</x:v>
      </x:c>
      <x:c r="D215" s="2" t="str">
        <x:v>S003</x:v>
      </x:c>
      <x:c r="E215" s="2" t="str">
        <x:v>B</x:v>
      </x:c>
      <x:c r="F215" s="13" t="str">
        <x:v>S003-WAT-01</x:v>
      </x:c>
      <x:c r="G215" s="20" t="n">
        <x:v>14</x:v>
      </x:c>
      <x:c r="H215" s="22" t="n">
        <x:v>0.027</x:v>
      </x:c>
      <x:c r="I215" s="20" t="n">
        <x:v>1450.6096650380623</x:v>
      </x:c>
      <x:c r="J215" s="24" t="n">
        <x:v>2.424255402442675</x:v>
      </x:c>
      <x:c r="K215" s="20" t="n">
        <x:v>1960.6096650380623</x:v>
      </x:c>
      <x:c r="L215" s="20" t="n">
        <x:f>(1-J215/VLOOKUP(E215,'口径说明'!$A$6:$E$8,4,FALSE))*100</x:f>
        <x:v>39.39361493893313</x:v>
      </x:c>
      <x:c r="M215" s="20" t="n">
        <x:f>VLOOKUP(E215,'口径说明'!$A$6:$E$8,2,FALSE)-G215</x:f>
        <x:v>16</x:v>
      </x:c>
      <x:c r="N215" s="22" t="n">
        <x:f>VLOOKUP(E215,'口径说明'!$A$6:$E$8,3,FALSE)-H215</x:f>
        <x:v>0.046</x:v>
      </x:c>
      <x:c r="O215" s="24" t="n">
        <x:f>VLOOKUP(E215,'口径说明'!$A$6:$E$8,4,FALSE)*(1-B215/100)-J215</x:f>
        <x:v>0.1757445975573253</x:v>
      </x:c>
      <x:c r="P215" s="26" t="str">
        <x:f>IF(AND(M215&gt;=-0.0000001,N215&gt;=-0.0000001,O215&gt;=-0.0000001),"满足","不满足")</x:f>
        <x:v>满足</x:v>
      </x:c>
    </x:row>
    <x:row r="216" ht="30" customHeight="1">
      <x:c r="A216" s="15" t="str">
        <x:v>SC012</x:v>
      </x:c>
      <x:c r="B216" s="17" t="n">
        <x:v>35</x:v>
      </x:c>
      <x:c r="C216" s="15" t="str">
        <x:v>SC012-007</x:v>
      </x:c>
      <x:c r="D216" s="15" t="str">
        <x:v>S003</x:v>
      </x:c>
      <x:c r="E216" s="15" t="str">
        <x:v>C</x:v>
      </x:c>
      <x:c r="F216" s="16" t="str">
        <x:v>S003-WAT-02; S003-WAT-03; S003-HYG-01</x:v>
      </x:c>
      <x:c r="G216" s="21" t="n">
        <x:v>34</x:v>
      </x:c>
      <x:c r="H216" s="23" t="n">
        <x:v>0.089</x:v>
      </x:c>
      <x:c r="I216" s="21" t="n">
        <x:v>1560.1777110992603</x:v>
      </x:c>
      <x:c r="J216" s="25" t="n">
        <x:v>5.091659286637251</x:v>
      </x:c>
      <x:c r="K216" s="21" t="n">
        <x:v>2238.1777110992603</x:v>
      </x:c>
      <x:c r="L216" s="21" t="n">
        <x:f>(1-J216/VLOOKUP(E216,'口径说明'!$A$6:$E$8,4,FALSE))*100</x:f>
        <x:v>36.354258917034365</x:v>
      </x:c>
      <x:c r="M216" s="21" t="n">
        <x:f>VLOOKUP(E216,'口径说明'!$A$6:$E$8,2,FALSE)-G216</x:f>
        <x:v>46</x:v>
      </x:c>
      <x:c r="N216" s="23" t="n">
        <x:f>VLOOKUP(E216,'口径说明'!$A$6:$E$8,3,FALSE)-H216</x:f>
        <x:v>0.161</x:v>
      </x:c>
      <x:c r="O216" s="25" t="n">
        <x:f>VLOOKUP(E216,'口径说明'!$A$6:$E$8,4,FALSE)*(1-B216/100)-J216</x:f>
        <x:v>0.10834071336274942</x:v>
      </x:c>
      <x:c r="P216" s="27" t="str">
        <x:f>IF(AND(M216&gt;=-0.0000001,N216&gt;=-0.0000001,O216&gt;=-0.0000001),"满足","不满足")</x:f>
        <x:v>满足</x:v>
      </x:c>
    </x:row>
    <x:row r="217" ht="44" customHeight="1">
      <x:c r="A217" s="2" t="str">
        <x:v>SC012</x:v>
      </x:c>
      <x:c r="B217" s="14" t="n">
        <x:v>35</x:v>
      </x:c>
      <x:c r="C217" s="2" t="str">
        <x:v>SC012-008</x:v>
      </x:c>
      <x:c r="D217" s="2" t="str">
        <x:v>S003</x:v>
      </x:c>
      <x:c r="E217" s="2" t="str">
        <x:v>C</x:v>
      </x:c>
      <x:c r="F217" s="13" t="str">
        <x:v>S003-MED-01; S003-WAT-04; S003-FOD-01; S003-FOD-02</x:v>
      </x:c>
      <x:c r="G217" s="20" t="n">
        <x:v>33</x:v>
      </x:c>
      <x:c r="H217" s="22" t="n">
        <x:v>0.095</x:v>
      </x:c>
      <x:c r="I217" s="20" t="n">
        <x:v>1560.1777110992603</x:v>
      </x:c>
      <x:c r="J217" s="24" t="n">
        <x:v>5.069998750723503</x:v>
      </x:c>
      <x:c r="K217" s="20" t="n">
        <x:v>2304.1777110992603</x:v>
      </x:c>
      <x:c r="L217" s="20" t="n">
        <x:f>(1-J217/VLOOKUP(E217,'口径说明'!$A$6:$E$8,4,FALSE))*100</x:f>
        <x:v>36.625015615956215</x:v>
      </x:c>
      <x:c r="M217" s="20" t="n">
        <x:f>VLOOKUP(E217,'口径说明'!$A$6:$E$8,2,FALSE)-G217</x:f>
        <x:v>47</x:v>
      </x:c>
      <x:c r="N217" s="22" t="n">
        <x:f>VLOOKUP(E217,'口径说明'!$A$6:$E$8,3,FALSE)-H217</x:f>
        <x:v>0.155</x:v>
      </x:c>
      <x:c r="O217" s="24" t="n">
        <x:f>VLOOKUP(E217,'口径说明'!$A$6:$E$8,4,FALSE)*(1-B217/100)-J217</x:f>
        <x:v>0.13000124927649725</x:v>
      </x:c>
      <x:c r="P217" s="26" t="str">
        <x:f>IF(AND(M217&gt;=-0.0000001,N217&gt;=-0.0000001,O217&gt;=-0.0000001),"满足","不满足")</x:f>
        <x:v>满足</x:v>
      </x:c>
    </x:row>
    <x:row r="218" ht="30" customHeight="1">
      <x:c r="A218" s="15" t="str">
        <x:v>SC012</x:v>
      </x:c>
      <x:c r="B218" s="17" t="n">
        <x:v>35</x:v>
      </x:c>
      <x:c r="C218" s="15" t="str">
        <x:v>SC012-009</x:v>
      </x:c>
      <x:c r="D218" s="15" t="str">
        <x:v>S004</x:v>
      </x:c>
      <x:c r="E218" s="15" t="str">
        <x:v>B</x:v>
      </x:c>
      <x:c r="F218" s="16" t="str">
        <x:v>S004-FOD-01; S004-HYG-01</x:v>
      </x:c>
      <x:c r="G218" s="21" t="n">
        <x:v>14</x:v>
      </x:c>
      <x:c r="H218" s="23" t="n">
        <x:v>0.063</x:v>
      </x:c>
      <x:c r="I218" s="21" t="n">
        <x:v>1351.641663352524</x:v>
      </x:c>
      <x:c r="J218" s="25" t="n">
        <x:v>2.501251581998628</x:v>
      </x:c>
      <x:c r="K218" s="21" t="n">
        <x:v>1921.641663352524</x:v>
      </x:c>
      <x:c r="L218" s="21" t="n">
        <x:f>(1-J218/VLOOKUP(E218,'口径说明'!$A$6:$E$8,4,FALSE))*100</x:f>
        <x:v>37.4687104500343</x:v>
      </x:c>
      <x:c r="M218" s="21" t="n">
        <x:f>VLOOKUP(E218,'口径说明'!$A$6:$E$8,2,FALSE)-G218</x:f>
        <x:v>16</x:v>
      </x:c>
      <x:c r="N218" s="23" t="n">
        <x:f>VLOOKUP(E218,'口径说明'!$A$6:$E$8,3,FALSE)-H218</x:f>
        <x:v>0.009999999999999995</x:v>
      </x:c>
      <x:c r="O218" s="25" t="n">
        <x:f>VLOOKUP(E218,'口径说明'!$A$6:$E$8,4,FALSE)*(1-B218/100)-J218</x:f>
        <x:v>0.09874841800137224</x:v>
      </x:c>
      <x:c r="P218" s="27" t="str">
        <x:f>IF(AND(M218&gt;=-0.0000001,N218&gt;=-0.0000001,O218&gt;=-0.0000001),"满足","不满足")</x:f>
        <x:v>满足</x:v>
      </x:c>
    </x:row>
    <x:row r="219" ht="30" customHeight="1">
      <x:c r="A219" s="2" t="str">
        <x:v>SC012</x:v>
      </x:c>
      <x:c r="B219" s="14" t="n">
        <x:v>35</x:v>
      </x:c>
      <x:c r="C219" s="2" t="str">
        <x:v>SC012-010</x:v>
      </x:c>
      <x:c r="D219" s="2" t="str">
        <x:v>S004</x:v>
      </x:c>
      <x:c r="E219" s="2" t="str">
        <x:v>B</x:v>
      </x:c>
      <x:c r="F219" s="13" t="str">
        <x:v>S004-MED-01; S004-WAT-01</x:v>
      </x:c>
      <x:c r="G219" s="20" t="n">
        <x:v>17</x:v>
      </x:c>
      <x:c r="H219" s="22" t="n">
        <x:v>0.039</x:v>
      </x:c>
      <x:c r="I219" s="20" t="n">
        <x:v>1351.641663352524</x:v>
      </x:c>
      <x:c r="J219" s="24" t="n">
        <x:v>2.5764747430256225</x:v>
      </x:c>
      <x:c r="K219" s="20" t="n">
        <x:v>1921.641663352524</x:v>
      </x:c>
      <x:c r="L219" s="20" t="n">
        <x:f>(1-J219/VLOOKUP(E219,'口径说明'!$A$6:$E$8,4,FALSE))*100</x:f>
        <x:v>35.58813142435944</x:v>
      </x:c>
      <x:c r="M219" s="20" t="n">
        <x:f>VLOOKUP(E219,'口径说明'!$A$6:$E$8,2,FALSE)-G219</x:f>
        <x:v>13</x:v>
      </x:c>
      <x:c r="N219" s="22" t="n">
        <x:f>VLOOKUP(E219,'口径说明'!$A$6:$E$8,3,FALSE)-H219</x:f>
        <x:v>0.033999999999999996</x:v>
      </x:c>
      <x:c r="O219" s="24" t="n">
        <x:f>VLOOKUP(E219,'口径说明'!$A$6:$E$8,4,FALSE)*(1-B219/100)-J219</x:f>
        <x:v>0.023525256974377573</x:v>
      </x:c>
      <x:c r="P219" s="26" t="str">
        <x:f>IF(AND(M219&gt;=-0.0000001,N219&gt;=-0.0000001,O219&gt;=-0.0000001),"满足","不满足")</x:f>
        <x:v>满足</x:v>
      </x:c>
    </x:row>
    <x:row r="220" ht="30" customHeight="1">
      <x:c r="A220" s="15" t="str">
        <x:v>SC012</x:v>
      </x:c>
      <x:c r="B220" s="17" t="n">
        <x:v>35</x:v>
      </x:c>
      <x:c r="C220" s="15" t="str">
        <x:v>SC012-011</x:v>
      </x:c>
      <x:c r="D220" s="15" t="str">
        <x:v>S004</x:v>
      </x:c>
      <x:c r="E220" s="15" t="str">
        <x:v>C</x:v>
      </x:c>
      <x:c r="F220" s="16" t="str">
        <x:v>S004-WAT-02; S004-WAT-03</x:v>
      </x:c>
      <x:c r="G220" s="21" t="n">
        <x:v>28</x:v>
      </x:c>
      <x:c r="H220" s="23" t="n">
        <x:v>0.054</x:v>
      </x:c>
      <x:c r="I220" s="21" t="n">
        <x:v>1425.0547187724458</x:v>
      </x:c>
      <x:c r="J220" s="25" t="n">
        <x:v>5.190519293755733</x:v>
      </x:c>
      <x:c r="K220" s="21" t="n">
        <x:v>2037.0547187724458</x:v>
      </x:c>
      <x:c r="L220" s="21" t="n">
        <x:f>(1-J220/VLOOKUP(E220,'口径说明'!$A$6:$E$8,4,FALSE))*100</x:f>
        <x:v>35.11850882805334</x:v>
      </x:c>
      <x:c r="M220" s="21" t="n">
        <x:f>VLOOKUP(E220,'口径说明'!$A$6:$E$8,2,FALSE)-G220</x:f>
        <x:v>52</x:v>
      </x:c>
      <x:c r="N220" s="23" t="n">
        <x:f>VLOOKUP(E220,'口径说明'!$A$6:$E$8,3,FALSE)-H220</x:f>
        <x:v>0.196</x:v>
      </x:c>
      <x:c r="O220" s="25" t="n">
        <x:f>VLOOKUP(E220,'口径说明'!$A$6:$E$8,4,FALSE)*(1-B220/100)-J220</x:f>
        <x:v>0.009480706244267445</x:v>
      </x:c>
      <x:c r="P220" s="27" t="str">
        <x:f>IF(AND(M220&gt;=-0.0000001,N220&gt;=-0.0000001,O220&gt;=-0.0000001),"满足","不满足")</x:f>
        <x:v>满足</x:v>
      </x:c>
    </x:row>
    <x:row r="221" ht="44" customHeight="1">
      <x:c r="A221" s="2" t="str">
        <x:v>SC012</x:v>
      </x:c>
      <x:c r="B221" s="14" t="n">
        <x:v>35</x:v>
      </x:c>
      <x:c r="C221" s="2" t="str">
        <x:v>SC012-012</x:v>
      </x:c>
      <x:c r="D221" s="2" t="str">
        <x:v>S005</x:v>
      </x:c>
      <x:c r="E221" s="2" t="str">
        <x:v>C</x:v>
      </x:c>
      <x:c r="F221" s="13" t="str">
        <x:v>S005-MED-01; S005-WAT-01; S005-WAT-02; S005-WAT-03; S005-FOD-01; S005-HYG-01</x:v>
      </x:c>
      <x:c r="G221" s="20" t="n">
        <x:v>59</x:v>
      </x:c>
      <x:c r="H221" s="22" t="n">
        <x:v>0.156</x:v>
      </x:c>
      <x:c r="I221" s="20" t="n">
        <x:v>1001.1887154914712</x:v>
      </x:c>
      <x:c r="J221" s="24" t="n">
        <x:v>4.222137373445114</x:v>
      </x:c>
      <x:c r="K221" s="20" t="n">
        <x:v>1877.1887154914712</x:v>
      </x:c>
      <x:c r="L221" s="20" t="n">
        <x:f>(1-J221/VLOOKUP(E221,'口径说明'!$A$6:$E$8,4,FALSE))*100</x:f>
        <x:v>47.223282831936075</x:v>
      </x:c>
      <x:c r="M221" s="20" t="n">
        <x:f>VLOOKUP(E221,'口径说明'!$A$6:$E$8,2,FALSE)-G221</x:f>
        <x:v>21</x:v>
      </x:c>
      <x:c r="N221" s="22" t="n">
        <x:f>VLOOKUP(E221,'口径说明'!$A$6:$E$8,3,FALSE)-H221</x:f>
        <x:v>0.094</x:v>
      </x:c>
      <x:c r="O221" s="24" t="n">
        <x:f>VLOOKUP(E221,'口径说明'!$A$6:$E$8,4,FALSE)*(1-B221/100)-J221</x:f>
        <x:v>0.9778626265548862</x:v>
      </x:c>
      <x:c r="P221" s="26" t="str">
        <x:f>IF(AND(M221&gt;=-0.0000001,N221&gt;=-0.0000001,O221&gt;=-0.0000001),"满足","不满足")</x:f>
        <x:v>满足</x:v>
      </x:c>
    </x:row>
    <x:row r="222" ht="44" customHeight="1">
      <x:c r="A222" s="15" t="str">
        <x:v>SC012</x:v>
      </x:c>
      <x:c r="B222" s="17" t="n">
        <x:v>35</x:v>
      </x:c>
      <x:c r="C222" s="15" t="str">
        <x:v>SC012-013</x:v>
      </x:c>
      <x:c r="D222" s="15" t="str">
        <x:v>S006</x:v>
      </x:c>
      <x:c r="E222" s="15" t="str">
        <x:v>C</x:v>
      </x:c>
      <x:c r="F222" s="16" t="str">
        <x:v>S006-MED-01; S006-WAT-01; S006-WAT-02; S006-WAT-03; S006-FOD-01; S006-HYG-01</x:v>
      </x:c>
      <x:c r="G222" s="21" t="n">
        <x:v>59</x:v>
      </x:c>
      <x:c r="H222" s="23" t="n">
        <x:v>0.156</x:v>
      </x:c>
      <x:c r="I222" s="21" t="n">
        <x:v>685.5526244866224</x:v>
      </x:c>
      <x:c r="J222" s="25" t="n">
        <x:v>2.5979362904386822</x:v>
      </x:c>
      <x:c r="K222" s="21" t="n">
        <x:v>1561.5526244866223</x:v>
      </x:c>
      <x:c r="L222" s="21" t="n">
        <x:f>(1-J222/VLOOKUP(E222,'口径说明'!$A$6:$E$8,4,FALSE))*100</x:f>
        <x:v>67.52579636951648</x:v>
      </x:c>
      <x:c r="M222" s="21" t="n">
        <x:f>VLOOKUP(E222,'口径说明'!$A$6:$E$8,2,FALSE)-G222</x:f>
        <x:v>21</x:v>
      </x:c>
      <x:c r="N222" s="23" t="n">
        <x:f>VLOOKUP(E222,'口径说明'!$A$6:$E$8,3,FALSE)-H222</x:f>
        <x:v>0.094</x:v>
      </x:c>
      <x:c r="O222" s="25" t="n">
        <x:f>VLOOKUP(E222,'口径说明'!$A$6:$E$8,4,FALSE)*(1-B222/100)-J222</x:f>
        <x:v>2.602063709561318</x:v>
      </x:c>
      <x:c r="P222" s="27" t="str">
        <x:f>IF(AND(M222&gt;=-0.0000001,N222&gt;=-0.0000001,O222&gt;=-0.0000001),"满足","不满足")</x:f>
        <x:v>满足</x:v>
      </x:c>
    </x:row>
    <x:row r="223" ht="44" customHeight="1">
      <x:c r="A223" s="2" t="str">
        <x:v>SC012</x:v>
      </x:c>
      <x:c r="B223" s="14" t="n">
        <x:v>35</x:v>
      </x:c>
      <x:c r="C223" s="2" t="str">
        <x:v>SC012-014</x:v>
      </x:c>
      <x:c r="D223" s="2" t="str">
        <x:v>S007</x:v>
      </x:c>
      <x:c r="E223" s="2" t="str">
        <x:v>C</x:v>
      </x:c>
      <x:c r="F223" s="13" t="str">
        <x:v>S007-MED-01; S007-WAT-01; S007-WAT-02; S007-FOD-01; S007-HYG-01</x:v>
      </x:c>
      <x:c r="G223" s="20" t="n">
        <x:v>45</x:v>
      </x:c>
      <x:c r="H223" s="22" t="n">
        <x:v>0.129</x:v>
      </x:c>
      <x:c r="I223" s="20" t="n">
        <x:v>1097.600698410691</x:v>
      </x:c>
      <x:c r="J223" s="24" t="n">
        <x:v>3.4110038084433194</x:v>
      </x:c>
      <x:c r="K223" s="20" t="n">
        <x:v>1907.600698410691</x:v>
      </x:c>
      <x:c r="L223" s="20" t="n">
        <x:f>(1-J223/VLOOKUP(E223,'口径说明'!$A$6:$E$8,4,FALSE))*100</x:f>
        <x:v>57.36245239445851</x:v>
      </x:c>
      <x:c r="M223" s="20" t="n">
        <x:f>VLOOKUP(E223,'口径说明'!$A$6:$E$8,2,FALSE)-G223</x:f>
        <x:v>35</x:v>
      </x:c>
      <x:c r="N223" s="22" t="n">
        <x:f>VLOOKUP(E223,'口径说明'!$A$6:$E$8,3,FALSE)-H223</x:f>
        <x:v>0.121</x:v>
      </x:c>
      <x:c r="O223" s="24" t="n">
        <x:f>VLOOKUP(E223,'口径说明'!$A$6:$E$8,4,FALSE)*(1-B223/100)-J223</x:f>
        <x:v>1.7889961915566808</x:v>
      </x:c>
      <x:c r="P223" s="26" t="str">
        <x:f>IF(AND(M223&gt;=-0.0000001,N223&gt;=-0.0000001,O223&gt;=-0.0000001),"满足","不满足")</x:f>
        <x:v>满足</x:v>
      </x:c>
    </x:row>
    <x:row r="224" ht="30" customHeight="1">
      <x:c r="A224" s="15" t="str">
        <x:v>SC012</x:v>
      </x:c>
      <x:c r="B224" s="17" t="n">
        <x:v>35</x:v>
      </x:c>
      <x:c r="C224" s="15" t="str">
        <x:v>SC012-015</x:v>
      </x:c>
      <x:c r="D224" s="15" t="str">
        <x:v>S008</x:v>
      </x:c>
      <x:c r="E224" s="15" t="str">
        <x:v>B</x:v>
      </x:c>
      <x:c r="F224" s="16" t="str">
        <x:v>S008-FOD-01</x:v>
      </x:c>
      <x:c r="G224" s="21" t="n">
        <x:v>8</x:v>
      </x:c>
      <x:c r="H224" s="23" t="n">
        <x:v>0.028</x:v>
      </x:c>
      <x:c r="I224" s="21" t="n">
        <x:v>1331.841747175703</x:v>
      </x:c>
      <x:c r="J224" s="25" t="n">
        <x:v>2.4735150647595305</x:v>
      </x:c>
      <x:c r="K224" s="21" t="n">
        <x:v>1841.841747175703</x:v>
      </x:c>
      <x:c r="L224" s="21" t="n">
        <x:f>(1-J224/VLOOKUP(E224,'口径说明'!$A$6:$E$8,4,FALSE))*100</x:f>
        <x:v>38.16212338101174</x:v>
      </x:c>
      <x:c r="M224" s="21" t="n">
        <x:f>VLOOKUP(E224,'口径说明'!$A$6:$E$8,2,FALSE)-G224</x:f>
        <x:v>22</x:v>
      </x:c>
      <x:c r="N224" s="23" t="n">
        <x:f>VLOOKUP(E224,'口径说明'!$A$6:$E$8,3,FALSE)-H224</x:f>
        <x:v>0.045</x:v>
      </x:c>
      <x:c r="O224" s="25" t="n">
        <x:f>VLOOKUP(E224,'口径说明'!$A$6:$E$8,4,FALSE)*(1-B224/100)-J224</x:f>
        <x:v>0.12648493524046955</x:v>
      </x:c>
      <x:c r="P224" s="27" t="str">
        <x:f>IF(AND(M224&gt;=-0.0000001,N224&gt;=-0.0000001,O224&gt;=-0.0000001),"满足","不满足")</x:f>
        <x:v>满足</x:v>
      </x:c>
    </x:row>
    <x:row r="225" ht="30" customHeight="1">
      <x:c r="A225" s="2" t="str">
        <x:v>SC012</x:v>
      </x:c>
      <x:c r="B225" s="14" t="n">
        <x:v>35</x:v>
      </x:c>
      <x:c r="C225" s="2" t="str">
        <x:v>SC012-016</x:v>
      </x:c>
      <x:c r="D225" s="2" t="str">
        <x:v>S008</x:v>
      </x:c>
      <x:c r="E225" s="2" t="str">
        <x:v>B</x:v>
      </x:c>
      <x:c r="F225" s="13" t="str">
        <x:v>S008-WAT-01</x:v>
      </x:c>
      <x:c r="G225" s="20" t="n">
        <x:v>14</x:v>
      </x:c>
      <x:c r="H225" s="22" t="n">
        <x:v>0.027</x:v>
      </x:c>
      <x:c r="I225" s="20" t="n">
        <x:v>1331.841747175703</x:v>
      </x:c>
      <x:c r="J225" s="24" t="n">
        <x:v>2.5893362522722065</x:v>
      </x:c>
      <x:c r="K225" s="20" t="n">
        <x:v>1841.841747175703</x:v>
      </x:c>
      <x:c r="L225" s="20" t="n">
        <x:f>(1-J225/VLOOKUP(E225,'口径说明'!$A$6:$E$8,4,FALSE))*100</x:f>
        <x:v>35.266593693194835</x:v>
      </x:c>
      <x:c r="M225" s="20" t="n">
        <x:f>VLOOKUP(E225,'口径说明'!$A$6:$E$8,2,FALSE)-G225</x:f>
        <x:v>16</x:v>
      </x:c>
      <x:c r="N225" s="22" t="n">
        <x:f>VLOOKUP(E225,'口径说明'!$A$6:$E$8,3,FALSE)-H225</x:f>
        <x:v>0.046</x:v>
      </x:c>
      <x:c r="O225" s="24" t="n">
        <x:f>VLOOKUP(E225,'口径说明'!$A$6:$E$8,4,FALSE)*(1-B225/100)-J225</x:f>
        <x:v>0.010663747727793549</x:v>
      </x:c>
      <x:c r="P225" s="26" t="str">
        <x:f>IF(AND(M225&gt;=-0.0000001,N225&gt;=-0.0000001,O225&gt;=-0.0000001),"满足","不满足")</x:f>
        <x:v>满足</x:v>
      </x:c>
    </x:row>
    <x:row r="226" ht="30" customHeight="1">
      <x:c r="A226" s="15" t="str">
        <x:v>SC012</x:v>
      </x:c>
      <x:c r="B226" s="17" t="n">
        <x:v>35</x:v>
      </x:c>
      <x:c r="C226" s="15" t="str">
        <x:v>SC012-017</x:v>
      </x:c>
      <x:c r="D226" s="15" t="str">
        <x:v>S008</x:v>
      </x:c>
      <x:c r="E226" s="15" t="str">
        <x:v>B</x:v>
      </x:c>
      <x:c r="F226" s="16" t="str">
        <x:v>S008-WAT-02</x:v>
      </x:c>
      <x:c r="G226" s="21" t="n">
        <x:v>14</x:v>
      </x:c>
      <x:c r="H226" s="23" t="n">
        <x:v>0.027</x:v>
      </x:c>
      <x:c r="I226" s="21" t="n">
        <x:v>1331.841747175703</x:v>
      </x:c>
      <x:c r="J226" s="25" t="n">
        <x:v>2.5893362522722065</x:v>
      </x:c>
      <x:c r="K226" s="21" t="n">
        <x:v>1841.841747175703</x:v>
      </x:c>
      <x:c r="L226" s="21" t="n">
        <x:f>(1-J226/VLOOKUP(E226,'口径说明'!$A$6:$E$8,4,FALSE))*100</x:f>
        <x:v>35.266593693194835</x:v>
      </x:c>
      <x:c r="M226" s="21" t="n">
        <x:f>VLOOKUP(E226,'口径说明'!$A$6:$E$8,2,FALSE)-G226</x:f>
        <x:v>16</x:v>
      </x:c>
      <x:c r="N226" s="23" t="n">
        <x:f>VLOOKUP(E226,'口径说明'!$A$6:$E$8,3,FALSE)-H226</x:f>
        <x:v>0.046</x:v>
      </x:c>
      <x:c r="O226" s="25" t="n">
        <x:f>VLOOKUP(E226,'口径说明'!$A$6:$E$8,4,FALSE)*(1-B226/100)-J226</x:f>
        <x:v>0.010663747727793549</x:v>
      </x:c>
      <x:c r="P226" s="27" t="str">
        <x:f>IF(AND(M226&gt;=-0.0000001,N226&gt;=-0.0000001,O226&gt;=-0.0000001),"满足","不满足")</x:f>
        <x:v>满足</x:v>
      </x:c>
    </x:row>
    <x:row r="227" ht="30" customHeight="1">
      <x:c r="A227" s="2" t="str">
        <x:v>SC012</x:v>
      </x:c>
      <x:c r="B227" s="14" t="n">
        <x:v>35</x:v>
      </x:c>
      <x:c r="C227" s="2" t="str">
        <x:v>SC012-018</x:v>
      </x:c>
      <x:c r="D227" s="2" t="str">
        <x:v>S008</x:v>
      </x:c>
      <x:c r="E227" s="2" t="str">
        <x:v>B</x:v>
      </x:c>
      <x:c r="F227" s="13" t="str">
        <x:v>S008-MED-01; S008-HYG-01</x:v>
      </x:c>
      <x:c r="G227" s="20" t="n">
        <x:v>9</x:v>
      </x:c>
      <x:c r="H227" s="22" t="n">
        <x:v>0.047</x:v>
      </x:c>
      <x:c r="I227" s="20" t="n">
        <x:v>1331.841747175703</x:v>
      </x:c>
      <x:c r="J227" s="24" t="n">
        <x:v>2.4894907348649458</x:v>
      </x:c>
      <x:c r="K227" s="20" t="n">
        <x:v>1901.841747175703</x:v>
      </x:c>
      <x:c r="L227" s="20" t="n">
        <x:f>(1-J227/VLOOKUP(E227,'口径说明'!$A$6:$E$8,4,FALSE))*100</x:f>
        <x:v>37.76273162837636</x:v>
      </x:c>
      <x:c r="M227" s="20" t="n">
        <x:f>VLOOKUP(E227,'口径说明'!$A$6:$E$8,2,FALSE)-G227</x:f>
        <x:v>21</x:v>
      </x:c>
      <x:c r="N227" s="22" t="n">
        <x:f>VLOOKUP(E227,'口径说明'!$A$6:$E$8,3,FALSE)-H227</x:f>
        <x:v>0.025999999999999995</x:v>
      </x:c>
      <x:c r="O227" s="24" t="n">
        <x:f>VLOOKUP(E227,'口径说明'!$A$6:$E$8,4,FALSE)*(1-B227/100)-J227</x:f>
        <x:v>0.11050926513505432</x:v>
      </x:c>
      <x:c r="P227" s="26" t="str">
        <x:f>IF(AND(M227&gt;=-0.0000001,N227&gt;=-0.0000001,O227&gt;=-0.0000001),"满足","不满足")</x:f>
        <x:v>满足</x:v>
      </x:c>
    </x:row>
    <x:row r="228" ht="30" customHeight="1">
      <x:c r="A228" s="15" t="str">
        <x:v>SC012</x:v>
      </x:c>
      <x:c r="B228" s="17" t="n">
        <x:v>35</x:v>
      </x:c>
      <x:c r="C228" s="15" t="str">
        <x:v>SC012-019</x:v>
      </x:c>
      <x:c r="D228" s="15" t="str">
        <x:v>S009</x:v>
      </x:c>
      <x:c r="E228" s="15" t="str">
        <x:v>B</x:v>
      </x:c>
      <x:c r="F228" s="16" t="str">
        <x:v>S009-MED-01; S009-WAT-01; S009-FOD-01</x:v>
      </x:c>
      <x:c r="G228" s="21" t="n">
        <x:v>25</x:v>
      </x:c>
      <x:c r="H228" s="23" t="n">
        <x:v>0.067</x:v>
      </x:c>
      <x:c r="I228" s="21" t="n">
        <x:v>928.4628643343575</x:v>
      </x:c>
      <x:c r="J228" s="25" t="n">
        <x:v>2.0962654017373348</x:v>
      </x:c>
      <x:c r="K228" s="21" t="n">
        <x:v>1558.4628643343576</x:v>
      </x:c>
      <x:c r="L228" s="21" t="n">
        <x:f>(1-J228/VLOOKUP(E228,'口径说明'!$A$6:$E$8,4,FALSE))*100</x:f>
        <x:v>47.59336495656663</x:v>
      </x:c>
      <x:c r="M228" s="21" t="n">
        <x:f>VLOOKUP(E228,'口径说明'!$A$6:$E$8,2,FALSE)-G228</x:f>
        <x:v>5</x:v>
      </x:c>
      <x:c r="N228" s="23" t="n">
        <x:f>VLOOKUP(E228,'口径说明'!$A$6:$E$8,3,FALSE)-H228</x:f>
        <x:v>0.0059999999999999915</x:v>
      </x:c>
      <x:c r="O228" s="25" t="n">
        <x:f>VLOOKUP(E228,'口径说明'!$A$6:$E$8,4,FALSE)*(1-B228/100)-J228</x:f>
        <x:v>0.5037345982626653</x:v>
      </x:c>
      <x:c r="P228" s="27" t="str">
        <x:f>IF(AND(M228&gt;=-0.0000001,N228&gt;=-0.0000001,O228&gt;=-0.0000001),"满足","不满足")</x:f>
        <x:v>满足</x:v>
      </x:c>
    </x:row>
    <x:row r="229" ht="30" customHeight="1">
      <x:c r="A229" s="2" t="str">
        <x:v>SC012</x:v>
      </x:c>
      <x:c r="B229" s="14" t="n">
        <x:v>35</x:v>
      </x:c>
      <x:c r="C229" s="2" t="str">
        <x:v>SC012-020</x:v>
      </x:c>
      <x:c r="D229" s="2" t="str">
        <x:v>S010</x:v>
      </x:c>
      <x:c r="E229" s="2" t="str">
        <x:v>B</x:v>
      </x:c>
      <x:c r="F229" s="13" t="str">
        <x:v>S010-MED-01; S010-WAT-01; S010-FOD-01</x:v>
      </x:c>
      <x:c r="G229" s="20" t="n">
        <x:v>25</x:v>
      </x:c>
      <x:c r="H229" s="22" t="n">
        <x:v>0.067</x:v>
      </x:c>
      <x:c r="I229" s="20" t="n">
        <x:v>925.4035197802174</x:v>
      </x:c>
      <x:c r="J229" s="24" t="n">
        <x:v>1.8232165642314142</x:v>
      </x:c>
      <x:c r="K229" s="20" t="n">
        <x:v>1555.4035197802173</x:v>
      </x:c>
      <x:c r="L229" s="20" t="n">
        <x:f>(1-J229/VLOOKUP(E229,'口径说明'!$A$6:$E$8,4,FALSE))*100</x:f>
        <x:v>54.41958589421465</x:v>
      </x:c>
      <x:c r="M229" s="20" t="n">
        <x:f>VLOOKUP(E229,'口径说明'!$A$6:$E$8,2,FALSE)-G229</x:f>
        <x:v>5</x:v>
      </x:c>
      <x:c r="N229" s="22" t="n">
        <x:f>VLOOKUP(E229,'口径说明'!$A$6:$E$8,3,FALSE)-H229</x:f>
        <x:v>0.0059999999999999915</x:v>
      </x:c>
      <x:c r="O229" s="24" t="n">
        <x:f>VLOOKUP(E229,'口径说明'!$A$6:$E$8,4,FALSE)*(1-B229/100)-J229</x:f>
        <x:v>0.7767834357685859</x:v>
      </x:c>
      <x:c r="P229" s="26" t="str">
        <x:f>IF(AND(M229&gt;=-0.0000001,N229&gt;=-0.0000001,O229&gt;=-0.0000001),"满足","不满足")</x:f>
        <x:v>满足</x:v>
      </x:c>
    </x:row>
    <x:row r="230" ht="30" customHeight="1">
      <x:c r="A230" s="15" t="str">
        <x:v>SC012</x:v>
      </x:c>
      <x:c r="B230" s="17" t="n">
        <x:v>35</x:v>
      </x:c>
      <x:c r="C230" s="15" t="str">
        <x:v>SC012-021</x:v>
      </x:c>
      <x:c r="D230" s="15" t="str">
        <x:v>S011</x:v>
      </x:c>
      <x:c r="E230" s="15" t="str">
        <x:v>B</x:v>
      </x:c>
      <x:c r="F230" s="16" t="str">
        <x:v>S011-MED-01; S011-WAT-01; S011-FOD-01</x:v>
      </x:c>
      <x:c r="G230" s="21" t="n">
        <x:v>25</x:v>
      </x:c>
      <x:c r="H230" s="23" t="n">
        <x:v>0.067</x:v>
      </x:c>
      <x:c r="I230" s="21" t="n">
        <x:v>558.4247628605204</x:v>
      </x:c>
      <x:c r="J230" s="25" t="n">
        <x:v>1.0739366863951034</x:v>
      </x:c>
      <x:c r="K230" s="21" t="n">
        <x:v>1188.4247628605203</x:v>
      </x:c>
      <x:c r="L230" s="21" t="n">
        <x:f>(1-J230/VLOOKUP(E230,'口径说明'!$A$6:$E$8,4,FALSE))*100</x:f>
        <x:v>73.15158284012242</x:v>
      </x:c>
      <x:c r="M230" s="21" t="n">
        <x:f>VLOOKUP(E230,'口径说明'!$A$6:$E$8,2,FALSE)-G230</x:f>
        <x:v>5</x:v>
      </x:c>
      <x:c r="N230" s="23" t="n">
        <x:f>VLOOKUP(E230,'口径说明'!$A$6:$E$8,3,FALSE)-H230</x:f>
        <x:v>0.0059999999999999915</x:v>
      </x:c>
      <x:c r="O230" s="25" t="n">
        <x:f>VLOOKUP(E230,'口径说明'!$A$6:$E$8,4,FALSE)*(1-B230/100)-J230</x:f>
        <x:v>1.5260633136048967</x:v>
      </x:c>
      <x:c r="P230" s="27" t="str">
        <x:f>IF(AND(M230&gt;=-0.0000001,N230&gt;=-0.0000001,O230&gt;=-0.0000001),"满足","不满足")</x:f>
        <x:v>满足</x:v>
      </x:c>
    </x:row>
    <x:row r="231" ht="30" customHeight="1">
      <x:c r="A231" s="2" t="str">
        <x:v>SC012</x:v>
      </x:c>
      <x:c r="B231" s="14" t="n">
        <x:v>35</x:v>
      </x:c>
      <x:c r="C231" s="2" t="str">
        <x:v>SC012-022</x:v>
      </x:c>
      <x:c r="D231" s="2" t="str">
        <x:v>S012</x:v>
      </x:c>
      <x:c r="E231" s="2" t="str">
        <x:v>C</x:v>
      </x:c>
      <x:c r="F231" s="13" t="str">
        <x:v>S012-MED-01; S012-WAT-01; S012-FOD-01</x:v>
      </x:c>
      <x:c r="G231" s="20" t="n">
        <x:v>25</x:v>
      </x:c>
      <x:c r="H231" s="22" t="n">
        <x:v>0.067</x:v>
      </x:c>
      <x:c r="I231" s="20" t="n">
        <x:v>1362.6771457735358</x:v>
      </x:c>
      <x:c r="J231" s="24" t="n">
        <x:v>4.922379480058796</x:v>
      </x:c>
      <x:c r="K231" s="20" t="n">
        <x:v>2040.6771457735358</x:v>
      </x:c>
      <x:c r="L231" s="20" t="n">
        <x:f>(1-J231/VLOOKUP(E231,'口径说明'!$A$6:$E$8,4,FALSE))*100</x:f>
        <x:v>38.470256499265055</x:v>
      </x:c>
      <x:c r="M231" s="20" t="n">
        <x:f>VLOOKUP(E231,'口径说明'!$A$6:$E$8,2,FALSE)-G231</x:f>
        <x:v>55</x:v>
      </x:c>
      <x:c r="N231" s="22" t="n">
        <x:f>VLOOKUP(E231,'口径说明'!$A$6:$E$8,3,FALSE)-H231</x:f>
        <x:v>0.183</x:v>
      </x:c>
      <x:c r="O231" s="24" t="n">
        <x:f>VLOOKUP(E231,'口径说明'!$A$6:$E$8,4,FALSE)*(1-B231/100)-J231</x:f>
        <x:v>0.2776205199412045</x:v>
      </x:c>
      <x:c r="P231" s="26" t="str">
        <x:f>IF(AND(M231&gt;=-0.0000001,N231&gt;=-0.0000001,O231&gt;=-0.0000001),"满足","不满足")</x:f>
        <x:v>满足</x:v>
      </x:c>
    </x:row>
    <x:row r="232" ht="30" customHeight="1">
      <x:c r="A232" s="15" t="str">
        <x:v>SC012</x:v>
      </x:c>
      <x:c r="B232" s="17" t="n">
        <x:v>35</x:v>
      </x:c>
      <x:c r="C232" s="15" t="str">
        <x:v>SC012-023</x:v>
      </x:c>
      <x:c r="D232" s="15" t="str">
        <x:v>S013</x:v>
      </x:c>
      <x:c r="E232" s="15" t="str">
        <x:v>B</x:v>
      </x:c>
      <x:c r="F232" s="16" t="str">
        <x:v>S013-MED-01; S013-WAT-01; S013-FOD-01</x:v>
      </x:c>
      <x:c r="G232" s="21" t="n">
        <x:v>25</x:v>
      </x:c>
      <x:c r="H232" s="23" t="n">
        <x:v>0.067</x:v>
      </x:c>
      <x:c r="I232" s="21" t="n">
        <x:v>880.511588744525</x:v>
      </x:c>
      <x:c r="J232" s="25" t="n">
        <x:v>1.8248281910807471</x:v>
      </x:c>
      <x:c r="K232" s="21" t="n">
        <x:v>1510.511588744525</x:v>
      </x:c>
      <x:c r="L232" s="21" t="n">
        <x:f>(1-J232/VLOOKUP(E232,'口径说明'!$A$6:$E$8,4,FALSE))*100</x:f>
        <x:v>54.37929522298133</x:v>
      </x:c>
      <x:c r="M232" s="21" t="n">
        <x:f>VLOOKUP(E232,'口径说明'!$A$6:$E$8,2,FALSE)-G232</x:f>
        <x:v>5</x:v>
      </x:c>
      <x:c r="N232" s="23" t="n">
        <x:f>VLOOKUP(E232,'口径说明'!$A$6:$E$8,3,FALSE)-H232</x:f>
        <x:v>0.0059999999999999915</x:v>
      </x:c>
      <x:c r="O232" s="25" t="n">
        <x:f>VLOOKUP(E232,'口径说明'!$A$6:$E$8,4,FALSE)*(1-B232/100)-J232</x:f>
        <x:v>0.775171808919253</x:v>
      </x:c>
      <x:c r="P232" s="27" t="str">
        <x:f>IF(AND(M232&gt;=-0.0000001,N232&gt;=-0.0000001,O232&gt;=-0.0000001),"满足","不满足")</x:f>
        <x:v>满足</x:v>
      </x:c>
    </x:row>
    <x:row r="233" ht="30" customHeight="1">
      <x:c r="A233" s="2" t="str">
        <x:v>SC012</x:v>
      </x:c>
      <x:c r="B233" s="14" t="n">
        <x:v>35</x:v>
      </x:c>
      <x:c r="C233" s="2" t="str">
        <x:v>SC012-024</x:v>
      </x:c>
      <x:c r="D233" s="2" t="str">
        <x:v>S014</x:v>
      </x:c>
      <x:c r="E233" s="2" t="str">
        <x:v>B</x:v>
      </x:c>
      <x:c r="F233" s="13" t="str">
        <x:v>S014-MED-01; S014-WAT-01; S014-FOD-01</x:v>
      </x:c>
      <x:c r="G233" s="20" t="n">
        <x:v>25</x:v>
      </x:c>
      <x:c r="H233" s="22" t="n">
        <x:v>0.067</x:v>
      </x:c>
      <x:c r="I233" s="20" t="n">
        <x:v>1239.7476752786913</x:v>
      </x:c>
      <x:c r="J233" s="24" t="n">
        <x:v>2.1402909781417883</x:v>
      </x:c>
      <x:c r="K233" s="20" t="n">
        <x:v>1869.7476752786913</x:v>
      </x:c>
      <x:c r="L233" s="20" t="n">
        <x:f>(1-J233/VLOOKUP(E233,'口径说明'!$A$6:$E$8,4,FALSE))*100</x:f>
        <x:v>46.49272554645529</x:v>
      </x:c>
      <x:c r="M233" s="20" t="n">
        <x:f>VLOOKUP(E233,'口径说明'!$A$6:$E$8,2,FALSE)-G233</x:f>
        <x:v>5</x:v>
      </x:c>
      <x:c r="N233" s="22" t="n">
        <x:f>VLOOKUP(E233,'口径说明'!$A$6:$E$8,3,FALSE)-H233</x:f>
        <x:v>0.0059999999999999915</x:v>
      </x:c>
      <x:c r="O233" s="24" t="n">
        <x:f>VLOOKUP(E233,'口径说明'!$A$6:$E$8,4,FALSE)*(1-B233/100)-J233</x:f>
        <x:v>0.45970902185821183</x:v>
      </x:c>
      <x:c r="P233" s="26" t="str">
        <x:f>IF(AND(M233&gt;=-0.0000001,N233&gt;=-0.0000001,O233&gt;=-0.0000001),"满足","不满足")</x:f>
        <x:v>满足</x:v>
      </x:c>
    </x:row>
    <x:row r="234" ht="30" customHeight="1">
      <x:c r="A234" s="15" t="str">
        <x:v>SC012</x:v>
      </x:c>
      <x:c r="B234" s="17" t="n">
        <x:v>35</x:v>
      </x:c>
      <x:c r="C234" s="15" t="str">
        <x:v>SC012-025</x:v>
      </x:c>
      <x:c r="D234" s="15" t="str">
        <x:v>S015</x:v>
      </x:c>
      <x:c r="E234" s="15" t="str">
        <x:v>B</x:v>
      </x:c>
      <x:c r="F234" s="16" t="str">
        <x:v>S015-MED-01; S015-WAT-01; S015-FOD-01</x:v>
      </x:c>
      <x:c r="G234" s="21" t="n">
        <x:v>25</x:v>
      </x:c>
      <x:c r="H234" s="23" t="n">
        <x:v>0.067</x:v>
      </x:c>
      <x:c r="I234" s="21" t="n">
        <x:v>1198.3275601736595</x:v>
      </x:c>
      <x:c r="J234" s="25" t="n">
        <x:v>2.307528505752516</x:v>
      </x:c>
      <x:c r="K234" s="21" t="n">
        <x:v>1828.3275601736595</x:v>
      </x:c>
      <x:c r="L234" s="21" t="n">
        <x:f>(1-J234/VLOOKUP(E234,'口径说明'!$A$6:$E$8,4,FALSE))*100</x:f>
        <x:v>42.311787356187104</x:v>
      </x:c>
      <x:c r="M234" s="21" t="n">
        <x:f>VLOOKUP(E234,'口径说明'!$A$6:$E$8,2,FALSE)-G234</x:f>
        <x:v>5</x:v>
      </x:c>
      <x:c r="N234" s="23" t="n">
        <x:f>VLOOKUP(E234,'口径说明'!$A$6:$E$8,3,FALSE)-H234</x:f>
        <x:v>0.0059999999999999915</x:v>
      </x:c>
      <x:c r="O234" s="25" t="n">
        <x:f>VLOOKUP(E234,'口径说明'!$A$6:$E$8,4,FALSE)*(1-B234/100)-J234</x:f>
        <x:v>0.2924714942474842</x:v>
      </x:c>
      <x:c r="P234" s="27" t="str">
        <x:f>IF(AND(M234&gt;=-0.0000001,N234&gt;=-0.0000001,O234&gt;=-0.0000001),"满足","不满足")</x:f>
        <x:v>满足</x:v>
      </x:c>
    </x:row>
    <x:row r="235" ht="61" customHeight="1">
      <x:c r="A235" s="2" t="str">
        <x:v>SC013</x:v>
      </x:c>
      <x:c r="B235" s="14" t="n">
        <x:v>35.26764734919061</x:v>
      </x:c>
      <x:c r="C235" s="2" t="str">
        <x:v>SC013-001</x:v>
      </x:c>
      <x:c r="D235" s="2" t="str">
        <x:v>S001</x:v>
      </x:c>
      <x:c r="E235" s="2" t="str">
        <x:v>C</x:v>
      </x:c>
      <x:c r="F235" s="13" t="str">
        <x:v>S001-WAT-01; S001-WAT-02; S001-WAT-03; S001-FOD-01; S001-FOD-02; S001-FOD-03; S001-HYG-01; S001-HYG-02</x:v>
      </x:c>
      <x:c r="G235" s="20" t="n">
        <x:v>78</x:v>
      </x:c>
      <x:c r="H235" s="22" t="n">
        <x:v>0.235</x:v>
      </x:c>
      <x:c r="I235" s="20" t="n">
        <x:v>618.1750458620229</x:v>
      </x:c>
      <x:c r="J235" s="24" t="n">
        <x:v>2.9957758049046697</x:v>
      </x:c>
      <x:c r="K235" s="20" t="n">
        <x:v>1626.175045862023</x:v>
      </x:c>
      <x:c r="L235" s="20" t="n">
        <x:f>(1-J235/VLOOKUP(E235,'口径说明'!$A$6:$E$8,4,FALSE))*100</x:f>
        <x:v>62.552802438691636</x:v>
      </x:c>
      <x:c r="M235" s="20" t="n">
        <x:f>VLOOKUP(E235,'口径说明'!$A$6:$E$8,2,FALSE)-G235</x:f>
        <x:v>2</x:v>
      </x:c>
      <x:c r="N235" s="22" t="n">
        <x:f>VLOOKUP(E235,'口径说明'!$A$6:$E$8,3,FALSE)-H235</x:f>
        <x:v>0.015000000000000013</x:v>
      </x:c>
      <x:c r="O235" s="24" t="n">
        <x:f>VLOOKUP(E235,'口径说明'!$A$6:$E$8,4,FALSE)*(1-B235/100)-J235</x:f>
        <x:v>2.1828124071600814</x:v>
      </x:c>
      <x:c r="P235" s="26" t="str">
        <x:f>IF(AND(M235&gt;=-0.0000001,N235&gt;=-0.0000001,O235&gt;=-0.0000001),"满足","不满足")</x:f>
        <x:v>满足</x:v>
      </x:c>
    </x:row>
    <x:row r="236" ht="44" customHeight="1">
      <x:c r="A236" s="15" t="str">
        <x:v>SC013</x:v>
      </x:c>
      <x:c r="B236" s="17" t="n">
        <x:v>35.26764734919061</x:v>
      </x:c>
      <x:c r="C236" s="15" t="str">
        <x:v>SC013-002</x:v>
      </x:c>
      <x:c r="D236" s="15" t="str">
        <x:v>S001</x:v>
      </x:c>
      <x:c r="E236" s="15" t="str">
        <x:v>C</x:v>
      </x:c>
      <x:c r="F236" s="16" t="str">
        <x:v>S001-MED-01; S001-MED-02; S001-WAT-04; S001-WAT-05; S001-WAT-06; S001-WAT-07; S001-WAT-08</x:v>
      </x:c>
      <x:c r="G236" s="21" t="n">
        <x:v>76</x:v>
      </x:c>
      <x:c r="H236" s="23" t="n">
        <x:v>0.159</x:v>
      </x:c>
      <x:c r="I236" s="21" t="n">
        <x:v>618.1750458620229</x:v>
      </x:c>
      <x:c r="J236" s="25" t="n">
        <x:v>2.917588095586827</x:v>
      </x:c>
      <x:c r="K236" s="21" t="n">
        <x:v>1560.175045862023</x:v>
      </x:c>
      <x:c r="L236" s="21" t="n">
        <x:f>(1-J236/VLOOKUP(E236,'口径说明'!$A$6:$E$8,4,FALSE))*100</x:f>
        <x:v>63.53014880516466</x:v>
      </x:c>
      <x:c r="M236" s="21" t="n">
        <x:f>VLOOKUP(E236,'口径说明'!$A$6:$E$8,2,FALSE)-G236</x:f>
        <x:v>4</x:v>
      </x:c>
      <x:c r="N236" s="23" t="n">
        <x:f>VLOOKUP(E236,'口径说明'!$A$6:$E$8,3,FALSE)-H236</x:f>
        <x:v>0.091</x:v>
      </x:c>
      <x:c r="O236" s="25" t="n">
        <x:f>VLOOKUP(E236,'口径说明'!$A$6:$E$8,4,FALSE)*(1-B236/100)-J236</x:f>
        <x:v>2.261000116477924</x:v>
      </x:c>
      <x:c r="P236" s="27" t="str">
        <x:f>IF(AND(M236&gt;=-0.0000001,N236&gt;=-0.0000001,O236&gt;=-0.0000001),"满足","不满足")</x:f>
        <x:v>满足</x:v>
      </x:c>
    </x:row>
    <x:row r="237" ht="30" customHeight="1">
      <x:c r="A237" s="2" t="str">
        <x:v>SC013</x:v>
      </x:c>
      <x:c r="B237" s="14" t="n">
        <x:v>35.26764734919061</x:v>
      </x:c>
      <x:c r="C237" s="2" t="str">
        <x:v>SC013-003</x:v>
      </x:c>
      <x:c r="D237" s="2" t="str">
        <x:v>S002</x:v>
      </x:c>
      <x:c r="E237" s="2" t="str">
        <x:v>B</x:v>
      </x:c>
      <x:c r="F237" s="13" t="str">
        <x:v>S002-WAT-01; S002-HYG-01</x:v>
      </x:c>
      <x:c r="G237" s="20" t="n">
        <x:v>20</x:v>
      </x:c>
      <x:c r="H237" s="22" t="n">
        <x:v>0.062</x:v>
      </x:c>
      <x:c r="I237" s="20" t="n">
        <x:v>1186.7240813077576</x:v>
      </x:c>
      <x:c r="J237" s="24" t="n">
        <x:v>2.5200228439182712</x:v>
      </x:c>
      <x:c r="K237" s="20" t="n">
        <x:v>1756.7240813077576</x:v>
      </x:c>
      <x:c r="L237" s="20" t="n">
        <x:f>(1-J237/VLOOKUP(E237,'口径说明'!$A$6:$E$8,4,FALSE))*100</x:f>
        <x:v>36.99942890204322</x:v>
      </x:c>
      <x:c r="M237" s="20" t="n">
        <x:f>VLOOKUP(E237,'口径说明'!$A$6:$E$8,2,FALSE)-G237</x:f>
        <x:v>10</x:v>
      </x:c>
      <x:c r="N237" s="22" t="n">
        <x:f>VLOOKUP(E237,'口径说明'!$A$6:$E$8,3,FALSE)-H237</x:f>
        <x:v>0.010999999999999996</x:v>
      </x:c>
      <x:c r="O237" s="24" t="n">
        <x:f>VLOOKUP(E237,'口径说明'!$A$6:$E$8,4,FALSE)*(1-B237/100)-J237</x:f>
        <x:v>0.06927126211410428</x:v>
      </x:c>
      <x:c r="P237" s="26" t="str">
        <x:f>IF(AND(M237&gt;=-0.0000001,N237&gt;=-0.0000001,O237&gt;=-0.0000001),"满足","不满足")</x:f>
        <x:v>满足</x:v>
      </x:c>
    </x:row>
    <x:row r="238" ht="30" customHeight="1">
      <x:c r="A238" s="15" t="str">
        <x:v>SC013</x:v>
      </x:c>
      <x:c r="B238" s="17" t="n">
        <x:v>35.26764734919061</x:v>
      </x:c>
      <x:c r="C238" s="15" t="str">
        <x:v>SC013-004</x:v>
      </x:c>
      <x:c r="D238" s="15" t="str">
        <x:v>S002</x:v>
      </x:c>
      <x:c r="E238" s="15" t="str">
        <x:v>B</x:v>
      </x:c>
      <x:c r="F238" s="16" t="str">
        <x:v>S002-WAT-02; S002-FOD-01</x:v>
      </x:c>
      <x:c r="G238" s="21" t="n">
        <x:v>22</x:v>
      </x:c>
      <x:c r="H238" s="23" t="n">
        <x:v>0.055</x:v>
      </x:c>
      <x:c r="I238" s="21" t="n">
        <x:v>1186.7240813077576</x:v>
      </x:c>
      <x:c r="J238" s="25" t="n">
        <x:v>2.589138530418365</x:v>
      </x:c>
      <x:c r="K238" s="21" t="n">
        <x:v>1756.7240813077576</x:v>
      </x:c>
      <x:c r="L238" s="21" t="n">
        <x:f>(1-J238/VLOOKUP(E238,'口径说明'!$A$6:$E$8,4,FALSE))*100</x:f>
        <x:v>35.27153673954088</x:v>
      </x:c>
      <x:c r="M238" s="21" t="n">
        <x:f>VLOOKUP(E238,'口径说明'!$A$6:$E$8,2,FALSE)-G238</x:f>
        <x:v>8</x:v>
      </x:c>
      <x:c r="N238" s="23" t="n">
        <x:f>VLOOKUP(E238,'口径说明'!$A$6:$E$8,3,FALSE)-H238</x:f>
        <x:v>0.017999999999999995</x:v>
      </x:c>
      <x:c r="O238" s="25" t="n">
        <x:f>VLOOKUP(E238,'口径说明'!$A$6:$E$8,4,FALSE)*(1-B238/100)-J238</x:f>
        <x:v>0.0001555756140105835</x:v>
      </x:c>
      <x:c r="P238" s="27" t="str">
        <x:f>IF(AND(M238&gt;=-0.0000001,N238&gt;=-0.0000001,O238&gt;=-0.0000001),"满足","不满足")</x:f>
        <x:v>满足</x:v>
      </x:c>
    </x:row>
    <x:row r="239" ht="44" customHeight="1">
      <x:c r="A239" s="2" t="str">
        <x:v>SC013</x:v>
      </x:c>
      <x:c r="B239" s="14" t="n">
        <x:v>35.26764734919061</x:v>
      </x:c>
      <x:c r="C239" s="2" t="str">
        <x:v>SC013-005</x:v>
      </x:c>
      <x:c r="D239" s="2" t="str">
        <x:v>S002</x:v>
      </x:c>
      <x:c r="E239" s="2" t="str">
        <x:v>C</x:v>
      </x:c>
      <x:c r="F239" s="13" t="str">
        <x:v>S002-MED-01; S002-WAT-03; S002-WAT-04; S002-FOD-02</x:v>
      </x:c>
      <x:c r="G239" s="20" t="n">
        <x:v>39</x:v>
      </x:c>
      <x:c r="H239" s="22" t="n">
        <x:v>0.094</x:v>
      </x:c>
      <x:c r="I239" s="20" t="n">
        <x:v>1231.8421660245544</x:v>
      </x:c>
      <x:c r="J239" s="24" t="n">
        <x:v>5.1710432316735</x:v>
      </x:c>
      <x:c r="K239" s="20" t="n">
        <x:v>1975.8421660245544</x:v>
      </x:c>
      <x:c r="L239" s="20" t="n">
        <x:f>(1-J239/VLOOKUP(E239,'口径说明'!$A$6:$E$8,4,FALSE))*100</x:f>
        <x:v>35.36195960408125</x:v>
      </x:c>
      <x:c r="M239" s="20" t="n">
        <x:f>VLOOKUP(E239,'口径说明'!$A$6:$E$8,2,FALSE)-G239</x:f>
        <x:v>41</x:v>
      </x:c>
      <x:c r="N239" s="22" t="n">
        <x:f>VLOOKUP(E239,'口径说明'!$A$6:$E$8,3,FALSE)-H239</x:f>
        <x:v>0.156</x:v>
      </x:c>
      <x:c r="O239" s="24" t="n">
        <x:f>VLOOKUP(E239,'口径说明'!$A$6:$E$8,4,FALSE)*(1-B239/100)-J239</x:f>
        <x:v>0.007544980391251066</x:v>
      </x:c>
      <x:c r="P239" s="26" t="str">
        <x:f>IF(AND(M239&gt;=-0.0000001,N239&gt;=-0.0000001,O239&gt;=-0.0000001),"满足","不满足")</x:f>
        <x:v>满足</x:v>
      </x:c>
    </x:row>
    <x:row r="240" ht="30" customHeight="1">
      <x:c r="A240" s="15" t="str">
        <x:v>SC013</x:v>
      </x:c>
      <x:c r="B240" s="17" t="n">
        <x:v>35.26764734919061</x:v>
      </x:c>
      <x:c r="C240" s="15" t="str">
        <x:v>SC013-006</x:v>
      </x:c>
      <x:c r="D240" s="15" t="str">
        <x:v>S003</x:v>
      </x:c>
      <x:c r="E240" s="15" t="str">
        <x:v>B</x:v>
      </x:c>
      <x:c r="F240" s="16" t="str">
        <x:v>S003-WAT-01</x:v>
      </x:c>
      <x:c r="G240" s="21" t="n">
        <x:v>14</x:v>
      </x:c>
      <x:c r="H240" s="23" t="n">
        <x:v>0.027</x:v>
      </x:c>
      <x:c r="I240" s="21" t="n">
        <x:v>1450.6096650380623</x:v>
      </x:c>
      <x:c r="J240" s="25" t="n">
        <x:v>2.424255402442675</x:v>
      </x:c>
      <x:c r="K240" s="21" t="n">
        <x:v>1960.6096650380623</x:v>
      </x:c>
      <x:c r="L240" s="21" t="n">
        <x:f>(1-J240/VLOOKUP(E240,'口径说明'!$A$6:$E$8,4,FALSE))*100</x:f>
        <x:v>39.39361493893313</x:v>
      </x:c>
      <x:c r="M240" s="21" t="n">
        <x:f>VLOOKUP(E240,'口径说明'!$A$6:$E$8,2,FALSE)-G240</x:f>
        <x:v>16</x:v>
      </x:c>
      <x:c r="N240" s="23" t="n">
        <x:f>VLOOKUP(E240,'口径说明'!$A$6:$E$8,3,FALSE)-H240</x:f>
        <x:v>0.046</x:v>
      </x:c>
      <x:c r="O240" s="25" t="n">
        <x:f>VLOOKUP(E240,'口径说明'!$A$6:$E$8,4,FALSE)*(1-B240/100)-J240</x:f>
        <x:v>0.16503870358970074</x:v>
      </x:c>
      <x:c r="P240" s="27" t="str">
        <x:f>IF(AND(M240&gt;=-0.0000001,N240&gt;=-0.0000001,O240&gt;=-0.0000001),"满足","不满足")</x:f>
        <x:v>满足</x:v>
      </x:c>
    </x:row>
    <x:row r="241" ht="30" customHeight="1">
      <x:c r="A241" s="2" t="str">
        <x:v>SC013</x:v>
      </x:c>
      <x:c r="B241" s="14" t="n">
        <x:v>35.26764734919061</x:v>
      </x:c>
      <x:c r="C241" s="2" t="str">
        <x:v>SC013-007</x:v>
      </x:c>
      <x:c r="D241" s="2" t="str">
        <x:v>S003</x:v>
      </x:c>
      <x:c r="E241" s="2" t="str">
        <x:v>C</x:v>
      </x:c>
      <x:c r="F241" s="13" t="str">
        <x:v>S003-WAT-02; S003-WAT-03; S003-HYG-01</x:v>
      </x:c>
      <x:c r="G241" s="20" t="n">
        <x:v>34</x:v>
      </x:c>
      <x:c r="H241" s="22" t="n">
        <x:v>0.089</x:v>
      </x:c>
      <x:c r="I241" s="20" t="n">
        <x:v>1560.1777110992603</x:v>
      </x:c>
      <x:c r="J241" s="24" t="n">
        <x:v>5.091659286637251</x:v>
      </x:c>
      <x:c r="K241" s="20" t="n">
        <x:v>2238.1777110992603</x:v>
      </x:c>
      <x:c r="L241" s="20" t="n">
        <x:f>(1-J241/VLOOKUP(E241,'口径说明'!$A$6:$E$8,4,FALSE))*100</x:f>
        <x:v>36.354258917034365</x:v>
      </x:c>
      <x:c r="M241" s="20" t="n">
        <x:f>VLOOKUP(E241,'口径说明'!$A$6:$E$8,2,FALSE)-G241</x:f>
        <x:v>46</x:v>
      </x:c>
      <x:c r="N241" s="22" t="n">
        <x:f>VLOOKUP(E241,'口径说明'!$A$6:$E$8,3,FALSE)-H241</x:f>
        <x:v>0.161</x:v>
      </x:c>
      <x:c r="O241" s="24" t="n">
        <x:f>VLOOKUP(E241,'口径说明'!$A$6:$E$8,4,FALSE)*(1-B241/100)-J241</x:f>
        <x:v>0.0869289254275003</x:v>
      </x:c>
      <x:c r="P241" s="26" t="str">
        <x:f>IF(AND(M241&gt;=-0.0000001,N241&gt;=-0.0000001,O241&gt;=-0.0000001),"满足","不满足")</x:f>
        <x:v>满足</x:v>
      </x:c>
    </x:row>
    <x:row r="242" ht="44" customHeight="1">
      <x:c r="A242" s="15" t="str">
        <x:v>SC013</x:v>
      </x:c>
      <x:c r="B242" s="17" t="n">
        <x:v>35.26764734919061</x:v>
      </x:c>
      <x:c r="C242" s="15" t="str">
        <x:v>SC013-008</x:v>
      </x:c>
      <x:c r="D242" s="15" t="str">
        <x:v>S003</x:v>
      </x:c>
      <x:c r="E242" s="15" t="str">
        <x:v>C</x:v>
      </x:c>
      <x:c r="F242" s="16" t="str">
        <x:v>S003-MED-01; S003-WAT-04; S003-FOD-01; S003-FOD-02</x:v>
      </x:c>
      <x:c r="G242" s="21" t="n">
        <x:v>33</x:v>
      </x:c>
      <x:c r="H242" s="23" t="n">
        <x:v>0.095</x:v>
      </x:c>
      <x:c r="I242" s="21" t="n">
        <x:v>1560.1777110992603</x:v>
      </x:c>
      <x:c r="J242" s="25" t="n">
        <x:v>5.069998750723503</x:v>
      </x:c>
      <x:c r="K242" s="21" t="n">
        <x:v>2304.1777110992603</x:v>
      </x:c>
      <x:c r="L242" s="21" t="n">
        <x:f>(1-J242/VLOOKUP(E242,'口径说明'!$A$6:$E$8,4,FALSE))*100</x:f>
        <x:v>36.625015615956215</x:v>
      </x:c>
      <x:c r="M242" s="21" t="n">
        <x:f>VLOOKUP(E242,'口径说明'!$A$6:$E$8,2,FALSE)-G242</x:f>
        <x:v>47</x:v>
      </x:c>
      <x:c r="N242" s="23" t="n">
        <x:f>VLOOKUP(E242,'口径说明'!$A$6:$E$8,3,FALSE)-H242</x:f>
        <x:v>0.155</x:v>
      </x:c>
      <x:c r="O242" s="25" t="n">
        <x:f>VLOOKUP(E242,'口径说明'!$A$6:$E$8,4,FALSE)*(1-B242/100)-J242</x:f>
        <x:v>0.10858946134124814</x:v>
      </x:c>
      <x:c r="P242" s="27" t="str">
        <x:f>IF(AND(M242&gt;=-0.0000001,N242&gt;=-0.0000001,O242&gt;=-0.0000001),"满足","不满足")</x:f>
        <x:v>满足</x:v>
      </x:c>
    </x:row>
    <x:row r="243" ht="30" customHeight="1">
      <x:c r="A243" s="2" t="str">
        <x:v>SC013</x:v>
      </x:c>
      <x:c r="B243" s="14" t="n">
        <x:v>35.26764734919061</x:v>
      </x:c>
      <x:c r="C243" s="2" t="str">
        <x:v>SC013-009</x:v>
      </x:c>
      <x:c r="D243" s="2" t="str">
        <x:v>S004</x:v>
      </x:c>
      <x:c r="E243" s="2" t="str">
        <x:v>B</x:v>
      </x:c>
      <x:c r="F243" s="13" t="str">
        <x:v>S004-WAT-01</x:v>
      </x:c>
      <x:c r="G243" s="20" t="n">
        <x:v>14</x:v>
      </x:c>
      <x:c r="H243" s="22" t="n">
        <x:v>0.027</x:v>
      </x:c>
      <x:c r="I243" s="20" t="n">
        <x:v>1351.641663352524</x:v>
      </x:c>
      <x:c r="J243" s="24" t="n">
        <x:v>2.501251581998628</x:v>
      </x:c>
      <x:c r="K243" s="20" t="n">
        <x:v>1861.641663352524</x:v>
      </x:c>
      <x:c r="L243" s="20" t="n">
        <x:f>(1-J243/VLOOKUP(E243,'口径说明'!$A$6:$E$8,4,FALSE))*100</x:f>
        <x:v>37.4687104500343</x:v>
      </x:c>
      <x:c r="M243" s="20" t="n">
        <x:f>VLOOKUP(E243,'口径说明'!$A$6:$E$8,2,FALSE)-G243</x:f>
        <x:v>16</x:v>
      </x:c>
      <x:c r="N243" s="22" t="n">
        <x:f>VLOOKUP(E243,'口径说明'!$A$6:$E$8,3,FALSE)-H243</x:f>
        <x:v>0.046</x:v>
      </x:c>
      <x:c r="O243" s="24" t="n">
        <x:f>VLOOKUP(E243,'口径说明'!$A$6:$E$8,4,FALSE)*(1-B243/100)-J243</x:f>
        <x:v>0.08804252403374768</x:v>
      </x:c>
      <x:c r="P243" s="26" t="str">
        <x:f>IF(AND(M243&gt;=-0.0000001,N243&gt;=-0.0000001,O243&gt;=-0.0000001),"满足","不满足")</x:f>
        <x:v>满足</x:v>
      </x:c>
    </x:row>
    <x:row r="244" ht="30" customHeight="1">
      <x:c r="A244" s="15" t="str">
        <x:v>SC013</x:v>
      </x:c>
      <x:c r="B244" s="17" t="n">
        <x:v>35.26764734919061</x:v>
      </x:c>
      <x:c r="C244" s="15" t="str">
        <x:v>SC013-010</x:v>
      </x:c>
      <x:c r="D244" s="15" t="str">
        <x:v>S004</x:v>
      </x:c>
      <x:c r="E244" s="15" t="str">
        <x:v>C</x:v>
      </x:c>
      <x:c r="F244" s="16" t="str">
        <x:v>S004-WAT-02; S004-FOD-01</x:v>
      </x:c>
      <x:c r="G244" s="21" t="n">
        <x:v>22</x:v>
      </x:c>
      <x:c r="H244" s="23" t="n">
        <x:v>0.055</x:v>
      </x:c>
      <x:c r="I244" s="21" t="n">
        <x:v>1425.0547187724458</x:v>
      </x:c>
      <x:c r="J244" s="25" t="n">
        <x:v>5.086349685943893</x:v>
      </x:c>
      <x:c r="K244" s="21" t="n">
        <x:v>2037.0547187724458</x:v>
      </x:c>
      <x:c r="L244" s="21" t="n">
        <x:f>(1-J244/VLOOKUP(E244,'口径说明'!$A$6:$E$8,4,FALSE))*100</x:f>
        <x:v>36.42062892570134</x:v>
      </x:c>
      <x:c r="M244" s="21" t="n">
        <x:f>VLOOKUP(E244,'口径说明'!$A$6:$E$8,2,FALSE)-G244</x:f>
        <x:v>58</x:v>
      </x:c>
      <x:c r="N244" s="23" t="n">
        <x:f>VLOOKUP(E244,'口径说明'!$A$6:$E$8,3,FALSE)-H244</x:f>
        <x:v>0.195</x:v>
      </x:c>
      <x:c r="O244" s="25" t="n">
        <x:f>VLOOKUP(E244,'口径说明'!$A$6:$E$8,4,FALSE)*(1-B244/100)-J244</x:f>
        <x:v>0.09223852612085803</x:v>
      </x:c>
      <x:c r="P244" s="27" t="str">
        <x:f>IF(AND(M244&gt;=-0.0000001,N244&gt;=-0.0000001,O244&gt;=-0.0000001),"满足","不满足")</x:f>
        <x:v>满足</x:v>
      </x:c>
    </x:row>
    <x:row r="245" ht="30" customHeight="1">
      <x:c r="A245" s="2" t="str">
        <x:v>SC013</x:v>
      </x:c>
      <x:c r="B245" s="14" t="n">
        <x:v>35.26764734919061</x:v>
      </x:c>
      <x:c r="C245" s="2" t="str">
        <x:v>SC013-011</x:v>
      </x:c>
      <x:c r="D245" s="2" t="str">
        <x:v>S004</x:v>
      </x:c>
      <x:c r="E245" s="2" t="str">
        <x:v>C</x:v>
      </x:c>
      <x:c r="F245" s="13" t="str">
        <x:v>S004-MED-01; S004-WAT-03; S004-HYG-01</x:v>
      </x:c>
      <x:c r="G245" s="20" t="n">
        <x:v>23</x:v>
      </x:c>
      <x:c r="H245" s="22" t="n">
        <x:v>0.074</x:v>
      </x:c>
      <x:c r="I245" s="20" t="n">
        <x:v>1425.0547187724458</x:v>
      </x:c>
      <x:c r="J245" s="24" t="n">
        <x:v>5.102400065580047</x:v>
      </x:c>
      <x:c r="K245" s="20" t="n">
        <x:v>2103.054718772446</x:v>
      </x:c>
      <x:c r="L245" s="20" t="n">
        <x:f>(1-J245/VLOOKUP(E245,'口径说明'!$A$6:$E$8,4,FALSE))*100</x:f>
        <x:v>36.21999918024941</x:v>
      </x:c>
      <x:c r="M245" s="20" t="n">
        <x:f>VLOOKUP(E245,'口径说明'!$A$6:$E$8,2,FALSE)-G245</x:f>
        <x:v>57</x:v>
      </x:c>
      <x:c r="N245" s="22" t="n">
        <x:f>VLOOKUP(E245,'口径说明'!$A$6:$E$8,3,FALSE)-H245</x:f>
        <x:v>0.176</x:v>
      </x:c>
      <x:c r="O245" s="24" t="n">
        <x:f>VLOOKUP(E245,'口径说明'!$A$6:$E$8,4,FALSE)*(1-B245/100)-J245</x:f>
        <x:v>0.07618814648470362</x:v>
      </x:c>
      <x:c r="P245" s="26" t="str">
        <x:f>IF(AND(M245&gt;=-0.0000001,N245&gt;=-0.0000001,O245&gt;=-0.0000001),"满足","不满足")</x:f>
        <x:v>满足</x:v>
      </x:c>
    </x:row>
    <x:row r="246" ht="44" customHeight="1">
      <x:c r="A246" s="15" t="str">
        <x:v>SC013</x:v>
      </x:c>
      <x:c r="B246" s="17" t="n">
        <x:v>35.26764734919061</x:v>
      </x:c>
      <x:c r="C246" s="15" t="str">
        <x:v>SC013-012</x:v>
      </x:c>
      <x:c r="D246" s="15" t="str">
        <x:v>S005</x:v>
      </x:c>
      <x:c r="E246" s="15" t="str">
        <x:v>C</x:v>
      </x:c>
      <x:c r="F246" s="16" t="str">
        <x:v>S005-MED-01; S005-WAT-01; S005-WAT-02; S005-WAT-03; S005-FOD-01; S005-HYG-01</x:v>
      </x:c>
      <x:c r="G246" s="21" t="n">
        <x:v>59</x:v>
      </x:c>
      <x:c r="H246" s="23" t="n">
        <x:v>0.156</x:v>
      </x:c>
      <x:c r="I246" s="21" t="n">
        <x:v>1001.1887154914712</x:v>
      </x:c>
      <x:c r="J246" s="25" t="n">
        <x:v>4.222137373445114</x:v>
      </x:c>
      <x:c r="K246" s="21" t="n">
        <x:v>1877.1887154914712</x:v>
      </x:c>
      <x:c r="L246" s="21" t="n">
        <x:f>(1-J246/VLOOKUP(E246,'口径说明'!$A$6:$E$8,4,FALSE))*100</x:f>
        <x:v>47.223282831936075</x:v>
      </x:c>
      <x:c r="M246" s="21" t="n">
        <x:f>VLOOKUP(E246,'口径说明'!$A$6:$E$8,2,FALSE)-G246</x:f>
        <x:v>21</x:v>
      </x:c>
      <x:c r="N246" s="23" t="n">
        <x:f>VLOOKUP(E246,'口径说明'!$A$6:$E$8,3,FALSE)-H246</x:f>
        <x:v>0.094</x:v>
      </x:c>
      <x:c r="O246" s="25" t="n">
        <x:f>VLOOKUP(E246,'口径说明'!$A$6:$E$8,4,FALSE)*(1-B246/100)-J246</x:f>
        <x:v>0.9564508386196371</x:v>
      </x:c>
      <x:c r="P246" s="27" t="str">
        <x:f>IF(AND(M246&gt;=-0.0000001,N246&gt;=-0.0000001,O246&gt;=-0.0000001),"满足","不满足")</x:f>
        <x:v>满足</x:v>
      </x:c>
    </x:row>
    <x:row r="247" ht="44" customHeight="1">
      <x:c r="A247" s="2" t="str">
        <x:v>SC013</x:v>
      </x:c>
      <x:c r="B247" s="14" t="n">
        <x:v>35.26764734919061</x:v>
      </x:c>
      <x:c r="C247" s="2" t="str">
        <x:v>SC013-013</x:v>
      </x:c>
      <x:c r="D247" s="2" t="str">
        <x:v>S006</x:v>
      </x:c>
      <x:c r="E247" s="2" t="str">
        <x:v>C</x:v>
      </x:c>
      <x:c r="F247" s="13" t="str">
        <x:v>S006-MED-01; S006-WAT-01; S006-WAT-02; S006-WAT-03; S006-FOD-01; S006-HYG-01</x:v>
      </x:c>
      <x:c r="G247" s="20" t="n">
        <x:v>59</x:v>
      </x:c>
      <x:c r="H247" s="22" t="n">
        <x:v>0.156</x:v>
      </x:c>
      <x:c r="I247" s="20" t="n">
        <x:v>685.5526244866224</x:v>
      </x:c>
      <x:c r="J247" s="24" t="n">
        <x:v>2.5979362904386822</x:v>
      </x:c>
      <x:c r="K247" s="20" t="n">
        <x:v>1561.5526244866223</x:v>
      </x:c>
      <x:c r="L247" s="20" t="n">
        <x:f>(1-J247/VLOOKUP(E247,'口径说明'!$A$6:$E$8,4,FALSE))*100</x:f>
        <x:v>67.52579636951648</x:v>
      </x:c>
      <x:c r="M247" s="20" t="n">
        <x:f>VLOOKUP(E247,'口径说明'!$A$6:$E$8,2,FALSE)-G247</x:f>
        <x:v>21</x:v>
      </x:c>
      <x:c r="N247" s="22" t="n">
        <x:f>VLOOKUP(E247,'口径说明'!$A$6:$E$8,3,FALSE)-H247</x:f>
        <x:v>0.094</x:v>
      </x:c>
      <x:c r="O247" s="24" t="n">
        <x:f>VLOOKUP(E247,'口径说明'!$A$6:$E$8,4,FALSE)*(1-B247/100)-J247</x:f>
        <x:v>2.580651921626069</x:v>
      </x:c>
      <x:c r="P247" s="26" t="str">
        <x:f>IF(AND(M247&gt;=-0.0000001,N247&gt;=-0.0000001,O247&gt;=-0.0000001),"满足","不满足")</x:f>
        <x:v>满足</x:v>
      </x:c>
    </x:row>
    <x:row r="248" ht="44" customHeight="1">
      <x:c r="A248" s="15" t="str">
        <x:v>SC013</x:v>
      </x:c>
      <x:c r="B248" s="17" t="n">
        <x:v>35.26764734919061</x:v>
      </x:c>
      <x:c r="C248" s="15" t="str">
        <x:v>SC013-014</x:v>
      </x:c>
      <x:c r="D248" s="15" t="str">
        <x:v>S007</x:v>
      </x:c>
      <x:c r="E248" s="15" t="str">
        <x:v>C</x:v>
      </x:c>
      <x:c r="F248" s="16" t="str">
        <x:v>S007-MED-01; S007-WAT-01; S007-WAT-02; S007-FOD-01; S007-HYG-01</x:v>
      </x:c>
      <x:c r="G248" s="21" t="n">
        <x:v>45</x:v>
      </x:c>
      <x:c r="H248" s="23" t="n">
        <x:v>0.129</x:v>
      </x:c>
      <x:c r="I248" s="21" t="n">
        <x:v>1097.600698410691</x:v>
      </x:c>
      <x:c r="J248" s="25" t="n">
        <x:v>3.4110038084433194</x:v>
      </x:c>
      <x:c r="K248" s="21" t="n">
        <x:v>1907.600698410691</x:v>
      </x:c>
      <x:c r="L248" s="21" t="n">
        <x:f>(1-J248/VLOOKUP(E248,'口径说明'!$A$6:$E$8,4,FALSE))*100</x:f>
        <x:v>57.36245239445851</x:v>
      </x:c>
      <x:c r="M248" s="21" t="n">
        <x:f>VLOOKUP(E248,'口径说明'!$A$6:$E$8,2,FALSE)-G248</x:f>
        <x:v>35</x:v>
      </x:c>
      <x:c r="N248" s="23" t="n">
        <x:f>VLOOKUP(E248,'口径说明'!$A$6:$E$8,3,FALSE)-H248</x:f>
        <x:v>0.121</x:v>
      </x:c>
      <x:c r="O248" s="25" t="n">
        <x:f>VLOOKUP(E248,'口径说明'!$A$6:$E$8,4,FALSE)*(1-B248/100)-J248</x:f>
        <x:v>1.7675844036214317</x:v>
      </x:c>
      <x:c r="P248" s="27" t="str">
        <x:f>IF(AND(M248&gt;=-0.0000001,N248&gt;=-0.0000001,O248&gt;=-0.0000001),"满足","不满足")</x:f>
        <x:v>满足</x:v>
      </x:c>
    </x:row>
    <x:row r="249" ht="30" customHeight="1">
      <x:c r="A249" s="2" t="str">
        <x:v>SC013</x:v>
      </x:c>
      <x:c r="B249" s="14" t="n">
        <x:v>35.26764734919061</x:v>
      </x:c>
      <x:c r="C249" s="2" t="str">
        <x:v>SC013-015</x:v>
      </x:c>
      <x:c r="D249" s="2" t="str">
        <x:v>S008</x:v>
      </x:c>
      <x:c r="E249" s="2" t="str">
        <x:v>B</x:v>
      </x:c>
      <x:c r="F249" s="13" t="str">
        <x:v>S008-FOD-01</x:v>
      </x:c>
      <x:c r="G249" s="20" t="n">
        <x:v>8</x:v>
      </x:c>
      <x:c r="H249" s="22" t="n">
        <x:v>0.028</x:v>
      </x:c>
      <x:c r="I249" s="20" t="n">
        <x:v>1331.841747175703</x:v>
      </x:c>
      <x:c r="J249" s="24" t="n">
        <x:v>2.4735150647595305</x:v>
      </x:c>
      <x:c r="K249" s="20" t="n">
        <x:v>1841.841747175703</x:v>
      </x:c>
      <x:c r="L249" s="20" t="n">
        <x:f>(1-J249/VLOOKUP(E249,'口径说明'!$A$6:$E$8,4,FALSE))*100</x:f>
        <x:v>38.16212338101174</x:v>
      </x:c>
      <x:c r="M249" s="20" t="n">
        <x:f>VLOOKUP(E249,'口径说明'!$A$6:$E$8,2,FALSE)-G249</x:f>
        <x:v>22</x:v>
      </x:c>
      <x:c r="N249" s="22" t="n">
        <x:f>VLOOKUP(E249,'口径说明'!$A$6:$E$8,3,FALSE)-H249</x:f>
        <x:v>0.045</x:v>
      </x:c>
      <x:c r="O249" s="24" t="n">
        <x:f>VLOOKUP(E249,'口径说明'!$A$6:$E$8,4,FALSE)*(1-B249/100)-J249</x:f>
        <x:v>0.115779041272845</x:v>
      </x:c>
      <x:c r="P249" s="26" t="str">
        <x:f>IF(AND(M249&gt;=-0.0000001,N249&gt;=-0.0000001,O249&gt;=-0.0000001),"满足","不满足")</x:f>
        <x:v>满足</x:v>
      </x:c>
    </x:row>
    <x:row r="250" ht="30" customHeight="1">
      <x:c r="A250" s="15" t="str">
        <x:v>SC013</x:v>
      </x:c>
      <x:c r="B250" s="17" t="n">
        <x:v>35.26764734919061</x:v>
      </x:c>
      <x:c r="C250" s="15" t="str">
        <x:v>SC013-016</x:v>
      </x:c>
      <x:c r="D250" s="15" t="str">
        <x:v>S008</x:v>
      </x:c>
      <x:c r="E250" s="15" t="str">
        <x:v>B</x:v>
      </x:c>
      <x:c r="F250" s="16" t="str">
        <x:v>S008-MED-01; S008-HYG-01</x:v>
      </x:c>
      <x:c r="G250" s="21" t="n">
        <x:v>9</x:v>
      </x:c>
      <x:c r="H250" s="23" t="n">
        <x:v>0.047</x:v>
      </x:c>
      <x:c r="I250" s="21" t="n">
        <x:v>1331.841747175703</x:v>
      </x:c>
      <x:c r="J250" s="25" t="n">
        <x:v>2.4894907348649458</x:v>
      </x:c>
      <x:c r="K250" s="21" t="n">
        <x:v>1901.841747175703</x:v>
      </x:c>
      <x:c r="L250" s="21" t="n">
        <x:f>(1-J250/VLOOKUP(E250,'口径说明'!$A$6:$E$8,4,FALSE))*100</x:f>
        <x:v>37.76273162837636</x:v>
      </x:c>
      <x:c r="M250" s="21" t="n">
        <x:f>VLOOKUP(E250,'口径说明'!$A$6:$E$8,2,FALSE)-G250</x:f>
        <x:v>21</x:v>
      </x:c>
      <x:c r="N250" s="23" t="n">
        <x:f>VLOOKUP(E250,'口径说明'!$A$6:$E$8,3,FALSE)-H250</x:f>
        <x:v>0.025999999999999995</x:v>
      </x:c>
      <x:c r="O250" s="25" t="n">
        <x:f>VLOOKUP(E250,'口径说明'!$A$6:$E$8,4,FALSE)*(1-B250/100)-J250</x:f>
        <x:v>0.09980337116742977</x:v>
      </x:c>
      <x:c r="P250" s="27" t="str">
        <x:f>IF(AND(M250&gt;=-0.0000001,N250&gt;=-0.0000001,O250&gt;=-0.0000001),"满足","不满足")</x:f>
        <x:v>满足</x:v>
      </x:c>
    </x:row>
    <x:row r="251" ht="30" customHeight="1">
      <x:c r="A251" s="2" t="str">
        <x:v>SC013</x:v>
      </x:c>
      <x:c r="B251" s="14" t="n">
        <x:v>35.26764734919061</x:v>
      </x:c>
      <x:c r="C251" s="2" t="str">
        <x:v>SC013-017</x:v>
      </x:c>
      <x:c r="D251" s="2" t="str">
        <x:v>S008</x:v>
      </x:c>
      <x:c r="E251" s="2" t="str">
        <x:v>C</x:v>
      </x:c>
      <x:c r="F251" s="13" t="str">
        <x:v>S008-WAT-01</x:v>
      </x:c>
      <x:c r="G251" s="20" t="n">
        <x:v>14</x:v>
      </x:c>
      <x:c r="H251" s="22" t="n">
        <x:v>0.027</x:v>
      </x:c>
      <x:c r="I251" s="20" t="n">
        <x:v>1389.7115246008332</x:v>
      </x:c>
      <x:c r="J251" s="24" t="n">
        <x:v>5.178588212064751</x:v>
      </x:c>
      <x:c r="K251" s="20" t="n">
        <x:v>1935.7115246008332</x:v>
      </x:c>
      <x:c r="L251" s="20" t="n">
        <x:f>(1-J251/VLOOKUP(E251,'口径说明'!$A$6:$E$8,4,FALSE))*100</x:f>
        <x:v>35.26764734919061</x:v>
      </x:c>
      <x:c r="M251" s="20" t="n">
        <x:f>VLOOKUP(E251,'口径说明'!$A$6:$E$8,2,FALSE)-G251</x:f>
        <x:v>66</x:v>
      </x:c>
      <x:c r="N251" s="22" t="n">
        <x:f>VLOOKUP(E251,'口径说明'!$A$6:$E$8,3,FALSE)-H251</x:f>
        <x:v>0.223</x:v>
      </x:c>
      <x:c r="O251" s="24" t="n">
        <x:f>VLOOKUP(E251,'口径说明'!$A$6:$E$8,4,FALSE)*(1-B251/100)-J251</x:f>
        <x:v>0</x:v>
      </x:c>
      <x:c r="P251" s="26" t="str">
        <x:f>IF(AND(M251&gt;=-0.0000001,N251&gt;=-0.0000001,O251&gt;=-0.0000001),"满足","不满足")</x:f>
        <x:v>满足</x:v>
      </x:c>
    </x:row>
    <x:row r="252" ht="30" customHeight="1">
      <x:c r="A252" s="15" t="str">
        <x:v>SC013</x:v>
      </x:c>
      <x:c r="B252" s="17" t="n">
        <x:v>35.26764734919061</x:v>
      </x:c>
      <x:c r="C252" s="15" t="str">
        <x:v>SC013-018</x:v>
      </x:c>
      <x:c r="D252" s="15" t="str">
        <x:v>S008</x:v>
      </x:c>
      <x:c r="E252" s="15" t="str">
        <x:v>C</x:v>
      </x:c>
      <x:c r="F252" s="16" t="str">
        <x:v>S008-WAT-02</x:v>
      </x:c>
      <x:c r="G252" s="21" t="n">
        <x:v>14</x:v>
      </x:c>
      <x:c r="H252" s="23" t="n">
        <x:v>0.027</x:v>
      </x:c>
      <x:c r="I252" s="21" t="n">
        <x:v>1389.7115246008332</x:v>
      </x:c>
      <x:c r="J252" s="25" t="n">
        <x:v>5.178588212064751</x:v>
      </x:c>
      <x:c r="K252" s="21" t="n">
        <x:v>1935.7115246008332</x:v>
      </x:c>
      <x:c r="L252" s="21" t="n">
        <x:f>(1-J252/VLOOKUP(E252,'口径说明'!$A$6:$E$8,4,FALSE))*100</x:f>
        <x:v>35.26764734919061</x:v>
      </x:c>
      <x:c r="M252" s="21" t="n">
        <x:f>VLOOKUP(E252,'口径说明'!$A$6:$E$8,2,FALSE)-G252</x:f>
        <x:v>66</x:v>
      </x:c>
      <x:c r="N252" s="23" t="n">
        <x:f>VLOOKUP(E252,'口径说明'!$A$6:$E$8,3,FALSE)-H252</x:f>
        <x:v>0.223</x:v>
      </x:c>
      <x:c r="O252" s="25" t="n">
        <x:f>VLOOKUP(E252,'口径说明'!$A$6:$E$8,4,FALSE)*(1-B252/100)-J252</x:f>
        <x:v>0</x:v>
      </x:c>
      <x:c r="P252" s="27" t="str">
        <x:f>IF(AND(M252&gt;=-0.0000001,N252&gt;=-0.0000001,O252&gt;=-0.0000001),"满足","不满足")</x:f>
        <x:v>满足</x:v>
      </x:c>
    </x:row>
    <x:row r="253" ht="30" customHeight="1">
      <x:c r="A253" s="2" t="str">
        <x:v>SC013</x:v>
      </x:c>
      <x:c r="B253" s="14" t="n">
        <x:v>35.26764734919061</x:v>
      </x:c>
      <x:c r="C253" s="2" t="str">
        <x:v>SC013-019</x:v>
      </x:c>
      <x:c r="D253" s="2" t="str">
        <x:v>S009</x:v>
      </x:c>
      <x:c r="E253" s="2" t="str">
        <x:v>B</x:v>
      </x:c>
      <x:c r="F253" s="13" t="str">
        <x:v>S009-MED-01; S009-WAT-01; S009-FOD-01</x:v>
      </x:c>
      <x:c r="G253" s="20" t="n">
        <x:v>25</x:v>
      </x:c>
      <x:c r="H253" s="22" t="n">
        <x:v>0.067</x:v>
      </x:c>
      <x:c r="I253" s="20" t="n">
        <x:v>928.4628643343575</x:v>
      </x:c>
      <x:c r="J253" s="24" t="n">
        <x:v>2.0962654017373348</x:v>
      </x:c>
      <x:c r="K253" s="20" t="n">
        <x:v>1558.4628643343576</x:v>
      </x:c>
      <x:c r="L253" s="20" t="n">
        <x:f>(1-J253/VLOOKUP(E253,'口径说明'!$A$6:$E$8,4,FALSE))*100</x:f>
        <x:v>47.59336495656663</x:v>
      </x:c>
      <x:c r="M253" s="20" t="n">
        <x:f>VLOOKUP(E253,'口径说明'!$A$6:$E$8,2,FALSE)-G253</x:f>
        <x:v>5</x:v>
      </x:c>
      <x:c r="N253" s="22" t="n">
        <x:f>VLOOKUP(E253,'口径说明'!$A$6:$E$8,3,FALSE)-H253</x:f>
        <x:v>0.0059999999999999915</x:v>
      </x:c>
      <x:c r="O253" s="24" t="n">
        <x:f>VLOOKUP(E253,'口径说明'!$A$6:$E$8,4,FALSE)*(1-B253/100)-J253</x:f>
        <x:v>0.49302870429504075</x:v>
      </x:c>
      <x:c r="P253" s="26" t="str">
        <x:f>IF(AND(M253&gt;=-0.0000001,N253&gt;=-0.0000001,O253&gt;=-0.0000001),"满足","不满足")</x:f>
        <x:v>满足</x:v>
      </x:c>
    </x:row>
    <x:row r="254" ht="30" customHeight="1">
      <x:c r="A254" s="15" t="str">
        <x:v>SC013</x:v>
      </x:c>
      <x:c r="B254" s="17" t="n">
        <x:v>35.26764734919061</x:v>
      </x:c>
      <x:c r="C254" s="15" t="str">
        <x:v>SC013-020</x:v>
      </x:c>
      <x:c r="D254" s="15" t="str">
        <x:v>S010</x:v>
      </x:c>
      <x:c r="E254" s="15" t="str">
        <x:v>B</x:v>
      </x:c>
      <x:c r="F254" s="16" t="str">
        <x:v>S010-MED-01; S010-WAT-01; S010-FOD-01</x:v>
      </x:c>
      <x:c r="G254" s="21" t="n">
        <x:v>25</x:v>
      </x:c>
      <x:c r="H254" s="23" t="n">
        <x:v>0.067</x:v>
      </x:c>
      <x:c r="I254" s="21" t="n">
        <x:v>925.4035197802174</x:v>
      </x:c>
      <x:c r="J254" s="25" t="n">
        <x:v>1.8232165642314142</x:v>
      </x:c>
      <x:c r="K254" s="21" t="n">
        <x:v>1555.4035197802173</x:v>
      </x:c>
      <x:c r="L254" s="21" t="n">
        <x:f>(1-J254/VLOOKUP(E254,'口径说明'!$A$6:$E$8,4,FALSE))*100</x:f>
        <x:v>54.41958589421465</x:v>
      </x:c>
      <x:c r="M254" s="21" t="n">
        <x:f>VLOOKUP(E254,'口径说明'!$A$6:$E$8,2,FALSE)-G254</x:f>
        <x:v>5</x:v>
      </x:c>
      <x:c r="N254" s="23" t="n">
        <x:f>VLOOKUP(E254,'口径说明'!$A$6:$E$8,3,FALSE)-H254</x:f>
        <x:v>0.0059999999999999915</x:v>
      </x:c>
      <x:c r="O254" s="25" t="n">
        <x:f>VLOOKUP(E254,'口径说明'!$A$6:$E$8,4,FALSE)*(1-B254/100)-J254</x:f>
        <x:v>0.7660775418009613</x:v>
      </x:c>
      <x:c r="P254" s="27" t="str">
        <x:f>IF(AND(M254&gt;=-0.0000001,N254&gt;=-0.0000001,O254&gt;=-0.0000001),"满足","不满足")</x:f>
        <x:v>满足</x:v>
      </x:c>
    </x:row>
    <x:row r="255" ht="30" customHeight="1">
      <x:c r="A255" s="2" t="str">
        <x:v>SC013</x:v>
      </x:c>
      <x:c r="B255" s="14" t="n">
        <x:v>35.26764734919061</x:v>
      </x:c>
      <x:c r="C255" s="2" t="str">
        <x:v>SC013-021</x:v>
      </x:c>
      <x:c r="D255" s="2" t="str">
        <x:v>S011</x:v>
      </x:c>
      <x:c r="E255" s="2" t="str">
        <x:v>B</x:v>
      </x:c>
      <x:c r="F255" s="13" t="str">
        <x:v>S011-MED-01; S011-WAT-01; S011-FOD-01</x:v>
      </x:c>
      <x:c r="G255" s="20" t="n">
        <x:v>25</x:v>
      </x:c>
      <x:c r="H255" s="22" t="n">
        <x:v>0.067</x:v>
      </x:c>
      <x:c r="I255" s="20" t="n">
        <x:v>558.4247628605204</x:v>
      </x:c>
      <x:c r="J255" s="24" t="n">
        <x:v>1.0739366863951034</x:v>
      </x:c>
      <x:c r="K255" s="20" t="n">
        <x:v>1188.4247628605203</x:v>
      </x:c>
      <x:c r="L255" s="20" t="n">
        <x:f>(1-J255/VLOOKUP(E255,'口径说明'!$A$6:$E$8,4,FALSE))*100</x:f>
        <x:v>73.15158284012242</x:v>
      </x:c>
      <x:c r="M255" s="20" t="n">
        <x:f>VLOOKUP(E255,'口径说明'!$A$6:$E$8,2,FALSE)-G255</x:f>
        <x:v>5</x:v>
      </x:c>
      <x:c r="N255" s="22" t="n">
        <x:f>VLOOKUP(E255,'口径说明'!$A$6:$E$8,3,FALSE)-H255</x:f>
        <x:v>0.0059999999999999915</x:v>
      </x:c>
      <x:c r="O255" s="24" t="n">
        <x:f>VLOOKUP(E255,'口径说明'!$A$6:$E$8,4,FALSE)*(1-B255/100)-J255</x:f>
        <x:v>1.515357419637272</x:v>
      </x:c>
      <x:c r="P255" s="26" t="str">
        <x:f>IF(AND(M255&gt;=-0.0000001,N255&gt;=-0.0000001,O255&gt;=-0.0000001),"满足","不满足")</x:f>
        <x:v>满足</x:v>
      </x:c>
    </x:row>
    <x:row r="256" ht="30" customHeight="1">
      <x:c r="A256" s="15" t="str">
        <x:v>SC013</x:v>
      </x:c>
      <x:c r="B256" s="17" t="n">
        <x:v>35.26764734919061</x:v>
      </x:c>
      <x:c r="C256" s="15" t="str">
        <x:v>SC013-022</x:v>
      </x:c>
      <x:c r="D256" s="15" t="str">
        <x:v>S012</x:v>
      </x:c>
      <x:c r="E256" s="15" t="str">
        <x:v>C</x:v>
      </x:c>
      <x:c r="F256" s="16" t="str">
        <x:v>S012-MED-01; S012-WAT-01; S012-FOD-01</x:v>
      </x:c>
      <x:c r="G256" s="21" t="n">
        <x:v>25</x:v>
      </x:c>
      <x:c r="H256" s="23" t="n">
        <x:v>0.067</x:v>
      </x:c>
      <x:c r="I256" s="21" t="n">
        <x:v>1362.6771457735358</x:v>
      </x:c>
      <x:c r="J256" s="25" t="n">
        <x:v>4.922379480058796</x:v>
      </x:c>
      <x:c r="K256" s="21" t="n">
        <x:v>2040.6771457735358</x:v>
      </x:c>
      <x:c r="L256" s="21" t="n">
        <x:f>(1-J256/VLOOKUP(E256,'口径说明'!$A$6:$E$8,4,FALSE))*100</x:f>
        <x:v>38.470256499265055</x:v>
      </x:c>
      <x:c r="M256" s="21" t="n">
        <x:f>VLOOKUP(E256,'口径说明'!$A$6:$E$8,2,FALSE)-G256</x:f>
        <x:v>55</x:v>
      </x:c>
      <x:c r="N256" s="23" t="n">
        <x:f>VLOOKUP(E256,'口径说明'!$A$6:$E$8,3,FALSE)-H256</x:f>
        <x:v>0.183</x:v>
      </x:c>
      <x:c r="O256" s="25" t="n">
        <x:f>VLOOKUP(E256,'口径说明'!$A$6:$E$8,4,FALSE)*(1-B256/100)-J256</x:f>
        <x:v>0.2562087320059554</x:v>
      </x:c>
      <x:c r="P256" s="27" t="str">
        <x:f>IF(AND(M256&gt;=-0.0000001,N256&gt;=-0.0000001,O256&gt;=-0.0000001),"满足","不满足")</x:f>
        <x:v>满足</x:v>
      </x:c>
    </x:row>
    <x:row r="257" ht="30" customHeight="1">
      <x:c r="A257" s="2" t="str">
        <x:v>SC013</x:v>
      </x:c>
      <x:c r="B257" s="14" t="n">
        <x:v>35.26764734919061</x:v>
      </x:c>
      <x:c r="C257" s="2" t="str">
        <x:v>SC013-023</x:v>
      </x:c>
      <x:c r="D257" s="2" t="str">
        <x:v>S013</x:v>
      </x:c>
      <x:c r="E257" s="2" t="str">
        <x:v>B</x:v>
      </x:c>
      <x:c r="F257" s="13" t="str">
        <x:v>S013-MED-01; S013-WAT-01; S013-FOD-01</x:v>
      </x:c>
      <x:c r="G257" s="20" t="n">
        <x:v>25</x:v>
      </x:c>
      <x:c r="H257" s="22" t="n">
        <x:v>0.067</x:v>
      </x:c>
      <x:c r="I257" s="20" t="n">
        <x:v>880.511588744525</x:v>
      </x:c>
      <x:c r="J257" s="24" t="n">
        <x:v>1.8248281910807471</x:v>
      </x:c>
      <x:c r="K257" s="20" t="n">
        <x:v>1510.511588744525</x:v>
      </x:c>
      <x:c r="L257" s="20" t="n">
        <x:f>(1-J257/VLOOKUP(E257,'口径说明'!$A$6:$E$8,4,FALSE))*100</x:f>
        <x:v>54.37929522298133</x:v>
      </x:c>
      <x:c r="M257" s="20" t="n">
        <x:f>VLOOKUP(E257,'口径说明'!$A$6:$E$8,2,FALSE)-G257</x:f>
        <x:v>5</x:v>
      </x:c>
      <x:c r="N257" s="22" t="n">
        <x:f>VLOOKUP(E257,'口径说明'!$A$6:$E$8,3,FALSE)-H257</x:f>
        <x:v>0.0059999999999999915</x:v>
      </x:c>
      <x:c r="O257" s="24" t="n">
        <x:f>VLOOKUP(E257,'口径说明'!$A$6:$E$8,4,FALSE)*(1-B257/100)-J257</x:f>
        <x:v>0.7644659149516284</x:v>
      </x:c>
      <x:c r="P257" s="26" t="str">
        <x:f>IF(AND(M257&gt;=-0.0000001,N257&gt;=-0.0000001,O257&gt;=-0.0000001),"满足","不满足")</x:f>
        <x:v>满足</x:v>
      </x:c>
    </x:row>
    <x:row r="258" ht="30" customHeight="1">
      <x:c r="A258" s="15" t="str">
        <x:v>SC013</x:v>
      </x:c>
      <x:c r="B258" s="17" t="n">
        <x:v>35.26764734919061</x:v>
      </x:c>
      <x:c r="C258" s="15" t="str">
        <x:v>SC013-024</x:v>
      </x:c>
      <x:c r="D258" s="15" t="str">
        <x:v>S014</x:v>
      </x:c>
      <x:c r="E258" s="15" t="str">
        <x:v>B</x:v>
      </x:c>
      <x:c r="F258" s="16" t="str">
        <x:v>S014-MED-01; S014-WAT-01; S014-FOD-01</x:v>
      </x:c>
      <x:c r="G258" s="21" t="n">
        <x:v>25</x:v>
      </x:c>
      <x:c r="H258" s="23" t="n">
        <x:v>0.067</x:v>
      </x:c>
      <x:c r="I258" s="21" t="n">
        <x:v>1239.7476752786913</x:v>
      </x:c>
      <x:c r="J258" s="25" t="n">
        <x:v>2.1402909781417883</x:v>
      </x:c>
      <x:c r="K258" s="21" t="n">
        <x:v>1869.7476752786913</x:v>
      </x:c>
      <x:c r="L258" s="21" t="n">
        <x:f>(1-J258/VLOOKUP(E258,'口径说明'!$A$6:$E$8,4,FALSE))*100</x:f>
        <x:v>46.49272554645529</x:v>
      </x:c>
      <x:c r="M258" s="21" t="n">
        <x:f>VLOOKUP(E258,'口径说明'!$A$6:$E$8,2,FALSE)-G258</x:f>
        <x:v>5</x:v>
      </x:c>
      <x:c r="N258" s="23" t="n">
        <x:f>VLOOKUP(E258,'口径说明'!$A$6:$E$8,3,FALSE)-H258</x:f>
        <x:v>0.0059999999999999915</x:v>
      </x:c>
      <x:c r="O258" s="25" t="n">
        <x:f>VLOOKUP(E258,'口径说明'!$A$6:$E$8,4,FALSE)*(1-B258/100)-J258</x:f>
        <x:v>0.4490031278905873</x:v>
      </x:c>
      <x:c r="P258" s="27" t="str">
        <x:f>IF(AND(M258&gt;=-0.0000001,N258&gt;=-0.0000001,O258&gt;=-0.0000001),"满足","不满足")</x:f>
        <x:v>满足</x:v>
      </x:c>
    </x:row>
    <x:row r="259" ht="30" customHeight="1">
      <x:c r="A259" s="2" t="str">
        <x:v>SC013</x:v>
      </x:c>
      <x:c r="B259" s="14" t="n">
        <x:v>35.26764734919061</x:v>
      </x:c>
      <x:c r="C259" s="2" t="str">
        <x:v>SC013-025</x:v>
      </x:c>
      <x:c r="D259" s="2" t="str">
        <x:v>S015</x:v>
      </x:c>
      <x:c r="E259" s="2" t="str">
        <x:v>B</x:v>
      </x:c>
      <x:c r="F259" s="13" t="str">
        <x:v>S015-MED-01; S015-WAT-01; S015-FOD-01</x:v>
      </x:c>
      <x:c r="G259" s="20" t="n">
        <x:v>25</x:v>
      </x:c>
      <x:c r="H259" s="22" t="n">
        <x:v>0.067</x:v>
      </x:c>
      <x:c r="I259" s="20" t="n">
        <x:v>1198.3275601736595</x:v>
      </x:c>
      <x:c r="J259" s="24" t="n">
        <x:v>2.307528505752516</x:v>
      </x:c>
      <x:c r="K259" s="20" t="n">
        <x:v>1828.3275601736595</x:v>
      </x:c>
      <x:c r="L259" s="20" t="n">
        <x:f>(1-J259/VLOOKUP(E259,'口径说明'!$A$6:$E$8,4,FALSE))*100</x:f>
        <x:v>42.311787356187104</x:v>
      </x:c>
      <x:c r="M259" s="20" t="n">
        <x:f>VLOOKUP(E259,'口径说明'!$A$6:$E$8,2,FALSE)-G259</x:f>
        <x:v>5</x:v>
      </x:c>
      <x:c r="N259" s="22" t="n">
        <x:f>VLOOKUP(E259,'口径说明'!$A$6:$E$8,3,FALSE)-H259</x:f>
        <x:v>0.0059999999999999915</x:v>
      </x:c>
      <x:c r="O259" s="24" t="n">
        <x:f>VLOOKUP(E259,'口径说明'!$A$6:$E$8,4,FALSE)*(1-B259/100)-J259</x:f>
        <x:v>0.28176560027985964</x:v>
      </x:c>
      <x:c r="P259" s="26" t="str">
        <x:f>IF(AND(M259&gt;=-0.0000001,N259&gt;=-0.0000001,O259&gt;=-0.0000001),"满足","不满足")</x:f>
        <x:v>满足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9.3799991607666" hidden="0" customWidth="1"/>
    <x:col min="3" max="3" width="19.3799991607666" hidden="0" customWidth="1"/>
    <x:col min="4" max="4" width="21.25" hidden="0" customWidth="1"/>
    <x:col min="5" max="5" width="21.8799991607666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7.5" hidden="0" customWidth="1"/>
    <x:col min="12" max="12" width="17.5" hidden="0" customWidth="1"/>
    <x:col min="13" max="13" width="17.5" hidden="0" customWidth="1"/>
    <x:col min="14" max="14" width="17.5" hidden="0" customWidth="1"/>
  </x:cols>
  <x:sheetData>
    <x:row r="1" ht="32" customHeight="1">
      <x:c r="A1" s="3" t="str">
        <x:v>第一问安全余量敏感性：口径与参数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8" t="str">
        <x:v>机型</x:v>
      </x:c>
      <x:c r="B5" s="9" t="str">
        <x:v>载荷上限（kg）</x:v>
      </x:c>
      <x:c r="C5" s="9" t="str">
        <x:v>体积上限（m³）</x:v>
      </x:c>
      <x:c r="D5" s="9" t="str">
        <x:v>电池可用能量（kWh）</x:v>
      </x:c>
      <x:c r="E5" s="10" t="str">
        <x:v>含电池空载质量（kg）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27" customHeight="1">
      <x:c r="A6" s="2" t="str">
        <x:v>A</x:v>
      </x:c>
      <x:c r="B6" s="2" t="n">
        <x:v>25</x:v>
      </x:c>
      <x:c r="C6" s="11" t="n">
        <x:v>0.06</x:v>
      </x:c>
      <x:c r="D6" s="2" t="n">
        <x:v>4.5</x:v>
      </x:c>
      <x:c r="E6" s="2" t="n">
        <x:v>70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27" customHeight="1">
      <x:c r="A7" s="2" t="str">
        <x:v>B</x:v>
      </x:c>
      <x:c r="B7" s="2" t="n">
        <x:v>30</x:v>
      </x:c>
      <x:c r="C7" s="11" t="n">
        <x:v>0.073</x:v>
      </x:c>
      <x:c r="D7" s="2" t="n">
        <x:v>4</x:v>
      </x:c>
      <x:c r="E7" s="2" t="n">
        <x:v>65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 ht="27" customHeight="1">
      <x:c r="A8" s="2" t="str">
        <x:v>C</x:v>
      </x:c>
      <x:c r="B8" s="2" t="n">
        <x:v>80</x:v>
      </x:c>
      <x:c r="C8" s="11" t="n">
        <x:v>0.25</x:v>
      </x:c>
      <x:c r="D8" s="2" t="n">
        <x:v>8</x:v>
      </x:c>
      <x:c r="E8" s="2" t="n">
        <x:v>69.9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 ht="27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8" customHeight="1">
      <x:c r="A11" s="12" t="str">
        <x:v>统一安全余量rho指各机型返航时最低SOC；本分析只改变rho，机型参数、地形航线、货箱需求与能耗系数保持一致。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8" customHeight="1">
      <x:c r="A12" s="12" t="str">
        <x:v>每个rho下按“先最少架次数，再最低总能耗，再最短累计作业时间”重新枚举并求解，不沿用20%下的可行候选集。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8" customHeight="1">
      <x:c r="A13" s="12" t="str">
        <x:v>能量约束为 Etrip ≤ Euse×(1-rho)。Euse取原表电池可用能量，水平能耗系数不会再乘一次(1-rho)。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8" customHeight="1">
      <x:c r="A14" s="12" t="str">
        <x:v>沿用补充能耗假设：Ehor=Euse×d/L(q)，Eup=(m0+q)×9.80665×h/(η×3.6×10^6)。下降不另计附加能耗，m0已含电池。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8" customHeight="1">
      <x:c r="A15" s="12" t="str">
        <x:v>航线采用以O01为原点的WGS84局部椭球平面；货箱不可拆分、去程带货、返程空载，每架次只服务一个区。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8" customHeight="1">
      <x:c r="A16" s="12" t="str">
        <x:v>累计作业时间为所有架次准备、装载、飞行及交接时长之和，不等于并行机队的最晚完工时刻。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8" customHeight="1">
      <x:c r="A17" s="12" t="str">
        <x:v>连续最大安全载荷qmax只考虑额定载荷与能量；实际组批还受体积和货箱不可拆分约束。空白qmax表示空载往返也不可行，不能替换为0。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8" customHeight="1">
      <x:c r="A18" s="12" t="str">
        <x:v>情景图采用分类柱状图比较可行方案，横轴为所列情景，不将非均匀rho当成连续等距刻度；精确区间见“组批变化临界点”。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8" customHeight="1">
      <x:c r="A19" s="12" t="str">
        <x:v>qmax曲线采用0%到60%、每1个百分点的均匀网格；曲线在空载也不可行时终止。表内同时保留45个服务区—机型组合。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8" customHeight="1">
      <x:c r="A20" s="12" t="str">
        <x:v>精确组批第一段为[0,23.089248385%]，其余均为左开右闭；等于临界值时旧方案仍可行。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8" customHeight="1">
      <x:c r="A21" s="12" t="str">
        <x:v>全任务统一安全余量上限为35.267647349191%，等号可行；超过该值，S008饮用水箱无法由任何机型单独运送。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8" customHeight="1">
      <x:c r="A22" s="12" t="str">
        <x:v>MED/WAT/FOD/HYG分别为医疗、饮用水、食品、卫生物资。临界变化表使用“机型[四类箱数]”，顺序为MED/WAT/FOD/HYG。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8" customHeight="1">
      <x:c r="A23" s="12" t="str">
        <x:v>表格保留真实箱号；每个情景分别执行一次完整任务，不同情景的相同箱号为备选方案。编辑工作簿不会自动重新求解。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8" customHeight="1">
      <x:c r="A24" s="12" t="str">
        <x:v>含5%—45%每5个百分点的9档常规情景；qmax二分精度为0.000001 kg，逐候选整数费用累加比较。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8" customHeight="1">
      <x:c r="A25" s="12" t="str">
        <x:v>来源：results/question1_reserve_sensitivity/sensitivity.json；20%基准来自results/question1_batching/solution.json。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32" customHeight="1">
      <x:c r="A27" s="3" t="str">
        <x:v>全任务可行性上限的限制货箱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44" customHeight="1">
      <x:c r="A29" s="8" t="str">
        <x:v>服务区</x:v>
      </x:c>
      <x:c r="B29" s="9" t="str">
        <x:v>货物类别</x:v>
      </x:c>
      <x:c r="C29" s="9" t="str">
        <x:v>真实货箱编号</x:v>
      </x:c>
      <x:c r="D29" s="9" t="str">
        <x:v>单箱质量（kg）</x:v>
      </x:c>
      <x:c r="E29" s="9" t="str">
        <x:v>最佳机型</x:v>
      </x:c>
      <x:c r="F29" s="10" t="str">
        <x:v>最高余量（%）</x:v>
      </x:c>
      <x:c r="G29" s="2"/>
      <x:c r="H29" s="2"/>
      <x:c r="I29" s="2"/>
      <x:c r="J29" s="2"/>
      <x:c r="K29" s="2"/>
      <x:c r="L29" s="2"/>
      <x:c r="M29" s="2"/>
      <x:c r="N29" s="2"/>
    </x:row>
    <x:row r="30" ht="48" customHeight="1">
      <x:c r="A30" s="2" t="str">
        <x:v>S008</x:v>
      </x:c>
      <x:c r="B30" s="2" t="str">
        <x:v>WAT</x:v>
      </x:c>
      <x:c r="C30" s="13" t="str">
        <x:v>S008-WAT-01; S008-WAT-02</x:v>
      </x:c>
      <x:c r="D30" s="2" t="n">
        <x:v>14</x:v>
      </x:c>
      <x:c r="E30" s="2" t="str">
        <x:v>C</x:v>
      </x:c>
      <x:c r="F30" s="14" t="n">
        <x:v>35.26764734919061</x:v>
      </x:c>
      <x:c r="G30" s="2"/>
      <x:c r="H30" s="2"/>
      <x:c r="I30" s="2"/>
      <x:c r="J30" s="2"/>
      <x:c r="K30" s="2"/>
      <x:c r="L30" s="2"/>
      <x:c r="M30" s="2"/>
      <x:c r="N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7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7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7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7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</x:sheetData>
  <x:pageMargins left="0.7" right="0.7" top="0.75" bottom="0.75" header="0.3" footer="0.3"/>
</x:worksheet>
</file>