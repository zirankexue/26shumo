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524198405704c5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Q1_单点组批" sheetId="1" r:id="R1277e501b5c446ce"/>
    <x:sheet xmlns:r="http://schemas.openxmlformats.org/officeDocument/2006/relationships" name="各区汇总" sheetId="2" r:id="R3aee03c8479e4d67"/>
    <x:sheet xmlns:r="http://schemas.openxmlformats.org/officeDocument/2006/relationships" name="计算明细" sheetId="3" r:id="R98c12b3988b143c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.0"/>
    <x:numFmt numFmtId="201" formatCode="0.000"/>
    <x:numFmt numFmtId="202" formatCode="0.00"/>
    <x:numFmt numFmtId="203" formatCode="0.000000"/>
  </x:numFmts>
  <x:fonts count="6">
    <x:font>
      <x:sz val="11"/>
      <x:name val="Carlito"/>
    </x:font>
    <x:font>
      <x:sz val="10"/>
      <x:color rgb="FF243746"/>
      <x:name val="Microsoft YaHei"/>
    </x:font>
    <x:font>
      <x:b/>
      <x:sz val="10"/>
      <x:color rgb="FFFFFFFF"/>
      <x:name val="Microsoft YaHei"/>
    </x:font>
    <x:font>
      <x:b/>
      <x:sz val="14"/>
      <x:color rgb="FF183650"/>
      <x:name val="Microsoft YaHei"/>
    </x:font>
    <x:font>
      <x:sz val="10"/>
      <x:color rgb="FF526574"/>
      <x:name val="Microsoft YaHei"/>
    </x:font>
    <x:font>
      <x:b/>
      <x:sz val="10"/>
      <x:color rgb="FF243746"/>
      <x:name val="Microsoft YaHei"/>
    </x:font>
  </x:fonts>
  <x:fills count="5">
    <x:fill>
      <x:patternFill patternType="none"/>
    </x:fill>
    <x:fill>
      <x:patternFill patternType="gray125"/>
    </x:fill>
    <x:fill>
      <x:patternFill patternType="solid">
        <x:fgColor rgb="FF183650"/>
      </x:patternFill>
    </x:fill>
    <x:fill>
      <x:patternFill patternType="solid">
        <x:fgColor rgb="FFEEF3F7"/>
      </x:patternFill>
    </x:fill>
    <x:fill>
      <x:patternFill patternType="solid">
        <x:fgColor rgb="FFDCE7EF"/>
      </x:patternFill>
    </x:fill>
  </x:fills>
  <x:borders count="4">
    <x:border/>
    <x:border>
      <x:right style="thin">
        <x:color rgb="FFFFFFFF"/>
      </x:right>
    </x:border>
    <x:border>
      <x:left style="thin">
        <x:color rgb="FFFFFFFF"/>
      </x:left>
      <x:right style="thin">
        <x:color rgb="FFFFFFFF"/>
      </x:right>
    </x:border>
    <x:border>
      <x:left style="thin">
        <x:color rgb="FFFFFFFF"/>
      </x:left>
    </x:border>
  </x:borders>
  <x:cellStyleXfs count="1">
    <x:xf numFmtId="0" fontId="0" fillId="0" borderId="0"/>
  </x:cellStyleXfs>
  <x:cellXfs count="40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2" fillId="2" borderId="2" xfId="0" applyNumberFormat="1" applyFont="1" applyFill="1" applyBorder="1" applyAlignment="1">
      <x:alignment horizontal="center" vertical="center" wrapText="1"/>
    </x:xf>
    <x:xf numFmtId="0" fontId="2" fillId="2" borderId="3" xfId="0" applyNumberFormat="1" applyFont="1" applyFill="1" applyBorder="1" applyAlignment="1">
      <x:alignment horizontal="center" vertical="center" wrapText="1"/>
    </x:xf>
    <x:xf numFmtId="0" fontId="1" fillId="3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horizontal="left" vertical="center"/>
    </x:xf>
    <x:xf numFmtId="0" fontId="1" fillId="0" borderId="0" xfId="0" applyNumberFormat="1" applyFont="1" applyFill="1" applyBorder="1" applyAlignment="1">
      <x:alignment horizontal="left" vertical="center" wrapText="1"/>
    </x:xf>
    <x:xf numFmtId="0" fontId="1" fillId="3" borderId="0" xfId="0" applyNumberFormat="1" applyFont="1" applyFill="1" applyBorder="1" applyAlignment="1">
      <x:alignment horizontal="left" vertical="center"/>
    </x:xf>
    <x:xf numFmtId="0" fontId="1" fillId="3" borderId="0" xfId="0" applyNumberFormat="1" applyFont="1" applyFill="1" applyBorder="1" applyAlignment="1">
      <x:alignment horizontal="left" vertical="center" wrapText="1"/>
    </x:xf>
    <x:xf numFmtId="0" fontId="1" fillId="0" borderId="0" xfId="0" applyNumberFormat="1" applyFont="1" applyFill="1" applyBorder="1" applyAlignment="1">
      <x:alignment horizontal="right" vertical="center"/>
    </x:xf>
    <x:xf numFmtId="0" fontId="1" fillId="3" borderId="0" xfId="0" applyNumberFormat="1" applyFont="1" applyFill="1" applyBorder="1" applyAlignment="1">
      <x:alignment horizontal="right" vertical="center"/>
    </x:xf>
    <x:xf numFmtId="200" fontId="1" fillId="0" borderId="0" xfId="0" applyNumberFormat="1" applyFont="1" applyFill="1" applyBorder="1" applyAlignment="1">
      <x:alignment horizontal="right" vertical="center"/>
    </x:xf>
    <x:xf numFmtId="200" fontId="1" fillId="3" borderId="0" xfId="0" applyNumberFormat="1" applyFont="1" applyFill="1" applyBorder="1" applyAlignment="1">
      <x:alignment horizontal="right" vertical="center"/>
    </x:xf>
    <x:xf numFmtId="201" fontId="1" fillId="0" borderId="0" xfId="0" applyNumberFormat="1" applyFont="1" applyFill="1" applyBorder="1" applyAlignment="1">
      <x:alignment horizontal="right" vertical="center"/>
    </x:xf>
    <x:xf numFmtId="201" fontId="1" fillId="3" borderId="0" xfId="0" applyNumberFormat="1" applyFont="1" applyFill="1" applyBorder="1" applyAlignment="1">
      <x:alignment horizontal="right" vertical="center"/>
    </x:xf>
    <x:xf numFmtId="202" fontId="1" fillId="0" borderId="0" xfId="0" applyNumberFormat="1" applyFont="1" applyFill="1" applyBorder="1" applyAlignment="1">
      <x:alignment horizontal="right" vertical="center"/>
    </x:xf>
    <x:xf numFmtId="202" fontId="1" fillId="3" borderId="0" xfId="0" applyNumberFormat="1" applyFont="1" applyFill="1" applyBorder="1" applyAlignment="1">
      <x:alignment horizontal="right" vertical="center"/>
    </x:xf>
    <x:xf numFmtId="203" fontId="1" fillId="0" borderId="0" xfId="0" applyNumberFormat="1" applyFont="1" applyFill="1" applyBorder="1" applyAlignment="1">
      <x:alignment horizontal="right" vertical="center"/>
    </x:xf>
    <x:xf numFmtId="203" fontId="1" fillId="3" borderId="0" xfId="0" applyNumberFormat="1" applyFont="1" applyFill="1" applyBorder="1" applyAlignment="1">
      <x:alignment horizontal="right" vertical="center"/>
    </x:xf>
    <x:xf numFmtId="0" fontId="1" fillId="0" borderId="0" xfId="0" applyNumberFormat="1" applyFont="1" applyFill="1" applyBorder="1" applyAlignment="1">
      <x:alignment horizontal="center" vertical="center"/>
    </x:xf>
    <x:xf numFmtId="0" fontId="1" fillId="3" borderId="0" xfId="0" applyNumberFormat="1" applyFont="1" applyFill="1" applyBorder="1" applyAlignment="1">
      <x:alignment horizontal="center" vertical="center"/>
    </x:xf>
    <x:xf numFmtId="201" fontId="1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/>
    </x:xf>
    <x:xf numFmtId="0" fontId="1" fillId="4" borderId="0" xfId="0" applyNumberFormat="1" applyFont="1" applyFill="1" applyBorder="1" applyAlignment="1">
      <x:alignment vertical="center"/>
    </x:xf>
    <x:xf numFmtId="0" fontId="5" fillId="4" borderId="0" xfId="0" applyNumberFormat="1" applyFont="1" applyFill="1" applyBorder="1" applyAlignment="1">
      <x:alignment vertical="center"/>
    </x:xf>
    <x:xf numFmtId="0" fontId="5" fillId="4" borderId="0" xfId="0" applyNumberFormat="1" applyFont="1" applyFill="1" applyBorder="1" applyAlignment="1">
      <x:alignment horizontal="right" vertical="center"/>
    </x:xf>
    <x:xf numFmtId="200" fontId="5" fillId="4" borderId="0" xfId="0" applyNumberFormat="1" applyFont="1" applyFill="1" applyBorder="1" applyAlignment="1">
      <x:alignment horizontal="right" vertical="center"/>
    </x:xf>
    <x:xf numFmtId="201" fontId="5" fillId="4" borderId="0" xfId="0" applyNumberFormat="1" applyFont="1" applyFill="1" applyBorder="1" applyAlignment="1">
      <x:alignment horizontal="right" vertical="center"/>
    </x:xf>
    <x:xf numFmtId="203" fontId="5" fillId="4" borderId="0" xfId="0" applyNumberFormat="1" applyFont="1" applyFill="1" applyBorder="1" applyAlignment="1">
      <x:alignment horizontal="right" vertical="center"/>
    </x:xf>
    <x:xf numFmtId="202" fontId="5" fillId="4" borderId="0" xfId="0" applyNumberFormat="1" applyFont="1" applyFill="1" applyBorder="1" applyAlignment="1">
      <x:alignment horizontal="right" vertical="center"/>
    </x:xf>
    <x:xf numFmtId="201" fontId="1" fillId="3" borderId="0" xfId="0" applyNumberFormat="1" applyFont="1" applyFill="1" applyBorder="1" applyAlignment="1">
      <x:alignment vertical="center"/>
    </x:xf>
  </x:cellXfs>
  <x:cellStyles count="1">
    <x:cellStyle name="Normal" xfId="0"/>
  </x:cellStyles>
  <x:dxfs count="1">
    <x:dxf>
      <x:font>
        <x:b/>
        <x:color rgb="FF9C1C1C"/>
      </x:font>
      <x:fill>
        <x:patternFill patternType="solid">
          <x:bgColor rgb="FFFCE7E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38203f4c0a94e12" /><Relationship Type="http://schemas.openxmlformats.org/officeDocument/2006/relationships/theme" Target="/xl/theme/theme1.xml" Id="R2376625d8d1347b1" /><Relationship Type="http://schemas.openxmlformats.org/officeDocument/2006/relationships/sharedStrings" Target="/xl/sharedStrings.xml" Id="R43f3882455714081" /><Relationship Type="http://schemas.openxmlformats.org/officeDocument/2006/relationships/worksheet" Target="/xl/worksheets/sheet1.xml" Id="R1277e501b5c446ce" /><Relationship Type="http://schemas.openxmlformats.org/officeDocument/2006/relationships/worksheet" Target="/xl/worksheets/sheet2.xml" Id="R3aee03c8479e4d67" /><Relationship Type="http://schemas.openxmlformats.org/officeDocument/2006/relationships/worksheet" Target="/xl/worksheets/sheet3.xml" Id="R98c12b3988b143c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183650"/>
  </x:sheetPr>
  <x:sheetViews>
    <x:sheetView showGridLines="0" workbookViewId="0">
      <x:pane xSplit="3" ySplit="1" topLeftCell="D2" activePane="bottomRight" state="frozen"/>
    </x:sheetView>
  </x:sheetViews>
  <x:sheetFormatPr defaultRowHeight="15"/>
  <x:cols>
    <x:col min="1" max="1" width="12.75" hidden="0" customWidth="1"/>
    <x:col min="2" max="2" width="12.130000114440918" hidden="0" customWidth="1"/>
    <x:col min="3" max="3" width="10.75" hidden="0" customWidth="1"/>
    <x:col min="4" max="4" width="55" hidden="0" customWidth="1"/>
    <x:col min="5" max="5" width="13.75" hidden="0" customWidth="1"/>
    <x:col min="6" max="6" width="14.25" hidden="0" customWidth="1"/>
    <x:col min="7" max="7" width="16" hidden="0" customWidth="1"/>
    <x:col min="8" max="8" width="17.1299991607666" hidden="0" customWidth="1"/>
    <x:col min="9" max="9" width="15.5" hidden="0" customWidth="1"/>
  </x:cols>
  <x:sheetData>
    <x:row r="1" ht="42" customHeight="1">
      <x:c r="A1" s="7" t="str">
        <x:v>架次编号</x:v>
      </x:c>
      <x:c r="B1" s="8" t="str">
        <x:v>服务区编号</x:v>
      </x:c>
      <x:c r="C1" s="8" t="str">
        <x:v>机型编号</x:v>
      </x:c>
      <x:c r="D1" s="8" t="str">
        <x:v>货箱编号列表</x:v>
      </x:c>
      <x:c r="E1" s="8" t="str">
        <x:v>总质量（kg）</x:v>
      </x:c>
      <x:c r="F1" s="8" t="str">
        <x:v>总体积（m³）</x:v>
      </x:c>
      <x:c r="G1" s="8" t="str">
        <x:v>往返时间（s）</x:v>
      </x:c>
      <x:c r="H1" s="8" t="str">
        <x:v>架次能耗（kWh）</x:v>
      </x:c>
      <x:c r="I1" s="9" t="str">
        <x:v>返航SOC（%）</x:v>
      </x:c>
    </x:row>
    <x:row r="2" ht="61" customHeight="1">
      <x:c r="A2" s="13" t="str">
        <x:v>Q1-001</x:v>
      </x:c>
      <x:c r="B2" s="13" t="str">
        <x:v>S001</x:v>
      </x:c>
      <x:c r="C2" s="13" t="str">
        <x:v>C</x:v>
      </x:c>
      <x:c r="D2" s="14" t="str">
        <x:v>S001-WAT-01; S001-WAT-02; S001-WAT-03; S001-FOD-01; S001-FOD-02; S001-FOD-03; S001-HYG-01; S001-HYG-02</x:v>
      </x:c>
      <x:c r="E2" s="19" t="n">
        <x:v>78</x:v>
      </x:c>
      <x:c r="F2" s="21" t="n">
        <x:v>0.235</x:v>
      </x:c>
      <x:c r="G2" s="23" t="n">
        <x:v>618.1750458620229</x:v>
      </x:c>
      <x:c r="H2" s="25" t="n">
        <x:v>2.9957758049046697</x:v>
      </x:c>
      <x:c r="I2" s="23" t="n">
        <x:v>62.552802438691636</x:v>
      </x:c>
    </x:row>
    <x:row r="3" ht="44" customHeight="1">
      <x:c r="A3" s="15" t="str">
        <x:v>Q1-002</x:v>
      </x:c>
      <x:c r="B3" s="15" t="str">
        <x:v>S001</x:v>
      </x:c>
      <x:c r="C3" s="15" t="str">
        <x:v>C</x:v>
      </x:c>
      <x:c r="D3" s="16" t="str">
        <x:v>S001-MED-01; S001-MED-02; S001-WAT-04; S001-WAT-05; S001-WAT-06; S001-WAT-07; S001-WAT-08</x:v>
      </x:c>
      <x:c r="E3" s="20" t="n">
        <x:v>76</x:v>
      </x:c>
      <x:c r="F3" s="22" t="n">
        <x:v>0.159</x:v>
      </x:c>
      <x:c r="G3" s="24" t="n">
        <x:v>618.1750458620229</x:v>
      </x:c>
      <x:c r="H3" s="26" t="n">
        <x:v>2.917588095586827</x:v>
      </x:c>
      <x:c r="I3" s="24" t="n">
        <x:v>63.53014880516466</x:v>
      </x:c>
    </x:row>
    <x:row r="4" ht="30" customHeight="1">
      <x:c r="A4" s="13" t="str">
        <x:v>Q1-003</x:v>
      </x:c>
      <x:c r="B4" s="13" t="str">
        <x:v>S002</x:v>
      </x:c>
      <x:c r="C4" s="13" t="str">
        <x:v>B</x:v>
      </x:c>
      <x:c r="D4" s="14" t="str">
        <x:v>S002-MED-01; S002-WAT-01; S002-FOD-01</x:v>
      </x:c>
      <x:c r="E4" s="19" t="n">
        <x:v>25</x:v>
      </x:c>
      <x:c r="F4" s="21" t="n">
        <x:v>0.067</x:v>
      </x:c>
      <x:c r="G4" s="23" t="n">
        <x:v>1186.7240813077576</x:v>
      </x:c>
      <x:c r="H4" s="25" t="n">
        <x:v>2.7134729412419873</x:v>
      </x:c>
      <x:c r="I4" s="23" t="n">
        <x:v>32.16317646895032</x:v>
      </x:c>
    </x:row>
    <x:row r="5" ht="44" customHeight="1">
      <x:c r="A5" s="15" t="str">
        <x:v>Q1-004</x:v>
      </x:c>
      <x:c r="B5" s="15" t="str">
        <x:v>S002</x:v>
      </x:c>
      <x:c r="C5" s="15" t="str">
        <x:v>C</x:v>
      </x:c>
      <x:c r="D5" s="16" t="str">
        <x:v>S002-WAT-02; S002-WAT-03; S002-WAT-04; S002-FOD-02; S002-HYG-01</x:v>
      </x:c>
      <x:c r="E5" s="20" t="n">
        <x:v>56</x:v>
      </x:c>
      <x:c r="F5" s="22" t="n">
        <x:v>0.144</x:v>
      </x:c>
      <x:c r="G5" s="24" t="n">
        <x:v>1231.8421660245544</x:v>
      </x:c>
      <x:c r="H5" s="26" t="n">
        <x:v>5.721356203945945</x:v>
      </x:c>
      <x:c r="I5" s="24" t="n">
        <x:v>28.48304745067569</x:v>
      </x:c>
    </x:row>
    <x:row r="6" ht="30" customHeight="1">
      <x:c r="A6" s="13" t="str">
        <x:v>Q1-005</x:v>
      </x:c>
      <x:c r="B6" s="13" t="str">
        <x:v>S003</x:v>
      </x:c>
      <x:c r="C6" s="13" t="str">
        <x:v>B</x:v>
      </x:c>
      <x:c r="D6" s="14" t="str">
        <x:v>S003-MED-01; S003-WAT-01; S003-FOD-01</x:v>
      </x:c>
      <x:c r="E6" s="19" t="n">
        <x:v>25</x:v>
      </x:c>
      <x:c r="F6" s="21" t="n">
        <x:v>0.067</x:v>
      </x:c>
      <x:c r="G6" s="23" t="n">
        <x:v>1450.6096650380623</x:v>
      </x:c>
      <x:c r="H6" s="25" t="n">
        <x:v>2.7800780342326075</x:v>
      </x:c>
      <x:c r="I6" s="23" t="n">
        <x:v>30.49804914418481</x:v>
      </x:c>
    </x:row>
    <x:row r="7" ht="44" customHeight="1">
      <x:c r="A7" s="15" t="str">
        <x:v>Q1-006</x:v>
      </x:c>
      <x:c r="B7" s="15" t="str">
        <x:v>S003</x:v>
      </x:c>
      <x:c r="C7" s="15" t="str">
        <x:v>C</x:v>
      </x:c>
      <x:c r="D7" s="16" t="str">
        <x:v>S003-WAT-02; S003-WAT-03; S003-WAT-04; S003-FOD-02; S003-HYG-01</x:v>
      </x:c>
      <x:c r="E7" s="20" t="n">
        <x:v>56</x:v>
      </x:c>
      <x:c r="F7" s="22" t="n">
        <x:v>0.144</x:v>
      </x:c>
      <x:c r="G7" s="24" t="n">
        <x:v>1560.1777110992603</x:v>
      </x:c>
      <x:c r="H7" s="26" t="n">
        <x:v>5.7653646949838375</x:v>
      </x:c>
      <x:c r="I7" s="24" t="n">
        <x:v>27.93294131270203</x:v>
      </x:c>
    </x:row>
    <x:row r="8" ht="44" customHeight="1">
      <x:c r="A8" s="13" t="str">
        <x:v>Q1-007</x:v>
      </x:c>
      <x:c r="B8" s="13" t="str">
        <x:v>S004</x:v>
      </x:c>
      <x:c r="C8" s="13" t="str">
        <x:v>C</x:v>
      </x:c>
      <x:c r="D8" s="14" t="str">
        <x:v>S004-MED-01; S004-WAT-01; S004-WAT-02; S004-WAT-03; S004-FOD-01; S004-HYG-01</x:v>
      </x:c>
      <x:c r="E8" s="19" t="n">
        <x:v>59</x:v>
      </x:c>
      <x:c r="F8" s="21" t="n">
        <x:v>0.156</x:v>
      </x:c>
      <x:c r="G8" s="23" t="n">
        <x:v>1425.0547187724458</x:v>
      </x:c>
      <x:c r="H8" s="25" t="n">
        <x:v>6.152860129174582</x:v>
      </x:c>
      <x:c r="I8" s="23" t="n">
        <x:v>23.089248385317727</x:v>
      </x:c>
    </x:row>
    <x:row r="9" ht="44" customHeight="1">
      <x:c r="A9" s="15" t="str">
        <x:v>Q1-008</x:v>
      </x:c>
      <x:c r="B9" s="15" t="str">
        <x:v>S005</x:v>
      </x:c>
      <x:c r="C9" s="15" t="str">
        <x:v>C</x:v>
      </x:c>
      <x:c r="D9" s="16" t="str">
        <x:v>S005-MED-01; S005-WAT-01; S005-WAT-02; S005-WAT-03; S005-FOD-01; S005-HYG-01</x:v>
      </x:c>
      <x:c r="E9" s="20" t="n">
        <x:v>59</x:v>
      </x:c>
      <x:c r="F9" s="22" t="n">
        <x:v>0.156</x:v>
      </x:c>
      <x:c r="G9" s="24" t="n">
        <x:v>1001.1887154914712</x:v>
      </x:c>
      <x:c r="H9" s="26" t="n">
        <x:v>4.222137373445114</x:v>
      </x:c>
      <x:c r="I9" s="24" t="n">
        <x:v>47.223282831936075</x:v>
      </x:c>
    </x:row>
    <x:row r="10" ht="44" customHeight="1">
      <x:c r="A10" s="13" t="str">
        <x:v>Q1-009</x:v>
      </x:c>
      <x:c r="B10" s="13" t="str">
        <x:v>S006</x:v>
      </x:c>
      <x:c r="C10" s="13" t="str">
        <x:v>C</x:v>
      </x:c>
      <x:c r="D10" s="14" t="str">
        <x:v>S006-MED-01; S006-WAT-01; S006-WAT-02; S006-WAT-03; S006-FOD-01; S006-HYG-01</x:v>
      </x:c>
      <x:c r="E10" s="19" t="n">
        <x:v>59</x:v>
      </x:c>
      <x:c r="F10" s="21" t="n">
        <x:v>0.156</x:v>
      </x:c>
      <x:c r="G10" s="23" t="n">
        <x:v>685.5526244866224</x:v>
      </x:c>
      <x:c r="H10" s="25" t="n">
        <x:v>2.5979362904386822</x:v>
      </x:c>
      <x:c r="I10" s="23" t="n">
        <x:v>67.52579636951648</x:v>
      </x:c>
    </x:row>
    <x:row r="11" ht="44" customHeight="1">
      <x:c r="A11" s="15" t="str">
        <x:v>Q1-010</x:v>
      </x:c>
      <x:c r="B11" s="15" t="str">
        <x:v>S007</x:v>
      </x:c>
      <x:c r="C11" s="15" t="str">
        <x:v>C</x:v>
      </x:c>
      <x:c r="D11" s="16" t="str">
        <x:v>S007-MED-01; S007-WAT-01; S007-WAT-02; S007-FOD-01; S007-HYG-01</x:v>
      </x:c>
      <x:c r="E11" s="20" t="n">
        <x:v>45</x:v>
      </x:c>
      <x:c r="F11" s="22" t="n">
        <x:v>0.129</x:v>
      </x:c>
      <x:c r="G11" s="24" t="n">
        <x:v>1097.600698410691</x:v>
      </x:c>
      <x:c r="H11" s="26" t="n">
        <x:v>3.4110038084433194</x:v>
      </x:c>
      <x:c r="I11" s="24" t="n">
        <x:v>57.36245239445851</x:v>
      </x:c>
    </x:row>
    <x:row r="12" ht="44" customHeight="1">
      <x:c r="A12" s="13" t="str">
        <x:v>Q1-011</x:v>
      </x:c>
      <x:c r="B12" s="13" t="str">
        <x:v>S008</x:v>
      </x:c>
      <x:c r="C12" s="13" t="str">
        <x:v>C</x:v>
      </x:c>
      <x:c r="D12" s="14" t="str">
        <x:v>S008-MED-01; S008-WAT-01; S008-WAT-02; S008-FOD-01; S008-HYG-01</x:v>
      </x:c>
      <x:c r="E12" s="19" t="n">
        <x:v>45</x:v>
      </x:c>
      <x:c r="F12" s="21" t="n">
        <x:v>0.129</x:v>
      </x:c>
      <x:c r="G12" s="23" t="n">
        <x:v>1389.7115246008332</x:v>
      </x:c>
      <x:c r="H12" s="25" t="n">
        <x:v>5.836020667966359</x:v>
      </x:c>
      <x:c r="I12" s="23" t="n">
        <x:v>27.04974165042051</x:v>
      </x:c>
    </x:row>
    <x:row r="13" ht="30" customHeight="1">
      <x:c r="A13" s="15" t="str">
        <x:v>Q1-012</x:v>
      </x:c>
      <x:c r="B13" s="15" t="str">
        <x:v>S009</x:v>
      </x:c>
      <x:c r="C13" s="15" t="str">
        <x:v>B</x:v>
      </x:c>
      <x:c r="D13" s="16" t="str">
        <x:v>S009-MED-01; S009-WAT-01; S009-FOD-01</x:v>
      </x:c>
      <x:c r="E13" s="20" t="n">
        <x:v>25</x:v>
      </x:c>
      <x:c r="F13" s="22" t="n">
        <x:v>0.067</x:v>
      </x:c>
      <x:c r="G13" s="24" t="n">
        <x:v>928.4628643343575</x:v>
      </x:c>
      <x:c r="H13" s="26" t="n">
        <x:v>2.0962654017373348</x:v>
      </x:c>
      <x:c r="I13" s="24" t="n">
        <x:v>47.59336495656663</x:v>
      </x:c>
    </x:row>
    <x:row r="14" ht="30" customHeight="1">
      <x:c r="A14" s="13" t="str">
        <x:v>Q1-013</x:v>
      </x:c>
      <x:c r="B14" s="13" t="str">
        <x:v>S010</x:v>
      </x:c>
      <x:c r="C14" s="13" t="str">
        <x:v>B</x:v>
      </x:c>
      <x:c r="D14" s="14" t="str">
        <x:v>S010-MED-01; S010-WAT-01; S010-FOD-01</x:v>
      </x:c>
      <x:c r="E14" s="19" t="n">
        <x:v>25</x:v>
      </x:c>
      <x:c r="F14" s="21" t="n">
        <x:v>0.067</x:v>
      </x:c>
      <x:c r="G14" s="23" t="n">
        <x:v>925.4035197802174</x:v>
      </x:c>
      <x:c r="H14" s="25" t="n">
        <x:v>1.8232165642314142</x:v>
      </x:c>
      <x:c r="I14" s="23" t="n">
        <x:v>54.41958589421465</x:v>
      </x:c>
    </x:row>
    <x:row r="15" ht="30" customHeight="1">
      <x:c r="A15" s="15" t="str">
        <x:v>Q1-014</x:v>
      </x:c>
      <x:c r="B15" s="15" t="str">
        <x:v>S011</x:v>
      </x:c>
      <x:c r="C15" s="15" t="str">
        <x:v>B</x:v>
      </x:c>
      <x:c r="D15" s="16" t="str">
        <x:v>S011-MED-01; S011-WAT-01; S011-FOD-01</x:v>
      </x:c>
      <x:c r="E15" s="20" t="n">
        <x:v>25</x:v>
      </x:c>
      <x:c r="F15" s="22" t="n">
        <x:v>0.067</x:v>
      </x:c>
      <x:c r="G15" s="24" t="n">
        <x:v>558.4247628605204</x:v>
      </x:c>
      <x:c r="H15" s="26" t="n">
        <x:v>1.0739366863951034</x:v>
      </x:c>
      <x:c r="I15" s="24" t="n">
        <x:v>73.15158284012242</x:v>
      </x:c>
    </x:row>
    <x:row r="16" ht="30" customHeight="1">
      <x:c r="A16" s="13" t="str">
        <x:v>Q1-015</x:v>
      </x:c>
      <x:c r="B16" s="13" t="str">
        <x:v>S012</x:v>
      </x:c>
      <x:c r="C16" s="13" t="str">
        <x:v>B</x:v>
      </x:c>
      <x:c r="D16" s="14" t="str">
        <x:v>S012-MED-01; S012-WAT-01; S012-FOD-01</x:v>
      </x:c>
      <x:c r="E16" s="19" t="n">
        <x:v>25</x:v>
      </x:c>
      <x:c r="F16" s="21" t="n">
        <x:v>0.067</x:v>
      </x:c>
      <x:c r="G16" s="23" t="n">
        <x:v>1292.826814149187</x:v>
      </x:c>
      <x:c r="H16" s="25" t="n">
        <x:v>2.7525999542899324</x:v>
      </x:c>
      <x:c r="I16" s="23" t="n">
        <x:v>31.185001142751688</x:v>
      </x:c>
    </x:row>
    <x:row r="17" ht="30" customHeight="1">
      <x:c r="A17" s="15" t="str">
        <x:v>Q1-016</x:v>
      </x:c>
      <x:c r="B17" s="15" t="str">
        <x:v>S013</x:v>
      </x:c>
      <x:c r="C17" s="15" t="str">
        <x:v>B</x:v>
      </x:c>
      <x:c r="D17" s="16" t="str">
        <x:v>S013-MED-01; S013-WAT-01; S013-FOD-01</x:v>
      </x:c>
      <x:c r="E17" s="20" t="n">
        <x:v>25</x:v>
      </x:c>
      <x:c r="F17" s="22" t="n">
        <x:v>0.067</x:v>
      </x:c>
      <x:c r="G17" s="24" t="n">
        <x:v>880.511588744525</x:v>
      </x:c>
      <x:c r="H17" s="26" t="n">
        <x:v>1.8248281910807471</x:v>
      </x:c>
      <x:c r="I17" s="24" t="n">
        <x:v>54.37929522298133</x:v>
      </x:c>
    </x:row>
    <x:row r="18" ht="30" customHeight="1">
      <x:c r="A18" s="13" t="str">
        <x:v>Q1-017</x:v>
      </x:c>
      <x:c r="B18" s="13" t="str">
        <x:v>S014</x:v>
      </x:c>
      <x:c r="C18" s="13" t="str">
        <x:v>B</x:v>
      </x:c>
      <x:c r="D18" s="14" t="str">
        <x:v>S014-MED-01; S014-WAT-01; S014-FOD-01</x:v>
      </x:c>
      <x:c r="E18" s="19" t="n">
        <x:v>25</x:v>
      </x:c>
      <x:c r="F18" s="21" t="n">
        <x:v>0.067</x:v>
      </x:c>
      <x:c r="G18" s="23" t="n">
        <x:v>1239.7476752786913</x:v>
      </x:c>
      <x:c r="H18" s="25" t="n">
        <x:v>2.1402909781417883</x:v>
      </x:c>
      <x:c r="I18" s="23" t="n">
        <x:v>46.49272554645529</x:v>
      </x:c>
    </x:row>
    <x:row r="19" ht="30" customHeight="1">
      <x:c r="A19" s="15" t="str">
        <x:v>Q1-018</x:v>
      </x:c>
      <x:c r="B19" s="15" t="str">
        <x:v>S015</x:v>
      </x:c>
      <x:c r="C19" s="15" t="str">
        <x:v>B</x:v>
      </x:c>
      <x:c r="D19" s="16" t="str">
        <x:v>S015-MED-01; S015-WAT-01; S015-FOD-01</x:v>
      </x:c>
      <x:c r="E19" s="20" t="n">
        <x:v>25</x:v>
      </x:c>
      <x:c r="F19" s="22" t="n">
        <x:v>0.067</x:v>
      </x:c>
      <x:c r="G19" s="24" t="n">
        <x:v>1198.3275601736595</x:v>
      </x:c>
      <x:c r="H19" s="26" t="n">
        <x:v>2.307528505752516</x:v>
      </x:c>
      <x:c r="I19" s="24" t="n">
        <x:v>42.311787356187104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54738B"/>
  </x:sheetPr>
  <x:sheetViews>
    <x:sheetView showGridLines="0" workbookViewId="0"/>
  </x:sheetViews>
  <x:sheetFormatPr defaultRowHeight="15"/>
  <x:cols>
    <x:col min="1" max="1" width="12.5" hidden="0" customWidth="1"/>
    <x:col min="2" max="2" width="32.5" hidden="0" customWidth="1"/>
    <x:col min="3" max="3" width="9.75" hidden="0" customWidth="1"/>
    <x:col min="4" max="4" width="10.5" hidden="0" customWidth="1"/>
    <x:col min="5" max="5" width="13.130000114440918" hidden="0" customWidth="1"/>
    <x:col min="6" max="6" width="14" hidden="0" customWidth="1"/>
    <x:col min="7" max="7" width="16.75" hidden="0" customWidth="1"/>
    <x:col min="8" max="8" width="17.5" hidden="0" customWidth="1"/>
    <x:col min="9" max="9" width="18.75" hidden="0" customWidth="1"/>
    <x:col min="10" max="10" width="17.5" hidden="0" customWidth="1"/>
    <x:col min="11" max="11" width="16.8799991607666" hidden="0" customWidth="1"/>
  </x:cols>
  <x:sheetData>
    <x:row r="1" ht="27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</x:row>
    <x:row r="2" ht="31" customHeight="1">
      <x:c r="A2" s="30" t="str">
        <x:v>第一问各服务区组批汇总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</x:row>
    <x:row r="3" ht="27" customHeight="1">
      <x:c r="A3" s="31" t="str">
        <x:v>优化顺序：架次数最少，其次总能耗最小，再次累计作业时间最小。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</x:row>
    <x:row r="4" ht="27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</x:row>
    <x:row r="5" ht="42" customHeight="1">
      <x:c r="A5" s="7" t="str">
        <x:v>服务区编号</x:v>
      </x:c>
      <x:c r="B5" s="8" t="str">
        <x:v>服务区名称</x:v>
      </x:c>
      <x:c r="C5" s="8" t="str">
        <x:v>箱数</x:v>
      </x:c>
      <x:c r="D5" s="8" t="str">
        <x:v>架次数</x:v>
      </x:c>
      <x:c r="E5" s="8" t="str">
        <x:v>总质量（kg）</x:v>
      </x:c>
      <x:c r="F5" s="8" t="str">
        <x:v>总体积（m³）</x:v>
      </x:c>
      <x:c r="G5" s="8" t="str">
        <x:v>总能耗（kWh）</x:v>
      </x:c>
      <x:c r="H5" s="8" t="str">
        <x:v>纯飞行合计（s）</x:v>
      </x:c>
      <x:c r="I5" s="8" t="str">
        <x:v>累计作业时间（s）</x:v>
      </x:c>
      <x:c r="J5" s="8" t="str">
        <x:v>A/B/C型架次数</x:v>
      </x:c>
      <x:c r="K5" s="9" t="str">
        <x:v>最低返航SOC（%）</x:v>
      </x:c>
    </x:row>
    <x:row r="6" ht="27" customHeight="1">
      <x:c r="A6" s="2" t="str">
        <x:v>S001</x:v>
      </x:c>
      <x:c r="B6" s="2" t="str">
        <x:v>平旺、那龙、镇龙乡</x:v>
      </x:c>
      <x:c r="C6" s="17" t="n">
        <x:f>SUMIFS('计算明细'!$C$2:$C$19,'Q1_单点组批'!$B$2:$B$19,A6)</x:f>
        <x:v>15</x:v>
      </x:c>
      <x:c r="D6" s="17" t="n">
        <x:f>COUNTIFS('Q1_单点组批'!$B$2:$B$19,A6)</x:f>
        <x:v>2</x:v>
      </x:c>
      <x:c r="E6" s="19" t="n">
        <x:f>SUMIFS('Q1_单点组批'!$E$2:$E$19,'Q1_单点组批'!$B$2:$B$19,A6)</x:f>
        <x:v>154</x:v>
      </x:c>
      <x:c r="F6" s="21" t="n">
        <x:f>SUMIFS('Q1_单点组批'!$F$2:$F$19,'Q1_单点组批'!$B$2:$B$19,A6)</x:f>
        <x:v>0.394</x:v>
      </x:c>
      <x:c r="G6" s="25" t="n">
        <x:f>SUMIFS('Q1_单点组批'!$H$2:$H$19,'Q1_单点组批'!$B$2:$B$19,A6)</x:f>
        <x:v>5.913363900491497</x:v>
      </x:c>
      <x:c r="H6" s="23" t="n">
        <x:f>SUMIFS('Q1_单点组批'!$G$2:$G$19,'Q1_单点组批'!$B$2:$B$19,A6)</x:f>
        <x:v>1236.3500917240458</x:v>
      </x:c>
      <x:c r="I6" s="23" t="n">
        <x:f>SUMIFS('计算明细'!$F$2:$F$19,'Q1_单点组批'!$B$2:$B$19,A6)</x:f>
        <x:v>3186.350091724046</x:v>
      </x:c>
      <x:c r="J6" s="17" t="str">
        <x:f>COUNTIFS('Q1_单点组批'!$B$2:$B$19,A6,'Q1_单点组批'!$C$2:$C$19,"A")&amp;" / "&amp;COUNTIFS('Q1_单点组批'!$B$2:$B$19,A6,'Q1_单点组批'!$C$2:$C$19,"B")&amp;" / "&amp;COUNTIFS('Q1_单点组批'!$B$2:$B$19,A6,'Q1_单点组批'!$C$2:$C$19,"C")</x:f>
        <x:v>0 / 0 / 2</x:v>
      </x:c>
      <x:c r="K6" s="23" t="n">
        <x:f>MIN('Q1_单点组批'!I2,'Q1_单点组批'!I3)</x:f>
        <x:v>62.552802438691636</x:v>
      </x:c>
    </x:row>
    <x:row r="7" ht="27" customHeight="1">
      <x:c r="A7" s="10" t="str">
        <x:v>S002</x:v>
      </x:c>
      <x:c r="B7" s="10" t="str">
        <x:v>上良</x:v>
      </x:c>
      <x:c r="C7" s="18" t="n">
        <x:f>SUMIFS('计算明细'!$C$2:$C$19,'Q1_单点组批'!$B$2:$B$19,A7)</x:f>
        <x:v>8</x:v>
      </x:c>
      <x:c r="D7" s="18" t="n">
        <x:f>COUNTIFS('Q1_单点组批'!$B$2:$B$19,A7)</x:f>
        <x:v>2</x:v>
      </x:c>
      <x:c r="E7" s="20" t="n">
        <x:f>SUMIFS('Q1_单点组批'!$E$2:$E$19,'Q1_单点组批'!$B$2:$B$19,A7)</x:f>
        <x:v>81</x:v>
      </x:c>
      <x:c r="F7" s="22" t="n">
        <x:f>SUMIFS('Q1_单点组批'!$F$2:$F$19,'Q1_单点组批'!$B$2:$B$19,A7)</x:f>
        <x:v>0.211</x:v>
      </x:c>
      <x:c r="G7" s="26" t="n">
        <x:f>SUMIFS('Q1_单点组批'!$H$2:$H$19,'Q1_单点组批'!$B$2:$B$19,A7)</x:f>
        <x:v>8.434829145187932</x:v>
      </x:c>
      <x:c r="H7" s="24" t="n">
        <x:f>SUMIFS('Q1_单点组批'!$G$2:$G$19,'Q1_单点组批'!$B$2:$B$19,A7)</x:f>
        <x:v>2418.566247332312</x:v>
      </x:c>
      <x:c r="I7" s="24" t="n">
        <x:f>SUMIFS('计算明细'!$F$2:$F$19,'Q1_单点组批'!$B$2:$B$19,A7)</x:f>
        <x:v>3858.566247332312</x:v>
      </x:c>
      <x:c r="J7" s="18" t="str">
        <x:f>COUNTIFS('Q1_单点组批'!$B$2:$B$19,A7,'Q1_单点组批'!$C$2:$C$19,"A")&amp;" / "&amp;COUNTIFS('Q1_单点组批'!$B$2:$B$19,A7,'Q1_单点组批'!$C$2:$C$19,"B")&amp;" / "&amp;COUNTIFS('Q1_单点组批'!$B$2:$B$19,A7,'Q1_单点组批'!$C$2:$C$19,"C")</x:f>
        <x:v>0 / 1 / 1</x:v>
      </x:c>
      <x:c r="K7" s="24" t="n">
        <x:f>MIN('Q1_单点组批'!I4,'Q1_单点组批'!I5)</x:f>
        <x:v>28.48304745067569</x:v>
      </x:c>
    </x:row>
    <x:row r="8" ht="27" customHeight="1">
      <x:c r="A8" s="2" t="str">
        <x:v>S003</x:v>
      </x:c>
      <x:c r="B8" s="2" t="str">
        <x:v>六造、那旭、都长</x:v>
      </x:c>
      <x:c r="C8" s="17" t="n">
        <x:f>SUMIFS('计算明细'!$C$2:$C$19,'Q1_单点组批'!$B$2:$B$19,A8)</x:f>
        <x:v>8</x:v>
      </x:c>
      <x:c r="D8" s="17" t="n">
        <x:f>COUNTIFS('Q1_单点组批'!$B$2:$B$19,A8)</x:f>
        <x:v>2</x:v>
      </x:c>
      <x:c r="E8" s="19" t="n">
        <x:f>SUMIFS('Q1_单点组批'!$E$2:$E$19,'Q1_单点组批'!$B$2:$B$19,A8)</x:f>
        <x:v>81</x:v>
      </x:c>
      <x:c r="F8" s="21" t="n">
        <x:f>SUMIFS('Q1_单点组批'!$F$2:$F$19,'Q1_单点组批'!$B$2:$B$19,A8)</x:f>
        <x:v>0.211</x:v>
      </x:c>
      <x:c r="G8" s="25" t="n">
        <x:f>SUMIFS('Q1_单点组批'!$H$2:$H$19,'Q1_单点组批'!$B$2:$B$19,A8)</x:f>
        <x:v>8.545442729216445</x:v>
      </x:c>
      <x:c r="H8" s="23" t="n">
        <x:f>SUMIFS('Q1_单点组批'!$G$2:$G$19,'Q1_单点组批'!$B$2:$B$19,A8)</x:f>
        <x:v>3010.7873761373226</x:v>
      </x:c>
      <x:c r="I8" s="23" t="n">
        <x:f>SUMIFS('计算明细'!$F$2:$F$19,'Q1_单点组批'!$B$2:$B$19,A8)</x:f>
        <x:v>4450.787376137323</x:v>
      </x:c>
      <x:c r="J8" s="17" t="str">
        <x:f>COUNTIFS('Q1_单点组批'!$B$2:$B$19,A8,'Q1_单点组批'!$C$2:$C$19,"A")&amp;" / "&amp;COUNTIFS('Q1_单点组批'!$B$2:$B$19,A8,'Q1_单点组批'!$C$2:$C$19,"B")&amp;" / "&amp;COUNTIFS('Q1_单点组批'!$B$2:$B$19,A8,'Q1_单点组批'!$C$2:$C$19,"C")</x:f>
        <x:v>0 / 1 / 1</x:v>
      </x:c>
      <x:c r="K8" s="23" t="n">
        <x:f>MIN('Q1_单点组批'!I6,'Q1_单点组批'!I7)</x:f>
        <x:v>27.93294131270203</x:v>
      </x:c>
    </x:row>
    <x:row r="9" ht="27" customHeight="1">
      <x:c r="A9" s="10" t="str">
        <x:v>S004</x:v>
      </x:c>
      <x:c r="B9" s="10" t="str">
        <x:v>大站</x:v>
      </x:c>
      <x:c r="C9" s="18" t="n">
        <x:f>SUMIFS('计算明细'!$C$2:$C$19,'Q1_单点组批'!$B$2:$B$19,A9)</x:f>
        <x:v>6</x:v>
      </x:c>
      <x:c r="D9" s="18" t="n">
        <x:f>COUNTIFS('Q1_单点组批'!$B$2:$B$19,A9)</x:f>
        <x:v>1</x:v>
      </x:c>
      <x:c r="E9" s="20" t="n">
        <x:f>SUMIFS('Q1_单点组批'!$E$2:$E$19,'Q1_单点组批'!$B$2:$B$19,A9)</x:f>
        <x:v>59</x:v>
      </x:c>
      <x:c r="F9" s="22" t="n">
        <x:f>SUMIFS('Q1_单点组批'!$F$2:$F$19,'Q1_单点组批'!$B$2:$B$19,A9)</x:f>
        <x:v>0.156</x:v>
      </x:c>
      <x:c r="G9" s="26" t="n">
        <x:f>SUMIFS('Q1_单点组批'!$H$2:$H$19,'Q1_单点组批'!$B$2:$B$19,A9)</x:f>
        <x:v>6.152860129174582</x:v>
      </x:c>
      <x:c r="H9" s="24" t="n">
        <x:f>SUMIFS('Q1_单点组批'!$G$2:$G$19,'Q1_单点组批'!$B$2:$B$19,A9)</x:f>
        <x:v>1425.0547187724458</x:v>
      </x:c>
      <x:c r="I9" s="24" t="n">
        <x:f>SUMIFS('计算明细'!$F$2:$F$19,'Q1_单点组批'!$B$2:$B$19,A9)</x:f>
        <x:v>2301.054718772446</x:v>
      </x:c>
      <x:c r="J9" s="18" t="str">
        <x:f>COUNTIFS('Q1_单点组批'!$B$2:$B$19,A9,'Q1_单点组批'!$C$2:$C$19,"A")&amp;" / "&amp;COUNTIFS('Q1_单点组批'!$B$2:$B$19,A9,'Q1_单点组批'!$C$2:$C$19,"B")&amp;" / "&amp;COUNTIFS('Q1_单点组批'!$B$2:$B$19,A9,'Q1_单点组批'!$C$2:$C$19,"C")</x:f>
        <x:v>0 / 0 / 1</x:v>
      </x:c>
      <x:c r="K9" s="24" t="n">
        <x:f>MIN('Q1_单点组批'!I8)</x:f>
        <x:v>23.089248385317727</x:v>
      </x:c>
    </x:row>
    <x:row r="10" ht="27" customHeight="1">
      <x:c r="A10" s="2" t="str">
        <x:v>S005</x:v>
      </x:c>
      <x:c r="B10" s="2" t="str">
        <x:v>上良、古律、那麓</x:v>
      </x:c>
      <x:c r="C10" s="17" t="n">
        <x:f>SUMIFS('计算明细'!$C$2:$C$19,'Q1_单点组批'!$B$2:$B$19,A10)</x:f>
        <x:v>6</x:v>
      </x:c>
      <x:c r="D10" s="17" t="n">
        <x:f>COUNTIFS('Q1_单点组批'!$B$2:$B$19,A10)</x:f>
        <x:v>1</x:v>
      </x:c>
      <x:c r="E10" s="19" t="n">
        <x:f>SUMIFS('Q1_单点组批'!$E$2:$E$19,'Q1_单点组批'!$B$2:$B$19,A10)</x:f>
        <x:v>59</x:v>
      </x:c>
      <x:c r="F10" s="21" t="n">
        <x:f>SUMIFS('Q1_单点组批'!$F$2:$F$19,'Q1_单点组批'!$B$2:$B$19,A10)</x:f>
        <x:v>0.156</x:v>
      </x:c>
      <x:c r="G10" s="25" t="n">
        <x:f>SUMIFS('Q1_单点组批'!$H$2:$H$19,'Q1_单点组批'!$B$2:$B$19,A10)</x:f>
        <x:v>4.222137373445114</x:v>
      </x:c>
      <x:c r="H10" s="23" t="n">
        <x:f>SUMIFS('Q1_单点组批'!$G$2:$G$19,'Q1_单点组批'!$B$2:$B$19,A10)</x:f>
        <x:v>1001.1887154914712</x:v>
      </x:c>
      <x:c r="I10" s="23" t="n">
        <x:f>SUMIFS('计算明细'!$F$2:$F$19,'Q1_单点组批'!$B$2:$B$19,A10)</x:f>
        <x:v>1877.1887154914712</x:v>
      </x:c>
      <x:c r="J10" s="17" t="str">
        <x:f>COUNTIFS('Q1_单点组批'!$B$2:$B$19,A10,'Q1_单点组批'!$C$2:$C$19,"A")&amp;" / "&amp;COUNTIFS('Q1_单点组批'!$B$2:$B$19,A10,'Q1_单点组批'!$C$2:$C$19,"B")&amp;" / "&amp;COUNTIFS('Q1_单点组批'!$B$2:$B$19,A10,'Q1_单点组批'!$C$2:$C$19,"C")</x:f>
        <x:v>0 / 0 / 1</x:v>
      </x:c>
      <x:c r="K10" s="23" t="n">
        <x:f>MIN('Q1_单点组批'!I9)</x:f>
        <x:v>47.223282831936075</x:v>
      </x:c>
    </x:row>
    <x:row r="11" ht="27" customHeight="1">
      <x:c r="A11" s="10" t="str">
        <x:v>S006</x:v>
      </x:c>
      <x:c r="B11" s="10" t="str">
        <x:v>六昌、木路</x:v>
      </x:c>
      <x:c r="C11" s="18" t="n">
        <x:f>SUMIFS('计算明细'!$C$2:$C$19,'Q1_单点组批'!$B$2:$B$19,A11)</x:f>
        <x:v>6</x:v>
      </x:c>
      <x:c r="D11" s="18" t="n">
        <x:f>COUNTIFS('Q1_单点组批'!$B$2:$B$19,A11)</x:f>
        <x:v>1</x:v>
      </x:c>
      <x:c r="E11" s="20" t="n">
        <x:f>SUMIFS('Q1_单点组批'!$E$2:$E$19,'Q1_单点组批'!$B$2:$B$19,A11)</x:f>
        <x:v>59</x:v>
      </x:c>
      <x:c r="F11" s="22" t="n">
        <x:f>SUMIFS('Q1_单点组批'!$F$2:$F$19,'Q1_单点组批'!$B$2:$B$19,A11)</x:f>
        <x:v>0.156</x:v>
      </x:c>
      <x:c r="G11" s="26" t="n">
        <x:f>SUMIFS('Q1_单点组批'!$H$2:$H$19,'Q1_单点组批'!$B$2:$B$19,A11)</x:f>
        <x:v>2.5979362904386822</x:v>
      </x:c>
      <x:c r="H11" s="24" t="n">
        <x:f>SUMIFS('Q1_单点组批'!$G$2:$G$19,'Q1_单点组批'!$B$2:$B$19,A11)</x:f>
        <x:v>685.5526244866224</x:v>
      </x:c>
      <x:c r="I11" s="24" t="n">
        <x:f>SUMIFS('计算明细'!$F$2:$F$19,'Q1_单点组批'!$B$2:$B$19,A11)</x:f>
        <x:v>1561.5526244866223</x:v>
      </x:c>
      <x:c r="J11" s="18" t="str">
        <x:f>COUNTIFS('Q1_单点组批'!$B$2:$B$19,A11,'Q1_单点组批'!$C$2:$C$19,"A")&amp;" / "&amp;COUNTIFS('Q1_单点组批'!$B$2:$B$19,A11,'Q1_单点组批'!$C$2:$C$19,"B")&amp;" / "&amp;COUNTIFS('Q1_单点组批'!$B$2:$B$19,A11,'Q1_单点组批'!$C$2:$C$19,"C")</x:f>
        <x:v>0 / 0 / 1</x:v>
      </x:c>
      <x:c r="K11" s="24" t="n">
        <x:f>MIN('Q1_单点组批'!I10)</x:f>
        <x:v>67.52579636951648</x:v>
      </x:c>
    </x:row>
    <x:row r="12" ht="27" customHeight="1">
      <x:c r="A12" s="2" t="str">
        <x:v>S007</x:v>
      </x:c>
      <x:c r="B12" s="2" t="str">
        <x:v>佛子、那桑、银坑</x:v>
      </x:c>
      <x:c r="C12" s="17" t="n">
        <x:f>SUMIFS('计算明细'!$C$2:$C$19,'Q1_单点组批'!$B$2:$B$19,A12)</x:f>
        <x:v>5</x:v>
      </x:c>
      <x:c r="D12" s="17" t="n">
        <x:f>COUNTIFS('Q1_单点组批'!$B$2:$B$19,A12)</x:f>
        <x:v>1</x:v>
      </x:c>
      <x:c r="E12" s="19" t="n">
        <x:f>SUMIFS('Q1_单点组批'!$E$2:$E$19,'Q1_单点组批'!$B$2:$B$19,A12)</x:f>
        <x:v>45</x:v>
      </x:c>
      <x:c r="F12" s="21" t="n">
        <x:f>SUMIFS('Q1_单点组批'!$F$2:$F$19,'Q1_单点组批'!$B$2:$B$19,A12)</x:f>
        <x:v>0.129</x:v>
      </x:c>
      <x:c r="G12" s="25" t="n">
        <x:f>SUMIFS('Q1_单点组批'!$H$2:$H$19,'Q1_单点组批'!$B$2:$B$19,A12)</x:f>
        <x:v>3.4110038084433194</x:v>
      </x:c>
      <x:c r="H12" s="23" t="n">
        <x:f>SUMIFS('Q1_单点组批'!$G$2:$G$19,'Q1_单点组批'!$B$2:$B$19,A12)</x:f>
        <x:v>1097.600698410691</x:v>
      </x:c>
      <x:c r="I12" s="23" t="n">
        <x:f>SUMIFS('计算明细'!$F$2:$F$19,'Q1_单点组批'!$B$2:$B$19,A12)</x:f>
        <x:v>1907.600698410691</x:v>
      </x:c>
      <x:c r="J12" s="17" t="str">
        <x:f>COUNTIFS('Q1_单点组批'!$B$2:$B$19,A12,'Q1_单点组批'!$C$2:$C$19,"A")&amp;" / "&amp;COUNTIFS('Q1_单点组批'!$B$2:$B$19,A12,'Q1_单点组批'!$C$2:$C$19,"B")&amp;" / "&amp;COUNTIFS('Q1_单点组批'!$B$2:$B$19,A12,'Q1_单点组批'!$C$2:$C$19,"C")</x:f>
        <x:v>0 / 0 / 1</x:v>
      </x:c>
      <x:c r="K12" s="23" t="n">
        <x:f>MIN('Q1_单点组批'!I11)</x:f>
        <x:v>57.36245239445851</x:v>
      </x:c>
    </x:row>
    <x:row r="13" ht="27" customHeight="1">
      <x:c r="A13" s="10" t="str">
        <x:v>S008</x:v>
      </x:c>
      <x:c r="B13" s="10" t="str">
        <x:v>古麻、大站</x:v>
      </x:c>
      <x:c r="C13" s="18" t="n">
        <x:f>SUMIFS('计算明细'!$C$2:$C$19,'Q1_单点组批'!$B$2:$B$19,A13)</x:f>
        <x:v>5</x:v>
      </x:c>
      <x:c r="D13" s="18" t="n">
        <x:f>COUNTIFS('Q1_单点组批'!$B$2:$B$19,A13)</x:f>
        <x:v>1</x:v>
      </x:c>
      <x:c r="E13" s="20" t="n">
        <x:f>SUMIFS('Q1_单点组批'!$E$2:$E$19,'Q1_单点组批'!$B$2:$B$19,A13)</x:f>
        <x:v>45</x:v>
      </x:c>
      <x:c r="F13" s="22" t="n">
        <x:f>SUMIFS('Q1_单点组批'!$F$2:$F$19,'Q1_单点组批'!$B$2:$B$19,A13)</x:f>
        <x:v>0.129</x:v>
      </x:c>
      <x:c r="G13" s="26" t="n">
        <x:f>SUMIFS('Q1_单点组批'!$H$2:$H$19,'Q1_单点组批'!$B$2:$B$19,A13)</x:f>
        <x:v>5.836020667966359</x:v>
      </x:c>
      <x:c r="H13" s="24" t="n">
        <x:f>SUMIFS('Q1_单点组批'!$G$2:$G$19,'Q1_单点组批'!$B$2:$B$19,A13)</x:f>
        <x:v>1389.7115246008332</x:v>
      </x:c>
      <x:c r="I13" s="24" t="n">
        <x:f>SUMIFS('计算明细'!$F$2:$F$19,'Q1_单点组批'!$B$2:$B$19,A13)</x:f>
        <x:v>2199.7115246008334</x:v>
      </x:c>
      <x:c r="J13" s="18" t="str">
        <x:f>COUNTIFS('Q1_单点组批'!$B$2:$B$19,A13,'Q1_单点组批'!$C$2:$C$19,"A")&amp;" / "&amp;COUNTIFS('Q1_单点组批'!$B$2:$B$19,A13,'Q1_单点组批'!$C$2:$C$19,"B")&amp;" / "&amp;COUNTIFS('Q1_单点组批'!$B$2:$B$19,A13,'Q1_单点组批'!$C$2:$C$19,"C")</x:f>
        <x:v>0 / 0 / 1</x:v>
      </x:c>
      <x:c r="K13" s="24" t="n">
        <x:f>MIN('Q1_单点组批'!I12)</x:f>
        <x:v>27.04974165042051</x:v>
      </x:c>
    </x:row>
    <x:row r="14" ht="27" customHeight="1">
      <x:c r="A14" s="2" t="str">
        <x:v>S009</x:v>
      </x:c>
      <x:c r="B14" s="2" t="str">
        <x:v>那龙</x:v>
      </x:c>
      <x:c r="C14" s="17" t="n">
        <x:f>SUMIFS('计算明细'!$C$2:$C$19,'Q1_单点组批'!$B$2:$B$19,A14)</x:f>
        <x:v>3</x:v>
      </x:c>
      <x:c r="D14" s="17" t="n">
        <x:f>COUNTIFS('Q1_单点组批'!$B$2:$B$19,A14)</x:f>
        <x:v>1</x:v>
      </x:c>
      <x:c r="E14" s="19" t="n">
        <x:f>SUMIFS('Q1_单点组批'!$E$2:$E$19,'Q1_单点组批'!$B$2:$B$19,A14)</x:f>
        <x:v>25</x:v>
      </x:c>
      <x:c r="F14" s="21" t="n">
        <x:f>SUMIFS('Q1_单点组批'!$F$2:$F$19,'Q1_单点组批'!$B$2:$B$19,A14)</x:f>
        <x:v>0.067</x:v>
      </x:c>
      <x:c r="G14" s="25" t="n">
        <x:f>SUMIFS('Q1_单点组批'!$H$2:$H$19,'Q1_单点组批'!$B$2:$B$19,A14)</x:f>
        <x:v>2.0962654017373348</x:v>
      </x:c>
      <x:c r="H14" s="23" t="n">
        <x:f>SUMIFS('Q1_单点组批'!$G$2:$G$19,'Q1_单点组批'!$B$2:$B$19,A14)</x:f>
        <x:v>928.4628643343575</x:v>
      </x:c>
      <x:c r="I14" s="23" t="n">
        <x:f>SUMIFS('计算明细'!$F$2:$F$19,'Q1_单点组批'!$B$2:$B$19,A14)</x:f>
        <x:v>1558.4628643343576</x:v>
      </x:c>
      <x:c r="J14" s="17" t="str">
        <x:f>COUNTIFS('Q1_单点组批'!$B$2:$B$19,A14,'Q1_单点组批'!$C$2:$C$19,"A")&amp;" / "&amp;COUNTIFS('Q1_单点组批'!$B$2:$B$19,A14,'Q1_单点组批'!$C$2:$C$19,"B")&amp;" / "&amp;COUNTIFS('Q1_单点组批'!$B$2:$B$19,A14,'Q1_单点组批'!$C$2:$C$19,"C")</x:f>
        <x:v>0 / 1 / 0</x:v>
      </x:c>
      <x:c r="K14" s="23" t="n">
        <x:f>MIN('Q1_单点组批'!I13)</x:f>
        <x:v>47.59336495656663</x:v>
      </x:c>
    </x:row>
    <x:row r="15" ht="27" customHeight="1">
      <x:c r="A15" s="10" t="str">
        <x:v>S010</x:v>
      </x:c>
      <x:c r="B15" s="10" t="str">
        <x:v>镇龙乡</x:v>
      </x:c>
      <x:c r="C15" s="18" t="n">
        <x:f>SUMIFS('计算明细'!$C$2:$C$19,'Q1_单点组批'!$B$2:$B$19,A15)</x:f>
        <x:v>3</x:v>
      </x:c>
      <x:c r="D15" s="18" t="n">
        <x:f>COUNTIFS('Q1_单点组批'!$B$2:$B$19,A15)</x:f>
        <x:v>1</x:v>
      </x:c>
      <x:c r="E15" s="20" t="n">
        <x:f>SUMIFS('Q1_单点组批'!$E$2:$E$19,'Q1_单点组批'!$B$2:$B$19,A15)</x:f>
        <x:v>25</x:v>
      </x:c>
      <x:c r="F15" s="22" t="n">
        <x:f>SUMIFS('Q1_单点组批'!$F$2:$F$19,'Q1_单点组批'!$B$2:$B$19,A15)</x:f>
        <x:v>0.067</x:v>
      </x:c>
      <x:c r="G15" s="26" t="n">
        <x:f>SUMIFS('Q1_单点组批'!$H$2:$H$19,'Q1_单点组批'!$B$2:$B$19,A15)</x:f>
        <x:v>1.8232165642314142</x:v>
      </x:c>
      <x:c r="H15" s="24" t="n">
        <x:f>SUMIFS('Q1_单点组批'!$G$2:$G$19,'Q1_单点组批'!$B$2:$B$19,A15)</x:f>
        <x:v>925.4035197802174</x:v>
      </x:c>
      <x:c r="I15" s="24" t="n">
        <x:f>SUMIFS('计算明细'!$F$2:$F$19,'Q1_单点组批'!$B$2:$B$19,A15)</x:f>
        <x:v>1555.4035197802173</x:v>
      </x:c>
      <x:c r="J15" s="18" t="str">
        <x:f>COUNTIFS('Q1_单点组批'!$B$2:$B$19,A15,'Q1_单点组批'!$C$2:$C$19,"A")&amp;" / "&amp;COUNTIFS('Q1_单点组批'!$B$2:$B$19,A15,'Q1_单点组批'!$C$2:$C$19,"B")&amp;" / "&amp;COUNTIFS('Q1_单点组批'!$B$2:$B$19,A15,'Q1_单点组批'!$C$2:$C$19,"C")</x:f>
        <x:v>0 / 1 / 0</x:v>
      </x:c>
      <x:c r="K15" s="24" t="n">
        <x:f>MIN('Q1_单点组批'!I14)</x:f>
        <x:v>54.41958589421465</x:v>
      </x:c>
    </x:row>
    <x:row r="16" ht="27" customHeight="1">
      <x:c r="A16" s="2" t="str">
        <x:v>S011</x:v>
      </x:c>
      <x:c r="B16" s="2" t="str">
        <x:v>那从</x:v>
      </x:c>
      <x:c r="C16" s="17" t="n">
        <x:f>SUMIFS('计算明细'!$C$2:$C$19,'Q1_单点组批'!$B$2:$B$19,A16)</x:f>
        <x:v>3</x:v>
      </x:c>
      <x:c r="D16" s="17" t="n">
        <x:f>COUNTIFS('Q1_单点组批'!$B$2:$B$19,A16)</x:f>
        <x:v>1</x:v>
      </x:c>
      <x:c r="E16" s="19" t="n">
        <x:f>SUMIFS('Q1_单点组批'!$E$2:$E$19,'Q1_单点组批'!$B$2:$B$19,A16)</x:f>
        <x:v>25</x:v>
      </x:c>
      <x:c r="F16" s="21" t="n">
        <x:f>SUMIFS('Q1_单点组批'!$F$2:$F$19,'Q1_单点组批'!$B$2:$B$19,A16)</x:f>
        <x:v>0.067</x:v>
      </x:c>
      <x:c r="G16" s="25" t="n">
        <x:f>SUMIFS('Q1_单点组批'!$H$2:$H$19,'Q1_单点组批'!$B$2:$B$19,A16)</x:f>
        <x:v>1.0739366863951034</x:v>
      </x:c>
      <x:c r="H16" s="23" t="n">
        <x:f>SUMIFS('Q1_单点组批'!$G$2:$G$19,'Q1_单点组批'!$B$2:$B$19,A16)</x:f>
        <x:v>558.4247628605204</x:v>
      </x:c>
      <x:c r="I16" s="23" t="n">
        <x:f>SUMIFS('计算明细'!$F$2:$F$19,'Q1_单点组批'!$B$2:$B$19,A16)</x:f>
        <x:v>1188.4247628605203</x:v>
      </x:c>
      <x:c r="J16" s="17" t="str">
        <x:f>COUNTIFS('Q1_单点组批'!$B$2:$B$19,A16,'Q1_单点组批'!$C$2:$C$19,"A")&amp;" / "&amp;COUNTIFS('Q1_单点组批'!$B$2:$B$19,A16,'Q1_单点组批'!$C$2:$C$19,"B")&amp;" / "&amp;COUNTIFS('Q1_单点组批'!$B$2:$B$19,A16,'Q1_单点组批'!$C$2:$C$19,"C")</x:f>
        <x:v>0 / 1 / 0</x:v>
      </x:c>
      <x:c r="K16" s="23" t="n">
        <x:f>MIN('Q1_单点组批'!I15)</x:f>
        <x:v>73.15158284012242</x:v>
      </x:c>
    </x:row>
    <x:row r="17" ht="27" customHeight="1">
      <x:c r="A17" s="10" t="str">
        <x:v>S012</x:v>
      </x:c>
      <x:c r="B17" s="10" t="str">
        <x:v>镇龙乡</x:v>
      </x:c>
      <x:c r="C17" s="18" t="n">
        <x:f>SUMIFS('计算明细'!$C$2:$C$19,'Q1_单点组批'!$B$2:$B$19,A17)</x:f>
        <x:v>3</x:v>
      </x:c>
      <x:c r="D17" s="18" t="n">
        <x:f>COUNTIFS('Q1_单点组批'!$B$2:$B$19,A17)</x:f>
        <x:v>1</x:v>
      </x:c>
      <x:c r="E17" s="20" t="n">
        <x:f>SUMIFS('Q1_单点组批'!$E$2:$E$19,'Q1_单点组批'!$B$2:$B$19,A17)</x:f>
        <x:v>25</x:v>
      </x:c>
      <x:c r="F17" s="22" t="n">
        <x:f>SUMIFS('Q1_单点组批'!$F$2:$F$19,'Q1_单点组批'!$B$2:$B$19,A17)</x:f>
        <x:v>0.067</x:v>
      </x:c>
      <x:c r="G17" s="26" t="n">
        <x:f>SUMIFS('Q1_单点组批'!$H$2:$H$19,'Q1_单点组批'!$B$2:$B$19,A17)</x:f>
        <x:v>2.7525999542899324</x:v>
      </x:c>
      <x:c r="H17" s="24" t="n">
        <x:f>SUMIFS('Q1_单点组批'!$G$2:$G$19,'Q1_单点组批'!$B$2:$B$19,A17)</x:f>
        <x:v>1292.826814149187</x:v>
      </x:c>
      <x:c r="I17" s="24" t="n">
        <x:f>SUMIFS('计算明细'!$F$2:$F$19,'Q1_单点组批'!$B$2:$B$19,A17)</x:f>
        <x:v>1922.826814149187</x:v>
      </x:c>
      <x:c r="J17" s="18" t="str">
        <x:f>COUNTIFS('Q1_单点组批'!$B$2:$B$19,A17,'Q1_单点组批'!$C$2:$C$19,"A")&amp;" / "&amp;COUNTIFS('Q1_单点组批'!$B$2:$B$19,A17,'Q1_单点组批'!$C$2:$C$19,"B")&amp;" / "&amp;COUNTIFS('Q1_单点组批'!$B$2:$B$19,A17,'Q1_单点组批'!$C$2:$C$19,"C")</x:f>
        <x:v>0 / 1 / 0</x:v>
      </x:c>
      <x:c r="K17" s="24" t="n">
        <x:f>MIN('Q1_单点组批'!I16)</x:f>
        <x:v>31.185001142751688</x:v>
      </x:c>
    </x:row>
    <x:row r="18" ht="27" customHeight="1">
      <x:c r="A18" s="2" t="str">
        <x:v>S013</x:v>
      </x:c>
      <x:c r="B18" s="2" t="str">
        <x:v>镇龙乡</x:v>
      </x:c>
      <x:c r="C18" s="17" t="n">
        <x:f>SUMIFS('计算明细'!$C$2:$C$19,'Q1_单点组批'!$B$2:$B$19,A18)</x:f>
        <x:v>3</x:v>
      </x:c>
      <x:c r="D18" s="17" t="n">
        <x:f>COUNTIFS('Q1_单点组批'!$B$2:$B$19,A18)</x:f>
        <x:v>1</x:v>
      </x:c>
      <x:c r="E18" s="19" t="n">
        <x:f>SUMIFS('Q1_单点组批'!$E$2:$E$19,'Q1_单点组批'!$B$2:$B$19,A18)</x:f>
        <x:v>25</x:v>
      </x:c>
      <x:c r="F18" s="21" t="n">
        <x:f>SUMIFS('Q1_单点组批'!$F$2:$F$19,'Q1_单点组批'!$B$2:$B$19,A18)</x:f>
        <x:v>0.067</x:v>
      </x:c>
      <x:c r="G18" s="25" t="n">
        <x:f>SUMIFS('Q1_单点组批'!$H$2:$H$19,'Q1_单点组批'!$B$2:$B$19,A18)</x:f>
        <x:v>1.8248281910807471</x:v>
      </x:c>
      <x:c r="H18" s="23" t="n">
        <x:f>SUMIFS('Q1_单点组批'!$G$2:$G$19,'Q1_单点组批'!$B$2:$B$19,A18)</x:f>
        <x:v>880.511588744525</x:v>
      </x:c>
      <x:c r="I18" s="23" t="n">
        <x:f>SUMIFS('计算明细'!$F$2:$F$19,'Q1_单点组批'!$B$2:$B$19,A18)</x:f>
        <x:v>1510.511588744525</x:v>
      </x:c>
      <x:c r="J18" s="17" t="str">
        <x:f>COUNTIFS('Q1_单点组批'!$B$2:$B$19,A18,'Q1_单点组批'!$C$2:$C$19,"A")&amp;" / "&amp;COUNTIFS('Q1_单点组批'!$B$2:$B$19,A18,'Q1_单点组批'!$C$2:$C$19,"B")&amp;" / "&amp;COUNTIFS('Q1_单点组批'!$B$2:$B$19,A18,'Q1_单点组批'!$C$2:$C$19,"C")</x:f>
        <x:v>0 / 1 / 0</x:v>
      </x:c>
      <x:c r="K18" s="23" t="n">
        <x:f>MIN('Q1_单点组批'!I17)</x:f>
        <x:v>54.37929522298133</x:v>
      </x:c>
    </x:row>
    <x:row r="19" ht="27" customHeight="1">
      <x:c r="A19" s="10" t="str">
        <x:v>S014</x:v>
      </x:c>
      <x:c r="B19" s="10" t="str">
        <x:v>镇龙乡</x:v>
      </x:c>
      <x:c r="C19" s="18" t="n">
        <x:f>SUMIFS('计算明细'!$C$2:$C$19,'Q1_单点组批'!$B$2:$B$19,A19)</x:f>
        <x:v>3</x:v>
      </x:c>
      <x:c r="D19" s="18" t="n">
        <x:f>COUNTIFS('Q1_单点组批'!$B$2:$B$19,A19)</x:f>
        <x:v>1</x:v>
      </x:c>
      <x:c r="E19" s="20" t="n">
        <x:f>SUMIFS('Q1_单点组批'!$E$2:$E$19,'Q1_单点组批'!$B$2:$B$19,A19)</x:f>
        <x:v>25</x:v>
      </x:c>
      <x:c r="F19" s="22" t="n">
        <x:f>SUMIFS('Q1_单点组批'!$F$2:$F$19,'Q1_单点组批'!$B$2:$B$19,A19)</x:f>
        <x:v>0.067</x:v>
      </x:c>
      <x:c r="G19" s="26" t="n">
        <x:f>SUMIFS('Q1_单点组批'!$H$2:$H$19,'Q1_单点组批'!$B$2:$B$19,A19)</x:f>
        <x:v>2.1402909781417883</x:v>
      </x:c>
      <x:c r="H19" s="24" t="n">
        <x:f>SUMIFS('Q1_单点组批'!$G$2:$G$19,'Q1_单点组批'!$B$2:$B$19,A19)</x:f>
        <x:v>1239.7476752786913</x:v>
      </x:c>
      <x:c r="I19" s="24" t="n">
        <x:f>SUMIFS('计算明细'!$F$2:$F$19,'Q1_单点组批'!$B$2:$B$19,A19)</x:f>
        <x:v>1869.7476752786913</x:v>
      </x:c>
      <x:c r="J19" s="18" t="str">
        <x:f>COUNTIFS('Q1_单点组批'!$B$2:$B$19,A19,'Q1_单点组批'!$C$2:$C$19,"A")&amp;" / "&amp;COUNTIFS('Q1_单点组批'!$B$2:$B$19,A19,'Q1_单点组批'!$C$2:$C$19,"B")&amp;" / "&amp;COUNTIFS('Q1_单点组批'!$B$2:$B$19,A19,'Q1_单点组批'!$C$2:$C$19,"C")</x:f>
        <x:v>0 / 1 / 0</x:v>
      </x:c>
      <x:c r="K19" s="24" t="n">
        <x:f>MIN('Q1_单点组批'!I18)</x:f>
        <x:v>46.49272554645529</x:v>
      </x:c>
    </x:row>
    <x:row r="20" ht="27" customHeight="1">
      <x:c r="A20" s="2" t="str">
        <x:v>S015</x:v>
      </x:c>
      <x:c r="B20" s="2" t="str">
        <x:v>六造、那托、那旭</x:v>
      </x:c>
      <x:c r="C20" s="17" t="n">
        <x:f>SUMIFS('计算明细'!$C$2:$C$19,'Q1_单点组批'!$B$2:$B$19,A20)</x:f>
        <x:v>3</x:v>
      </x:c>
      <x:c r="D20" s="17" t="n">
        <x:f>COUNTIFS('Q1_单点组批'!$B$2:$B$19,A20)</x:f>
        <x:v>1</x:v>
      </x:c>
      <x:c r="E20" s="19" t="n">
        <x:f>SUMIFS('Q1_单点组批'!$E$2:$E$19,'Q1_单点组批'!$B$2:$B$19,A20)</x:f>
        <x:v>25</x:v>
      </x:c>
      <x:c r="F20" s="21" t="n">
        <x:f>SUMIFS('Q1_单点组批'!$F$2:$F$19,'Q1_单点组批'!$B$2:$B$19,A20)</x:f>
        <x:v>0.067</x:v>
      </x:c>
      <x:c r="G20" s="25" t="n">
        <x:f>SUMIFS('Q1_单点组批'!$H$2:$H$19,'Q1_单点组批'!$B$2:$B$19,A20)</x:f>
        <x:v>2.307528505752516</x:v>
      </x:c>
      <x:c r="H20" s="23" t="n">
        <x:f>SUMIFS('Q1_单点组批'!$G$2:$G$19,'Q1_单点组批'!$B$2:$B$19,A20)</x:f>
        <x:v>1198.3275601736595</x:v>
      </x:c>
      <x:c r="I20" s="23" t="n">
        <x:f>SUMIFS('计算明细'!$F$2:$F$19,'Q1_单点组批'!$B$2:$B$19,A20)</x:f>
        <x:v>1828.3275601736595</x:v>
      </x:c>
      <x:c r="J20" s="17" t="str">
        <x:f>COUNTIFS('Q1_单点组批'!$B$2:$B$19,A20,'Q1_单点组批'!$C$2:$C$19,"A")&amp;" / "&amp;COUNTIFS('Q1_单点组批'!$B$2:$B$19,A20,'Q1_单点组批'!$C$2:$C$19,"B")&amp;" / "&amp;COUNTIFS('Q1_单点组批'!$B$2:$B$19,A20,'Q1_单点组批'!$C$2:$C$19,"C")</x:f>
        <x:v>0 / 1 / 0</x:v>
      </x:c>
      <x:c r="K20" s="23" t="n">
        <x:f>MIN('Q1_单点组批'!I19)</x:f>
        <x:v>42.311787356187104</x:v>
      </x:c>
    </x:row>
    <x:row r="21" ht="27" customHeight="1">
      <x:c r="A21" s="33" t="str">
        <x:v>合计</x:v>
      </x:c>
      <x:c r="B21" s="33"/>
      <x:c r="C21" s="34" t="n">
        <x:f>SUM(C6:C20)</x:f>
        <x:v>80</x:v>
      </x:c>
      <x:c r="D21" s="34" t="n">
        <x:f>SUM(D6:D20)</x:f>
        <x:v>18</x:v>
      </x:c>
      <x:c r="E21" s="35" t="n">
        <x:f>SUM(E6:E20)</x:f>
        <x:v>758</x:v>
      </x:c>
      <x:c r="F21" s="36" t="n">
        <x:f>SUM(F6:F20)</x:f>
        <x:v>2.0109999999999997</x:v>
      </x:c>
      <x:c r="G21" s="37" t="n">
        <x:f>SUM(G6:G20)</x:f>
        <x:v>59.13226032599276</x:v>
      </x:c>
      <x:c r="H21" s="38" t="n">
        <x:f>SUM(H6:H20)</x:f>
        <x:v>19288.5167822769</x:v>
      </x:c>
      <x:c r="I21" s="38" t="n">
        <x:f>SUM(I6:I20)</x:f>
        <x:v>32776.51678227689</x:v>
      </x:c>
      <x:c r="J21" s="34" t="str">
        <x:f>COUNTIFS('Q1_单点组批'!$C$2:$C$19,"A")&amp;" / "&amp;COUNTIFS('Q1_单点组批'!$C$2:$C$19,"B")&amp;" / "&amp;COUNTIFS('Q1_单点组批'!$C$2:$C$19,"C")</x:f>
        <x:v>0 / 9 / 9</x:v>
      </x:c>
      <x:c r="K21" s="38" t="n">
        <x:f>MIN('Q1_单点组批'!$I$2:$I$19)</x:f>
        <x:v>23.089248385317727</x:v>
      </x:c>
    </x:row>
    <x:row r="22" ht="27" customHeight="1">
      <x:c r="A22" s="2"/>
      <x:c r="B22" s="2"/>
      <x:c r="C22" s="2"/>
      <x:c r="D22" s="2"/>
      <x:c r="E22" s="2"/>
      <x:c r="F22" s="2"/>
      <x:c r="G22" s="2"/>
      <x:c r="H22" s="2"/>
      <x:c r="I22" s="2"/>
      <x:c r="J22" s="2"/>
      <x:c r="K22" s="2"/>
    </x:row>
    <x:row r="23" ht="27" customHeight="1">
      <x:c r="A23" s="2"/>
      <x:c r="B23" s="2"/>
      <x:c r="C23" s="2"/>
      <x:c r="D23" s="2"/>
      <x:c r="E23" s="2"/>
      <x:c r="F23" s="2"/>
      <x:c r="G23" s="2"/>
      <x:c r="H23" s="2"/>
      <x:c r="I23" s="2"/>
      <x:c r="J23" s="2"/>
      <x:c r="K23" s="2"/>
    </x:row>
    <x:row r="24" ht="31" customHeight="1">
      <x:c r="A24" s="30" t="str">
        <x:v>各机型最大安全载荷</x:v>
      </x:c>
      <x:c r="B24" s="2"/>
      <x:c r="C24" s="2"/>
      <x:c r="D24" s="2"/>
      <x:c r="E24" s="2"/>
      <x:c r="F24" s="2"/>
      <x:c r="G24" s="2"/>
      <x:c r="H24" s="2"/>
      <x:c r="I24" s="2"/>
      <x:c r="J24" s="2"/>
      <x:c r="K24" s="2"/>
    </x:row>
    <x:row r="25" ht="27" customHeight="1">
      <x:c r="A25" s="2"/>
      <x:c r="B25" s="2"/>
      <x:c r="C25" s="2"/>
      <x:c r="D25" s="2"/>
      <x:c r="E25" s="2"/>
      <x:c r="F25" s="2"/>
      <x:c r="G25" s="2"/>
      <x:c r="H25" s="2"/>
      <x:c r="I25" s="2"/>
      <x:c r="J25" s="2"/>
      <x:c r="K25" s="2"/>
    </x:row>
    <x:row r="26" ht="50" customHeight="1">
      <x:c r="A26" s="7" t="str">
        <x:v>服务区编号</x:v>
      </x:c>
      <x:c r="B26" s="8" t="str">
        <x:v>A型（kg）</x:v>
      </x:c>
      <x:c r="C26" s="8" t="str">
        <x:v>B型（kg）</x:v>
      </x:c>
      <x:c r="D26" s="8" t="str">
        <x:v>C型（kg）</x:v>
      </x:c>
      <x:c r="E26" s="9" t="str">
        <x:v>SOC下限（%）</x:v>
      </x:c>
      <x:c r="F26" s="2"/>
      <x:c r="G26" s="2"/>
      <x:c r="H26" s="2"/>
      <x:c r="I26" s="2"/>
      <x:c r="J26" s="2"/>
      <x:c r="K26" s="2"/>
    </x:row>
    <x:row r="27" ht="27" customHeight="1">
      <x:c r="A27" s="2" t="str">
        <x:v>S001</x:v>
      </x:c>
      <x:c r="B27" s="21" t="n">
        <x:v>25</x:v>
      </x:c>
      <x:c r="C27" s="21" t="n">
        <x:v>30</x:v>
      </x:c>
      <x:c r="D27" s="21" t="n">
        <x:v>80</x:v>
      </x:c>
      <x:c r="E27" s="17" t="n">
        <x:v>20</x:v>
      </x:c>
      <x:c r="F27" s="2"/>
      <x:c r="G27" s="2"/>
      <x:c r="H27" s="2"/>
      <x:c r="I27" s="2"/>
      <x:c r="J27" s="2"/>
      <x:c r="K27" s="2"/>
    </x:row>
    <x:row r="28" ht="27" customHeight="1">
      <x:c r="A28" s="10" t="str">
        <x:v>S002</x:v>
      </x:c>
      <x:c r="B28" s="22" t="n">
        <x:v>25</x:v>
      </x:c>
      <x:c r="C28" s="22" t="n">
        <x:v>30</x:v>
      </x:c>
      <x:c r="D28" s="22" t="n">
        <x:v>68.85810375213623</x:v>
      </x:c>
      <x:c r="E28" s="18" t="n">
        <x:v>20</x:v>
      </x:c>
      <x:c r="F28" s="2"/>
      <x:c r="G28" s="2"/>
      <x:c r="H28" s="2"/>
      <x:c r="I28" s="2"/>
      <x:c r="J28" s="2"/>
      <x:c r="K28" s="2"/>
    </x:row>
    <x:row r="29" ht="27" customHeight="1">
      <x:c r="A29" s="2" t="str">
        <x:v>S003</x:v>
      </x:c>
      <x:c r="B29" s="21" t="n">
        <x:v>25</x:v>
      </x:c>
      <x:c r="C29" s="21" t="n">
        <x:v>30</x:v>
      </x:c>
      <x:c r="D29" s="21" t="n">
        <x:v>68.1995415687561</x:v>
      </x:c>
      <x:c r="E29" s="17" t="n">
        <x:v>20</x:v>
      </x:c>
      <x:c r="F29" s="2"/>
      <x:c r="G29" s="2"/>
      <x:c r="H29" s="2"/>
      <x:c r="I29" s="2"/>
      <x:c r="J29" s="2"/>
      <x:c r="K29" s="2"/>
    </x:row>
    <x:row r="30" ht="27" customHeight="1">
      <x:c r="A30" s="10" t="str">
        <x:v>S004</x:v>
      </x:c>
      <x:c r="B30" s="22" t="n">
        <x:v>25</x:v>
      </x:c>
      <x:c r="C30" s="22" t="n">
        <x:v>30</x:v>
      </x:c>
      <x:c r="D30" s="22" t="n">
        <x:v>63.69825065135956</x:v>
      </x:c>
      <x:c r="E30" s="18" t="n">
        <x:v>20</x:v>
      </x:c>
      <x:c r="F30" s="2"/>
      <x:c r="G30" s="2"/>
      <x:c r="H30" s="2"/>
      <x:c r="I30" s="2"/>
      <x:c r="J30" s="2"/>
      <x:c r="K30" s="2"/>
    </x:row>
    <x:row r="31" ht="27" customHeight="1">
      <x:c r="A31" s="2" t="str">
        <x:v>S005</x:v>
      </x:c>
      <x:c r="B31" s="21" t="n">
        <x:v>25</x:v>
      </x:c>
      <x:c r="C31" s="21" t="n">
        <x:v>30</x:v>
      </x:c>
      <x:c r="D31" s="21" t="n">
        <x:v>80</x:v>
      </x:c>
      <x:c r="E31" s="17" t="n">
        <x:v>20</x:v>
      </x:c>
      <x:c r="F31" s="2"/>
      <x:c r="G31" s="2"/>
      <x:c r="H31" s="2"/>
      <x:c r="I31" s="2"/>
      <x:c r="J31" s="2"/>
      <x:c r="K31" s="2"/>
    </x:row>
    <x:row r="32" ht="27" customHeight="1">
      <x:c r="A32" s="10" t="str">
        <x:v>S006</x:v>
      </x:c>
      <x:c r="B32" s="22" t="n">
        <x:v>25</x:v>
      </x:c>
      <x:c r="C32" s="22" t="n">
        <x:v>30</x:v>
      </x:c>
      <x:c r="D32" s="22" t="n">
        <x:v>80</x:v>
      </x:c>
      <x:c r="E32" s="18" t="n">
        <x:v>20</x:v>
      </x:c>
      <x:c r="F32" s="2"/>
      <x:c r="G32" s="2"/>
      <x:c r="H32" s="2"/>
      <x:c r="I32" s="2"/>
      <x:c r="J32" s="2"/>
      <x:c r="K32" s="2"/>
    </x:row>
    <x:row r="33" ht="27" customHeight="1">
      <x:c r="A33" s="2" t="str">
        <x:v>S007</x:v>
      </x:c>
      <x:c r="B33" s="21" t="n">
        <x:v>25</x:v>
      </x:c>
      <x:c r="C33" s="21" t="n">
        <x:v>30</x:v>
      </x:c>
      <x:c r="D33" s="21" t="n">
        <x:v>80</x:v>
      </x:c>
      <x:c r="E33" s="17" t="n">
        <x:v>20</x:v>
      </x:c>
      <x:c r="F33" s="2"/>
      <x:c r="G33" s="2"/>
      <x:c r="H33" s="2"/>
      <x:c r="I33" s="2"/>
      <x:c r="J33" s="2"/>
      <x:c r="K33" s="2"/>
    </x:row>
    <x:row r="34" ht="27" customHeight="1">
      <x:c r="A34" s="10" t="str">
        <x:v>S008</x:v>
      </x:c>
      <x:c r="B34" s="22" t="n">
        <x:v>25</x:v>
      </x:c>
      <x:c r="C34" s="22" t="n">
        <x:v>28.80136013031006</x:v>
      </x:c>
      <x:c r="D34" s="22" t="n">
        <x:v>58.904165625572205</x:v>
      </x:c>
      <x:c r="E34" s="18" t="n">
        <x:v>20</x:v>
      </x:c>
      <x:c r="F34" s="2"/>
      <x:c r="G34" s="2"/>
      <x:c r="H34" s="2"/>
      <x:c r="I34" s="2"/>
      <x:c r="J34" s="2"/>
      <x:c r="K34" s="2"/>
    </x:row>
    <x:row r="35" ht="27" customHeight="1">
      <x:c r="A35" s="2" t="str">
        <x:v>S009</x:v>
      </x:c>
      <x:c r="B35" s="21" t="n">
        <x:v>25</x:v>
      </x:c>
      <x:c r="C35" s="21" t="n">
        <x:v>30</x:v>
      </x:c>
      <x:c r="D35" s="21" t="n">
        <x:v>80</x:v>
      </x:c>
      <x:c r="E35" s="17" t="n">
        <x:v>20</x:v>
      </x:c>
      <x:c r="F35" s="2"/>
      <x:c r="G35" s="2"/>
      <x:c r="H35" s="2"/>
      <x:c r="I35" s="2"/>
      <x:c r="J35" s="2"/>
      <x:c r="K35" s="2"/>
    </x:row>
    <x:row r="36" ht="27" customHeight="1">
      <x:c r="A36" s="10" t="str">
        <x:v>S010</x:v>
      </x:c>
      <x:c r="B36" s="22" t="n">
        <x:v>25</x:v>
      </x:c>
      <x:c r="C36" s="22" t="n">
        <x:v>30</x:v>
      </x:c>
      <x:c r="D36" s="22" t="n">
        <x:v>80</x:v>
      </x:c>
      <x:c r="E36" s="18" t="n">
        <x:v>20</x:v>
      </x:c>
      <x:c r="F36" s="2"/>
      <x:c r="G36" s="2"/>
      <x:c r="H36" s="2"/>
      <x:c r="I36" s="2"/>
      <x:c r="J36" s="2"/>
      <x:c r="K36" s="2"/>
    </x:row>
    <x:row r="37" ht="27" customHeight="1">
      <x:c r="A37" s="2" t="str">
        <x:v>S011</x:v>
      </x:c>
      <x:c r="B37" s="21" t="n">
        <x:v>25</x:v>
      </x:c>
      <x:c r="C37" s="21" t="n">
        <x:v>30</x:v>
      </x:c>
      <x:c r="D37" s="21" t="n">
        <x:v>80</x:v>
      </x:c>
      <x:c r="E37" s="17" t="n">
        <x:v>20</x:v>
      </x:c>
      <x:c r="F37" s="2"/>
      <x:c r="G37" s="2"/>
      <x:c r="H37" s="2"/>
      <x:c r="I37" s="2"/>
      <x:c r="J37" s="2"/>
      <x:c r="K37" s="2"/>
    </x:row>
    <x:row r="38" ht="27" customHeight="1">
      <x:c r="A38" s="10" t="str">
        <x:v>S012</x:v>
      </x:c>
      <x:c r="B38" s="22" t="n">
        <x:v>25</x:v>
      </x:c>
      <x:c r="C38" s="22" t="n">
        <x:v>30</x:v>
      </x:c>
      <x:c r="D38" s="22" t="n">
        <x:v>68.1097400188446</x:v>
      </x:c>
      <x:c r="E38" s="18" t="n">
        <x:v>20</x:v>
      </x:c>
      <x:c r="F38" s="2"/>
      <x:c r="G38" s="2"/>
      <x:c r="H38" s="2"/>
      <x:c r="I38" s="2"/>
      <x:c r="J38" s="2"/>
      <x:c r="K38" s="2"/>
    </x:row>
    <x:row r="39" ht="27" customHeight="1">
      <x:c r="A39" s="2" t="str">
        <x:v>S013</x:v>
      </x:c>
      <x:c r="B39" s="21" t="n">
        <x:v>25</x:v>
      </x:c>
      <x:c r="C39" s="21" t="n">
        <x:v>30</x:v>
      </x:c>
      <x:c r="D39" s="21" t="n">
        <x:v>80</x:v>
      </x:c>
      <x:c r="E39" s="17" t="n">
        <x:v>20</x:v>
      </x:c>
      <x:c r="F39" s="2"/>
      <x:c r="G39" s="2"/>
      <x:c r="H39" s="2"/>
      <x:c r="I39" s="2"/>
      <x:c r="J39" s="2"/>
      <x:c r="K39" s="2"/>
    </x:row>
    <x:row r="40" ht="27" customHeight="1">
      <x:c r="A40" s="10" t="str">
        <x:v>S014</x:v>
      </x:c>
      <x:c r="B40" s="22" t="n">
        <x:v>25</x:v>
      </x:c>
      <x:c r="C40" s="22" t="n">
        <x:v>30</x:v>
      </x:c>
      <x:c r="D40" s="22" t="n">
        <x:v>80</x:v>
      </x:c>
      <x:c r="E40" s="18" t="n">
        <x:v>20</x:v>
      </x:c>
      <x:c r="F40" s="2"/>
      <x:c r="G40" s="2"/>
      <x:c r="H40" s="2"/>
      <x:c r="I40" s="2"/>
      <x:c r="J40" s="2"/>
      <x:c r="K40" s="2"/>
    </x:row>
    <x:row r="41" ht="27" customHeight="1">
      <x:c r="A41" s="2" t="str">
        <x:v>S015</x:v>
      </x:c>
      <x:c r="B41" s="21" t="n">
        <x:v>25</x:v>
      </x:c>
      <x:c r="C41" s="21" t="n">
        <x:v>30</x:v>
      </x:c>
      <x:c r="D41" s="21" t="n">
        <x:v>80</x:v>
      </x:c>
      <x:c r="E41" s="17" t="n">
        <x:v>20</x:v>
      </x:c>
      <x:c r="F41" s="2"/>
      <x:c r="G41" s="2"/>
      <x:c r="H41" s="2"/>
      <x:c r="I41" s="2"/>
      <x:c r="J41" s="2"/>
      <x:c r="K41" s="2"/>
    </x:row>
    <x:row r="42" ht="27" customHeight="1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</x:row>
    <x:row r="43" ht="27" customHeight="1">
      <x:c r="A43" s="31" t="str">
        <x:v>安全载荷是连续质量上限；实际装箱还受不可拆分与体积约束。详细参数及能耗假设见“计算明细”。</x:v>
      </x:c>
      <x:c r="B43" s="2"/>
      <x:c r="C43" s="2"/>
      <x:c r="D43" s="2"/>
      <x:c r="E43" s="2"/>
      <x:c r="F43" s="2"/>
      <x:c r="G43" s="2"/>
      <x:c r="H43" s="2"/>
      <x:c r="I43" s="2"/>
      <x:c r="J43" s="2"/>
      <x:c r="K43" s="2"/>
    </x:row>
    <x:row r="44" ht="27" customHeight="1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</x:row>
    <x:row r="45" ht="27" customHeight="1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</x:row>
    <x:row r="46" ht="27" customHeight="1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xSplit="3" ySplit="1" topLeftCell="D2" activePane="bottomRight" state="frozen"/>
    </x:sheetView>
  </x:sheetViews>
  <x:sheetFormatPr defaultRowHeight="15"/>
  <x:cols>
    <x:col min="1" max="1" width="13" hidden="0" customWidth="1"/>
    <x:col min="2" max="2" width="8.25" hidden="0" customWidth="1"/>
    <x:col min="3" max="3" width="9.25" hidden="0" customWidth="1"/>
    <x:col min="4" max="4" width="14.75" hidden="0" customWidth="1"/>
    <x:col min="5" max="5" width="14.75" hidden="0" customWidth="1"/>
    <x:col min="6" max="6" width="16.75" hidden="0" customWidth="1"/>
    <x:col min="7" max="7" width="13.25" hidden="0" customWidth="1"/>
    <x:col min="8" max="8" width="13.75" hidden="0" customWidth="1"/>
    <x:col min="9" max="9" width="13.75" hidden="0" customWidth="1"/>
    <x:col min="10" max="10" width="14" hidden="0" customWidth="1"/>
    <x:col min="11" max="11" width="14.25" hidden="0" customWidth="1"/>
    <x:col min="12" max="12" width="15.130000114440918" hidden="0" customWidth="1"/>
    <x:col min="13" max="13" width="14.5" hidden="0" customWidth="1"/>
    <x:col min="14" max="14" width="14.5" hidden="0" customWidth="1"/>
    <x:col min="15" max="15" width="11.5" hidden="0" customWidth="1"/>
  </x:cols>
  <x:sheetData>
    <x:row r="1" ht="42" customHeight="1">
      <x:c r="A1" s="7" t="str">
        <x:v>架次编号</x:v>
      </x:c>
      <x:c r="B1" s="8" t="str">
        <x:v>机型</x:v>
      </x:c>
      <x:c r="C1" s="8" t="str">
        <x:v>货箱数</x:v>
      </x:c>
      <x:c r="D1" s="8" t="str">
        <x:v>准备及装载（s）</x:v>
      </x:c>
      <x:c r="E1" s="8" t="str">
        <x:v>服务区交接（s）</x:v>
      </x:c>
      <x:c r="F1" s="8" t="str">
        <x:v>累计作业时间（s）</x:v>
      </x:c>
      <x:c r="G1" s="8" t="str">
        <x:v>载荷上限（kg）</x:v>
      </x:c>
      <x:c r="H1" s="8" t="str">
        <x:v>载荷余量（kg）</x:v>
      </x:c>
      <x:c r="I1" s="8" t="str">
        <x:v>体积上限（m³）</x:v>
      </x:c>
      <x:c r="J1" s="8" t="str">
        <x:v>体积余量（m³）</x:v>
      </x:c>
      <x:c r="K1" s="8" t="str">
        <x:v>电池能量（kWh）</x:v>
      </x:c>
      <x:c r="L1" s="8" t="str">
        <x:v>返航SOC下限（%）</x:v>
      </x:c>
      <x:c r="M1" s="8" t="str">
        <x:v>允许能耗（kWh）</x:v>
      </x:c>
      <x:c r="N1" s="8" t="str">
        <x:v>能量余量（kWh）</x:v>
      </x:c>
      <x:c r="O1" s="9" t="str">
        <x:v>约束检验</x:v>
      </x:c>
    </x:row>
    <x:row r="2" ht="27" customHeight="1">
      <x:c r="A2" s="2" t="str">
        <x:v>Q1-001</x:v>
      </x:c>
      <x:c r="B2" s="2" t="str">
        <x:v>C</x:v>
      </x:c>
      <x:c r="C2" s="17" t="n">
        <x:v>8</x:v>
      </x:c>
      <x:c r="D2" s="23" t="n">
        <x:f>VLOOKUP(B2,$A$25:$J$27,6,FALSE)+C2*VLOOKUP(B2,$A$25:$J$27,7,FALSE)</x:f>
        <x:v>540</x:v>
      </x:c>
      <x:c r="E2" s="23" t="n">
        <x:f>VLOOKUP(B2,$A$25:$J$27,8,FALSE)+C2*VLOOKUP(B2,$A$25:$J$27,9,FALSE)</x:f>
        <x:v>468</x:v>
      </x:c>
      <x:c r="F2" s="23" t="n">
        <x:f>'Q1_单点组批'!G2+SUM(D2:E2)</x:f>
        <x:v>1626.175045862023</x:v>
      </x:c>
      <x:c r="G2" s="23" t="n">
        <x:f>VLOOKUP(B2,$A$25:$J$27,2,FALSE)</x:f>
        <x:v>80</x:v>
      </x:c>
      <x:c r="H2" s="23" t="n">
        <x:f>G2-'Q1_单点组批'!E2</x:f>
        <x:v>2</x:v>
      </x:c>
      <x:c r="I2" s="21" t="n">
        <x:f>VLOOKUP(B2,$A$25:$J$27,3,FALSE)</x:f>
        <x:v>0.25</x:v>
      </x:c>
      <x:c r="J2" s="21" t="n">
        <x:f>I2-'Q1_单点组批'!F2</x:f>
        <x:v>0.015000000000000013</x:v>
      </x:c>
      <x:c r="K2" s="23" t="n">
        <x:f>VLOOKUP(B2,$A$25:$J$27,4,FALSE)</x:f>
        <x:v>8</x:v>
      </x:c>
      <x:c r="L2" s="23" t="n">
        <x:f>VLOOKUP(B2,$A$25:$J$27,5,FALSE)</x:f>
        <x:v>20</x:v>
      </x:c>
      <x:c r="M2" s="23" t="n">
        <x:f>K2*(1-L2/100)</x:f>
        <x:v>6.4</x:v>
      </x:c>
      <x:c r="N2" s="25" t="n">
        <x:f>M2-'Q1_单点组批'!H2</x:f>
        <x:v>3.4042241950953307</x:v>
      </x:c>
      <x:c r="O2" s="27" t="str">
        <x:f>IF(AND(H2&gt;=-0.0000001,J2&gt;=-0.0000001,N2&gt;=-0.0000001,ABS('Q1_单点组批'!I2-(1-'Q1_单点组批'!H2/K2)*100)&lt;0.0000001),"满足","不满足")</x:f>
        <x:v>满足</x:v>
      </x:c>
    </x:row>
    <x:row r="3" ht="27" customHeight="1">
      <x:c r="A3" s="10" t="str">
        <x:v>Q1-002</x:v>
      </x:c>
      <x:c r="B3" s="10" t="str">
        <x:v>C</x:v>
      </x:c>
      <x:c r="C3" s="18" t="n">
        <x:v>7</x:v>
      </x:c>
      <x:c r="D3" s="24" t="n">
        <x:f>VLOOKUP(B3,$A$25:$J$27,6,FALSE)+C3*VLOOKUP(B3,$A$25:$J$27,7,FALSE)</x:f>
        <x:v>510</x:v>
      </x:c>
      <x:c r="E3" s="24" t="n">
        <x:f>VLOOKUP(B3,$A$25:$J$27,8,FALSE)+C3*VLOOKUP(B3,$A$25:$J$27,9,FALSE)</x:f>
        <x:v>432</x:v>
      </x:c>
      <x:c r="F3" s="24" t="n">
        <x:f>'Q1_单点组批'!G3+SUM(D3:E3)</x:f>
        <x:v>1560.175045862023</x:v>
      </x:c>
      <x:c r="G3" s="24" t="n">
        <x:f>VLOOKUP(B3,$A$25:$J$27,2,FALSE)</x:f>
        <x:v>80</x:v>
      </x:c>
      <x:c r="H3" s="24" t="n">
        <x:f>G3-'Q1_单点组批'!E3</x:f>
        <x:v>4</x:v>
      </x:c>
      <x:c r="I3" s="22" t="n">
        <x:f>VLOOKUP(B3,$A$25:$J$27,3,FALSE)</x:f>
        <x:v>0.25</x:v>
      </x:c>
      <x:c r="J3" s="22" t="n">
        <x:f>I3-'Q1_单点组批'!F3</x:f>
        <x:v>0.091</x:v>
      </x:c>
      <x:c r="K3" s="24" t="n">
        <x:f>VLOOKUP(B3,$A$25:$J$27,4,FALSE)</x:f>
        <x:v>8</x:v>
      </x:c>
      <x:c r="L3" s="24" t="n">
        <x:f>VLOOKUP(B3,$A$25:$J$27,5,FALSE)</x:f>
        <x:v>20</x:v>
      </x:c>
      <x:c r="M3" s="24" t="n">
        <x:f>K3*(1-L3/100)</x:f>
        <x:v>6.4</x:v>
      </x:c>
      <x:c r="N3" s="26" t="n">
        <x:f>M3-'Q1_单点组批'!H3</x:f>
        <x:v>3.482411904413173</x:v>
      </x:c>
      <x:c r="O3" s="28" t="str">
        <x:f>IF(AND(H3&gt;=-0.0000001,J3&gt;=-0.0000001,N3&gt;=-0.0000001,ABS('Q1_单点组批'!I3-(1-'Q1_单点组批'!H3/K3)*100)&lt;0.0000001),"满足","不满足")</x:f>
        <x:v>满足</x:v>
      </x:c>
    </x:row>
    <x:row r="4" ht="27" customHeight="1">
      <x:c r="A4" s="2" t="str">
        <x:v>Q1-003</x:v>
      </x:c>
      <x:c r="B4" s="2" t="str">
        <x:v>B</x:v>
      </x:c>
      <x:c r="C4" s="17" t="n">
        <x:v>3</x:v>
      </x:c>
      <x:c r="D4" s="23" t="n">
        <x:f>VLOOKUP(B4,$A$25:$J$27,6,FALSE)+C4*VLOOKUP(B4,$A$25:$J$27,7,FALSE)</x:f>
        <x:v>390</x:v>
      </x:c>
      <x:c r="E4" s="23" t="n">
        <x:f>VLOOKUP(B4,$A$25:$J$27,8,FALSE)+C4*VLOOKUP(B4,$A$25:$J$27,9,FALSE)</x:f>
        <x:v>240</x:v>
      </x:c>
      <x:c r="F4" s="23" t="n">
        <x:f>'Q1_单点组批'!G4+SUM(D4:E4)</x:f>
        <x:v>1816.7240813077576</x:v>
      </x:c>
      <x:c r="G4" s="23" t="n">
        <x:f>VLOOKUP(B4,$A$25:$J$27,2,FALSE)</x:f>
        <x:v>30</x:v>
      </x:c>
      <x:c r="H4" s="23" t="n">
        <x:f>G4-'Q1_单点组批'!E4</x:f>
        <x:v>5</x:v>
      </x:c>
      <x:c r="I4" s="21" t="n">
        <x:f>VLOOKUP(B4,$A$25:$J$27,3,FALSE)</x:f>
        <x:v>0.073</x:v>
      </x:c>
      <x:c r="J4" s="21" t="n">
        <x:f>I4-'Q1_单点组批'!F4</x:f>
        <x:v>0.0059999999999999915</x:v>
      </x:c>
      <x:c r="K4" s="23" t="n">
        <x:f>VLOOKUP(B4,$A$25:$J$27,4,FALSE)</x:f>
        <x:v>4</x:v>
      </x:c>
      <x:c r="L4" s="23" t="n">
        <x:f>VLOOKUP(B4,$A$25:$J$27,5,FALSE)</x:f>
        <x:v>20</x:v>
      </x:c>
      <x:c r="M4" s="23" t="n">
        <x:f>K4*(1-L4/100)</x:f>
        <x:v>3.2</x:v>
      </x:c>
      <x:c r="N4" s="25" t="n">
        <x:f>M4-'Q1_单点组批'!H4</x:f>
        <x:v>0.48652705875801283</x:v>
      </x:c>
      <x:c r="O4" s="27" t="str">
        <x:f>IF(AND(H4&gt;=-0.0000001,J4&gt;=-0.0000001,N4&gt;=-0.0000001,ABS('Q1_单点组批'!I4-(1-'Q1_单点组批'!H4/K4)*100)&lt;0.0000001),"满足","不满足")</x:f>
        <x:v>满足</x:v>
      </x:c>
    </x:row>
    <x:row r="5" ht="27" customHeight="1">
      <x:c r="A5" s="10" t="str">
        <x:v>Q1-004</x:v>
      </x:c>
      <x:c r="B5" s="10" t="str">
        <x:v>C</x:v>
      </x:c>
      <x:c r="C5" s="18" t="n">
        <x:v>5</x:v>
      </x:c>
      <x:c r="D5" s="24" t="n">
        <x:f>VLOOKUP(B5,$A$25:$J$27,6,FALSE)+C5*VLOOKUP(B5,$A$25:$J$27,7,FALSE)</x:f>
        <x:v>450</x:v>
      </x:c>
      <x:c r="E5" s="24" t="n">
        <x:f>VLOOKUP(B5,$A$25:$J$27,8,FALSE)+C5*VLOOKUP(B5,$A$25:$J$27,9,FALSE)</x:f>
        <x:v>360</x:v>
      </x:c>
      <x:c r="F5" s="24" t="n">
        <x:f>'Q1_单点组批'!G5+SUM(D5:E5)</x:f>
        <x:v>2041.8421660245544</x:v>
      </x:c>
      <x:c r="G5" s="24" t="n">
        <x:f>VLOOKUP(B5,$A$25:$J$27,2,FALSE)</x:f>
        <x:v>80</x:v>
      </x:c>
      <x:c r="H5" s="24" t="n">
        <x:f>G5-'Q1_单点组批'!E5</x:f>
        <x:v>24</x:v>
      </x:c>
      <x:c r="I5" s="22" t="n">
        <x:f>VLOOKUP(B5,$A$25:$J$27,3,FALSE)</x:f>
        <x:v>0.25</x:v>
      </x:c>
      <x:c r="J5" s="22" t="n">
        <x:f>I5-'Q1_单点组批'!F5</x:f>
        <x:v>0.10600000000000001</x:v>
      </x:c>
      <x:c r="K5" s="24" t="n">
        <x:f>VLOOKUP(B5,$A$25:$J$27,4,FALSE)</x:f>
        <x:v>8</x:v>
      </x:c>
      <x:c r="L5" s="24" t="n">
        <x:f>VLOOKUP(B5,$A$25:$J$27,5,FALSE)</x:f>
        <x:v>20</x:v>
      </x:c>
      <x:c r="M5" s="24" t="n">
        <x:f>K5*(1-L5/100)</x:f>
        <x:v>6.4</x:v>
      </x:c>
      <x:c r="N5" s="26" t="n">
        <x:f>M5-'Q1_单点组批'!H5</x:f>
        <x:v>0.6786437960540557</x:v>
      </x:c>
      <x:c r="O5" s="28" t="str">
        <x:f>IF(AND(H5&gt;=-0.0000001,J5&gt;=-0.0000001,N5&gt;=-0.0000001,ABS('Q1_单点组批'!I5-(1-'Q1_单点组批'!H5/K5)*100)&lt;0.0000001),"满足","不满足")</x:f>
        <x:v>满足</x:v>
      </x:c>
    </x:row>
    <x:row r="6" ht="27" customHeight="1">
      <x:c r="A6" s="2" t="str">
        <x:v>Q1-005</x:v>
      </x:c>
      <x:c r="B6" s="2" t="str">
        <x:v>B</x:v>
      </x:c>
      <x:c r="C6" s="17" t="n">
        <x:v>3</x:v>
      </x:c>
      <x:c r="D6" s="23" t="n">
        <x:f>VLOOKUP(B6,$A$25:$J$27,6,FALSE)+C6*VLOOKUP(B6,$A$25:$J$27,7,FALSE)</x:f>
        <x:v>390</x:v>
      </x:c>
      <x:c r="E6" s="23" t="n">
        <x:f>VLOOKUP(B6,$A$25:$J$27,8,FALSE)+C6*VLOOKUP(B6,$A$25:$J$27,9,FALSE)</x:f>
        <x:v>240</x:v>
      </x:c>
      <x:c r="F6" s="23" t="n">
        <x:f>'Q1_单点组批'!G6+SUM(D6:E6)</x:f>
        <x:v>2080.6096650380623</x:v>
      </x:c>
      <x:c r="G6" s="23" t="n">
        <x:f>VLOOKUP(B6,$A$25:$J$27,2,FALSE)</x:f>
        <x:v>30</x:v>
      </x:c>
      <x:c r="H6" s="23" t="n">
        <x:f>G6-'Q1_单点组批'!E6</x:f>
        <x:v>5</x:v>
      </x:c>
      <x:c r="I6" s="21" t="n">
        <x:f>VLOOKUP(B6,$A$25:$J$27,3,FALSE)</x:f>
        <x:v>0.073</x:v>
      </x:c>
      <x:c r="J6" s="21" t="n">
        <x:f>I6-'Q1_单点组批'!F6</x:f>
        <x:v>0.0059999999999999915</x:v>
      </x:c>
      <x:c r="K6" s="23" t="n">
        <x:f>VLOOKUP(B6,$A$25:$J$27,4,FALSE)</x:f>
        <x:v>4</x:v>
      </x:c>
      <x:c r="L6" s="23" t="n">
        <x:f>VLOOKUP(B6,$A$25:$J$27,5,FALSE)</x:f>
        <x:v>20</x:v>
      </x:c>
      <x:c r="M6" s="23" t="n">
        <x:f>K6*(1-L6/100)</x:f>
        <x:v>3.2</x:v>
      </x:c>
      <x:c r="N6" s="25" t="n">
        <x:f>M6-'Q1_单点组批'!H6</x:f>
        <x:v>0.4199219657673927</x:v>
      </x:c>
      <x:c r="O6" s="27" t="str">
        <x:f>IF(AND(H6&gt;=-0.0000001,J6&gt;=-0.0000001,N6&gt;=-0.0000001,ABS('Q1_单点组批'!I6-(1-'Q1_单点组批'!H6/K6)*100)&lt;0.0000001),"满足","不满足")</x:f>
        <x:v>满足</x:v>
      </x:c>
    </x:row>
    <x:row r="7" ht="27" customHeight="1">
      <x:c r="A7" s="10" t="str">
        <x:v>Q1-006</x:v>
      </x:c>
      <x:c r="B7" s="10" t="str">
        <x:v>C</x:v>
      </x:c>
      <x:c r="C7" s="18" t="n">
        <x:v>5</x:v>
      </x:c>
      <x:c r="D7" s="24" t="n">
        <x:f>VLOOKUP(B7,$A$25:$J$27,6,FALSE)+C7*VLOOKUP(B7,$A$25:$J$27,7,FALSE)</x:f>
        <x:v>450</x:v>
      </x:c>
      <x:c r="E7" s="24" t="n">
        <x:f>VLOOKUP(B7,$A$25:$J$27,8,FALSE)+C7*VLOOKUP(B7,$A$25:$J$27,9,FALSE)</x:f>
        <x:v>360</x:v>
      </x:c>
      <x:c r="F7" s="24" t="n">
        <x:f>'Q1_单点组批'!G7+SUM(D7:E7)</x:f>
        <x:v>2370.1777110992603</x:v>
      </x:c>
      <x:c r="G7" s="24" t="n">
        <x:f>VLOOKUP(B7,$A$25:$J$27,2,FALSE)</x:f>
        <x:v>80</x:v>
      </x:c>
      <x:c r="H7" s="24" t="n">
        <x:f>G7-'Q1_单点组批'!E7</x:f>
        <x:v>24</x:v>
      </x:c>
      <x:c r="I7" s="22" t="n">
        <x:f>VLOOKUP(B7,$A$25:$J$27,3,FALSE)</x:f>
        <x:v>0.25</x:v>
      </x:c>
      <x:c r="J7" s="22" t="n">
        <x:f>I7-'Q1_单点组批'!F7</x:f>
        <x:v>0.10600000000000001</x:v>
      </x:c>
      <x:c r="K7" s="24" t="n">
        <x:f>VLOOKUP(B7,$A$25:$J$27,4,FALSE)</x:f>
        <x:v>8</x:v>
      </x:c>
      <x:c r="L7" s="24" t="n">
        <x:f>VLOOKUP(B7,$A$25:$J$27,5,FALSE)</x:f>
        <x:v>20</x:v>
      </x:c>
      <x:c r="M7" s="24" t="n">
        <x:f>K7*(1-L7/100)</x:f>
        <x:v>6.4</x:v>
      </x:c>
      <x:c r="N7" s="26" t="n">
        <x:f>M7-'Q1_单点组批'!H7</x:f>
        <x:v>0.6346353050161628</x:v>
      </x:c>
      <x:c r="O7" s="28" t="str">
        <x:f>IF(AND(H7&gt;=-0.0000001,J7&gt;=-0.0000001,N7&gt;=-0.0000001,ABS('Q1_单点组批'!I7-(1-'Q1_单点组批'!H7/K7)*100)&lt;0.0000001),"满足","不满足")</x:f>
        <x:v>满足</x:v>
      </x:c>
    </x:row>
    <x:row r="8" ht="27" customHeight="1">
      <x:c r="A8" s="2" t="str">
        <x:v>Q1-007</x:v>
      </x:c>
      <x:c r="B8" s="2" t="str">
        <x:v>C</x:v>
      </x:c>
      <x:c r="C8" s="17" t="n">
        <x:v>6</x:v>
      </x:c>
      <x:c r="D8" s="23" t="n">
        <x:f>VLOOKUP(B8,$A$25:$J$27,6,FALSE)+C8*VLOOKUP(B8,$A$25:$J$27,7,FALSE)</x:f>
        <x:v>480</x:v>
      </x:c>
      <x:c r="E8" s="23" t="n">
        <x:f>VLOOKUP(B8,$A$25:$J$27,8,FALSE)+C8*VLOOKUP(B8,$A$25:$J$27,9,FALSE)</x:f>
        <x:v>396</x:v>
      </x:c>
      <x:c r="F8" s="23" t="n">
        <x:f>'Q1_单点组批'!G8+SUM(D8:E8)</x:f>
        <x:v>2301.054718772446</x:v>
      </x:c>
      <x:c r="G8" s="23" t="n">
        <x:f>VLOOKUP(B8,$A$25:$J$27,2,FALSE)</x:f>
        <x:v>80</x:v>
      </x:c>
      <x:c r="H8" s="23" t="n">
        <x:f>G8-'Q1_单点组批'!E8</x:f>
        <x:v>21</x:v>
      </x:c>
      <x:c r="I8" s="21" t="n">
        <x:f>VLOOKUP(B8,$A$25:$J$27,3,FALSE)</x:f>
        <x:v>0.25</x:v>
      </x:c>
      <x:c r="J8" s="21" t="n">
        <x:f>I8-'Q1_单点组批'!F8</x:f>
        <x:v>0.094</x:v>
      </x:c>
      <x:c r="K8" s="23" t="n">
        <x:f>VLOOKUP(B8,$A$25:$J$27,4,FALSE)</x:f>
        <x:v>8</x:v>
      </x:c>
      <x:c r="L8" s="23" t="n">
        <x:f>VLOOKUP(B8,$A$25:$J$27,5,FALSE)</x:f>
        <x:v>20</x:v>
      </x:c>
      <x:c r="M8" s="23" t="n">
        <x:f>K8*(1-L8/100)</x:f>
        <x:v>6.4</x:v>
      </x:c>
      <x:c r="N8" s="25" t="n">
        <x:f>M8-'Q1_单点组批'!H8</x:f>
        <x:v>0.24713987082541866</x:v>
      </x:c>
      <x:c r="O8" s="27" t="str">
        <x:f>IF(AND(H8&gt;=-0.0000001,J8&gt;=-0.0000001,N8&gt;=-0.0000001,ABS('Q1_单点组批'!I8-(1-'Q1_单点组批'!H8/K8)*100)&lt;0.0000001),"满足","不满足")</x:f>
        <x:v>满足</x:v>
      </x:c>
    </x:row>
    <x:row r="9" ht="27" customHeight="1">
      <x:c r="A9" s="10" t="str">
        <x:v>Q1-008</x:v>
      </x:c>
      <x:c r="B9" s="10" t="str">
        <x:v>C</x:v>
      </x:c>
      <x:c r="C9" s="18" t="n">
        <x:v>6</x:v>
      </x:c>
      <x:c r="D9" s="24" t="n">
        <x:f>VLOOKUP(B9,$A$25:$J$27,6,FALSE)+C9*VLOOKUP(B9,$A$25:$J$27,7,FALSE)</x:f>
        <x:v>480</x:v>
      </x:c>
      <x:c r="E9" s="24" t="n">
        <x:f>VLOOKUP(B9,$A$25:$J$27,8,FALSE)+C9*VLOOKUP(B9,$A$25:$J$27,9,FALSE)</x:f>
        <x:v>396</x:v>
      </x:c>
      <x:c r="F9" s="24" t="n">
        <x:f>'Q1_单点组批'!G9+SUM(D9:E9)</x:f>
        <x:v>1877.1887154914712</x:v>
      </x:c>
      <x:c r="G9" s="24" t="n">
        <x:f>VLOOKUP(B9,$A$25:$J$27,2,FALSE)</x:f>
        <x:v>80</x:v>
      </x:c>
      <x:c r="H9" s="24" t="n">
        <x:f>G9-'Q1_单点组批'!E9</x:f>
        <x:v>21</x:v>
      </x:c>
      <x:c r="I9" s="22" t="n">
        <x:f>VLOOKUP(B9,$A$25:$J$27,3,FALSE)</x:f>
        <x:v>0.25</x:v>
      </x:c>
      <x:c r="J9" s="22" t="n">
        <x:f>I9-'Q1_单点组批'!F9</x:f>
        <x:v>0.094</x:v>
      </x:c>
      <x:c r="K9" s="24" t="n">
        <x:f>VLOOKUP(B9,$A$25:$J$27,4,FALSE)</x:f>
        <x:v>8</x:v>
      </x:c>
      <x:c r="L9" s="24" t="n">
        <x:f>VLOOKUP(B9,$A$25:$J$27,5,FALSE)</x:f>
        <x:v>20</x:v>
      </x:c>
      <x:c r="M9" s="24" t="n">
        <x:f>K9*(1-L9/100)</x:f>
        <x:v>6.4</x:v>
      </x:c>
      <x:c r="N9" s="26" t="n">
        <x:f>M9-'Q1_单点组批'!H9</x:f>
        <x:v>2.1778626265548864</x:v>
      </x:c>
      <x:c r="O9" s="28" t="str">
        <x:f>IF(AND(H9&gt;=-0.0000001,J9&gt;=-0.0000001,N9&gt;=-0.0000001,ABS('Q1_单点组批'!I9-(1-'Q1_单点组批'!H9/K9)*100)&lt;0.0000001),"满足","不满足")</x:f>
        <x:v>满足</x:v>
      </x:c>
    </x:row>
    <x:row r="10" ht="27" customHeight="1">
      <x:c r="A10" s="2" t="str">
        <x:v>Q1-009</x:v>
      </x:c>
      <x:c r="B10" s="2" t="str">
        <x:v>C</x:v>
      </x:c>
      <x:c r="C10" s="17" t="n">
        <x:v>6</x:v>
      </x:c>
      <x:c r="D10" s="23" t="n">
        <x:f>VLOOKUP(B10,$A$25:$J$27,6,FALSE)+C10*VLOOKUP(B10,$A$25:$J$27,7,FALSE)</x:f>
        <x:v>480</x:v>
      </x:c>
      <x:c r="E10" s="23" t="n">
        <x:f>VLOOKUP(B10,$A$25:$J$27,8,FALSE)+C10*VLOOKUP(B10,$A$25:$J$27,9,FALSE)</x:f>
        <x:v>396</x:v>
      </x:c>
      <x:c r="F10" s="23" t="n">
        <x:f>'Q1_单点组批'!G10+SUM(D10:E10)</x:f>
        <x:v>1561.5526244866223</x:v>
      </x:c>
      <x:c r="G10" s="23" t="n">
        <x:f>VLOOKUP(B10,$A$25:$J$27,2,FALSE)</x:f>
        <x:v>80</x:v>
      </x:c>
      <x:c r="H10" s="23" t="n">
        <x:f>G10-'Q1_单点组批'!E10</x:f>
        <x:v>21</x:v>
      </x:c>
      <x:c r="I10" s="21" t="n">
        <x:f>VLOOKUP(B10,$A$25:$J$27,3,FALSE)</x:f>
        <x:v>0.25</x:v>
      </x:c>
      <x:c r="J10" s="21" t="n">
        <x:f>I10-'Q1_单点组批'!F10</x:f>
        <x:v>0.094</x:v>
      </x:c>
      <x:c r="K10" s="23" t="n">
        <x:f>VLOOKUP(B10,$A$25:$J$27,4,FALSE)</x:f>
        <x:v>8</x:v>
      </x:c>
      <x:c r="L10" s="23" t="n">
        <x:f>VLOOKUP(B10,$A$25:$J$27,5,FALSE)</x:f>
        <x:v>20</x:v>
      </x:c>
      <x:c r="M10" s="23" t="n">
        <x:f>K10*(1-L10/100)</x:f>
        <x:v>6.4</x:v>
      </x:c>
      <x:c r="N10" s="25" t="n">
        <x:f>M10-'Q1_单点组批'!H10</x:f>
        <x:v>3.802063709561318</x:v>
      </x:c>
      <x:c r="O10" s="27" t="str">
        <x:f>IF(AND(H10&gt;=-0.0000001,J10&gt;=-0.0000001,N10&gt;=-0.0000001,ABS('Q1_单点组批'!I10-(1-'Q1_单点组批'!H10/K10)*100)&lt;0.0000001),"满足","不满足")</x:f>
        <x:v>满足</x:v>
      </x:c>
    </x:row>
    <x:row r="11" ht="27" customHeight="1">
      <x:c r="A11" s="10" t="str">
        <x:v>Q1-010</x:v>
      </x:c>
      <x:c r="B11" s="10" t="str">
        <x:v>C</x:v>
      </x:c>
      <x:c r="C11" s="18" t="n">
        <x:v>5</x:v>
      </x:c>
      <x:c r="D11" s="24" t="n">
        <x:f>VLOOKUP(B11,$A$25:$J$27,6,FALSE)+C11*VLOOKUP(B11,$A$25:$J$27,7,FALSE)</x:f>
        <x:v>450</x:v>
      </x:c>
      <x:c r="E11" s="24" t="n">
        <x:f>VLOOKUP(B11,$A$25:$J$27,8,FALSE)+C11*VLOOKUP(B11,$A$25:$J$27,9,FALSE)</x:f>
        <x:v>360</x:v>
      </x:c>
      <x:c r="F11" s="24" t="n">
        <x:f>'Q1_单点组批'!G11+SUM(D11:E11)</x:f>
        <x:v>1907.600698410691</x:v>
      </x:c>
      <x:c r="G11" s="24" t="n">
        <x:f>VLOOKUP(B11,$A$25:$J$27,2,FALSE)</x:f>
        <x:v>80</x:v>
      </x:c>
      <x:c r="H11" s="24" t="n">
        <x:f>G11-'Q1_单点组批'!E11</x:f>
        <x:v>35</x:v>
      </x:c>
      <x:c r="I11" s="22" t="n">
        <x:f>VLOOKUP(B11,$A$25:$J$27,3,FALSE)</x:f>
        <x:v>0.25</x:v>
      </x:c>
      <x:c r="J11" s="22" t="n">
        <x:f>I11-'Q1_单点组批'!F11</x:f>
        <x:v>0.121</x:v>
      </x:c>
      <x:c r="K11" s="24" t="n">
        <x:f>VLOOKUP(B11,$A$25:$J$27,4,FALSE)</x:f>
        <x:v>8</x:v>
      </x:c>
      <x:c r="L11" s="24" t="n">
        <x:f>VLOOKUP(B11,$A$25:$J$27,5,FALSE)</x:f>
        <x:v>20</x:v>
      </x:c>
      <x:c r="M11" s="24" t="n">
        <x:f>K11*(1-L11/100)</x:f>
        <x:v>6.4</x:v>
      </x:c>
      <x:c r="N11" s="26" t="n">
        <x:f>M11-'Q1_单点组批'!H11</x:f>
        <x:v>2.988996191556681</x:v>
      </x:c>
      <x:c r="O11" s="28" t="str">
        <x:f>IF(AND(H11&gt;=-0.0000001,J11&gt;=-0.0000001,N11&gt;=-0.0000001,ABS('Q1_单点组批'!I11-(1-'Q1_单点组批'!H11/K11)*100)&lt;0.0000001),"满足","不满足")</x:f>
        <x:v>满足</x:v>
      </x:c>
    </x:row>
    <x:row r="12" ht="27" customHeight="1">
      <x:c r="A12" s="2" t="str">
        <x:v>Q1-011</x:v>
      </x:c>
      <x:c r="B12" s="2" t="str">
        <x:v>C</x:v>
      </x:c>
      <x:c r="C12" s="17" t="n">
        <x:v>5</x:v>
      </x:c>
      <x:c r="D12" s="23" t="n">
        <x:f>VLOOKUP(B12,$A$25:$J$27,6,FALSE)+C12*VLOOKUP(B12,$A$25:$J$27,7,FALSE)</x:f>
        <x:v>450</x:v>
      </x:c>
      <x:c r="E12" s="23" t="n">
        <x:f>VLOOKUP(B12,$A$25:$J$27,8,FALSE)+C12*VLOOKUP(B12,$A$25:$J$27,9,FALSE)</x:f>
        <x:v>360</x:v>
      </x:c>
      <x:c r="F12" s="23" t="n">
        <x:f>'Q1_单点组批'!G12+SUM(D12:E12)</x:f>
        <x:v>2199.7115246008334</x:v>
      </x:c>
      <x:c r="G12" s="23" t="n">
        <x:f>VLOOKUP(B12,$A$25:$J$27,2,FALSE)</x:f>
        <x:v>80</x:v>
      </x:c>
      <x:c r="H12" s="23" t="n">
        <x:f>G12-'Q1_单点组批'!E12</x:f>
        <x:v>35</x:v>
      </x:c>
      <x:c r="I12" s="21" t="n">
        <x:f>VLOOKUP(B12,$A$25:$J$27,3,FALSE)</x:f>
        <x:v>0.25</x:v>
      </x:c>
      <x:c r="J12" s="21" t="n">
        <x:f>I12-'Q1_单点组批'!F12</x:f>
        <x:v>0.121</x:v>
      </x:c>
      <x:c r="K12" s="23" t="n">
        <x:f>VLOOKUP(B12,$A$25:$J$27,4,FALSE)</x:f>
        <x:v>8</x:v>
      </x:c>
      <x:c r="L12" s="23" t="n">
        <x:f>VLOOKUP(B12,$A$25:$J$27,5,FALSE)</x:f>
        <x:v>20</x:v>
      </x:c>
      <x:c r="M12" s="23" t="n">
        <x:f>K12*(1-L12/100)</x:f>
        <x:v>6.4</x:v>
      </x:c>
      <x:c r="N12" s="25" t="n">
        <x:f>M12-'Q1_单点组批'!H12</x:f>
        <x:v>0.5639793320336413</x:v>
      </x:c>
      <x:c r="O12" s="27" t="str">
        <x:f>IF(AND(H12&gt;=-0.0000001,J12&gt;=-0.0000001,N12&gt;=-0.0000001,ABS('Q1_单点组批'!I12-(1-'Q1_单点组批'!H12/K12)*100)&lt;0.0000001),"满足","不满足")</x:f>
        <x:v>满足</x:v>
      </x:c>
    </x:row>
    <x:row r="13" ht="27" customHeight="1">
      <x:c r="A13" s="10" t="str">
        <x:v>Q1-012</x:v>
      </x:c>
      <x:c r="B13" s="10" t="str">
        <x:v>B</x:v>
      </x:c>
      <x:c r="C13" s="18" t="n">
        <x:v>3</x:v>
      </x:c>
      <x:c r="D13" s="24" t="n">
        <x:f>VLOOKUP(B13,$A$25:$J$27,6,FALSE)+C13*VLOOKUP(B13,$A$25:$J$27,7,FALSE)</x:f>
        <x:v>390</x:v>
      </x:c>
      <x:c r="E13" s="24" t="n">
        <x:f>VLOOKUP(B13,$A$25:$J$27,8,FALSE)+C13*VLOOKUP(B13,$A$25:$J$27,9,FALSE)</x:f>
        <x:v>240</x:v>
      </x:c>
      <x:c r="F13" s="24" t="n">
        <x:f>'Q1_单点组批'!G13+SUM(D13:E13)</x:f>
        <x:v>1558.4628643343576</x:v>
      </x:c>
      <x:c r="G13" s="24" t="n">
        <x:f>VLOOKUP(B13,$A$25:$J$27,2,FALSE)</x:f>
        <x:v>30</x:v>
      </x:c>
      <x:c r="H13" s="24" t="n">
        <x:f>G13-'Q1_单点组批'!E13</x:f>
        <x:v>5</x:v>
      </x:c>
      <x:c r="I13" s="22" t="n">
        <x:f>VLOOKUP(B13,$A$25:$J$27,3,FALSE)</x:f>
        <x:v>0.073</x:v>
      </x:c>
      <x:c r="J13" s="22" t="n">
        <x:f>I13-'Q1_单点组批'!F13</x:f>
        <x:v>0.0059999999999999915</x:v>
      </x:c>
      <x:c r="K13" s="24" t="n">
        <x:f>VLOOKUP(B13,$A$25:$J$27,4,FALSE)</x:f>
        <x:v>4</x:v>
      </x:c>
      <x:c r="L13" s="24" t="n">
        <x:f>VLOOKUP(B13,$A$25:$J$27,5,FALSE)</x:f>
        <x:v>20</x:v>
      </x:c>
      <x:c r="M13" s="24" t="n">
        <x:f>K13*(1-L13/100)</x:f>
        <x:v>3.2</x:v>
      </x:c>
      <x:c r="N13" s="26" t="n">
        <x:f>M13-'Q1_单点组批'!H13</x:f>
        <x:v>1.1037345982626654</x:v>
      </x:c>
      <x:c r="O13" s="28" t="str">
        <x:f>IF(AND(H13&gt;=-0.0000001,J13&gt;=-0.0000001,N13&gt;=-0.0000001,ABS('Q1_单点组批'!I13-(1-'Q1_单点组批'!H13/K13)*100)&lt;0.0000001),"满足","不满足")</x:f>
        <x:v>满足</x:v>
      </x:c>
    </x:row>
    <x:row r="14" ht="27" customHeight="1">
      <x:c r="A14" s="2" t="str">
        <x:v>Q1-013</x:v>
      </x:c>
      <x:c r="B14" s="2" t="str">
        <x:v>B</x:v>
      </x:c>
      <x:c r="C14" s="17" t="n">
        <x:v>3</x:v>
      </x:c>
      <x:c r="D14" s="23" t="n">
        <x:f>VLOOKUP(B14,$A$25:$J$27,6,FALSE)+C14*VLOOKUP(B14,$A$25:$J$27,7,FALSE)</x:f>
        <x:v>390</x:v>
      </x:c>
      <x:c r="E14" s="23" t="n">
        <x:f>VLOOKUP(B14,$A$25:$J$27,8,FALSE)+C14*VLOOKUP(B14,$A$25:$J$27,9,FALSE)</x:f>
        <x:v>240</x:v>
      </x:c>
      <x:c r="F14" s="23" t="n">
        <x:f>'Q1_单点组批'!G14+SUM(D14:E14)</x:f>
        <x:v>1555.4035197802173</x:v>
      </x:c>
      <x:c r="G14" s="23" t="n">
        <x:f>VLOOKUP(B14,$A$25:$J$27,2,FALSE)</x:f>
        <x:v>30</x:v>
      </x:c>
      <x:c r="H14" s="23" t="n">
        <x:f>G14-'Q1_单点组批'!E14</x:f>
        <x:v>5</x:v>
      </x:c>
      <x:c r="I14" s="21" t="n">
        <x:f>VLOOKUP(B14,$A$25:$J$27,3,FALSE)</x:f>
        <x:v>0.073</x:v>
      </x:c>
      <x:c r="J14" s="21" t="n">
        <x:f>I14-'Q1_单点组批'!F14</x:f>
        <x:v>0.0059999999999999915</x:v>
      </x:c>
      <x:c r="K14" s="23" t="n">
        <x:f>VLOOKUP(B14,$A$25:$J$27,4,FALSE)</x:f>
        <x:v>4</x:v>
      </x:c>
      <x:c r="L14" s="23" t="n">
        <x:f>VLOOKUP(B14,$A$25:$J$27,5,FALSE)</x:f>
        <x:v>20</x:v>
      </x:c>
      <x:c r="M14" s="23" t="n">
        <x:f>K14*(1-L14/100)</x:f>
        <x:v>3.2</x:v>
      </x:c>
      <x:c r="N14" s="25" t="n">
        <x:f>M14-'Q1_单点组批'!H14</x:f>
        <x:v>1.376783435768586</x:v>
      </x:c>
      <x:c r="O14" s="27" t="str">
        <x:f>IF(AND(H14&gt;=-0.0000001,J14&gt;=-0.0000001,N14&gt;=-0.0000001,ABS('Q1_单点组批'!I14-(1-'Q1_单点组批'!H14/K14)*100)&lt;0.0000001),"满足","不满足")</x:f>
        <x:v>满足</x:v>
      </x:c>
    </x:row>
    <x:row r="15" ht="27" customHeight="1">
      <x:c r="A15" s="10" t="str">
        <x:v>Q1-014</x:v>
      </x:c>
      <x:c r="B15" s="10" t="str">
        <x:v>B</x:v>
      </x:c>
      <x:c r="C15" s="18" t="n">
        <x:v>3</x:v>
      </x:c>
      <x:c r="D15" s="24" t="n">
        <x:f>VLOOKUP(B15,$A$25:$J$27,6,FALSE)+C15*VLOOKUP(B15,$A$25:$J$27,7,FALSE)</x:f>
        <x:v>390</x:v>
      </x:c>
      <x:c r="E15" s="24" t="n">
        <x:f>VLOOKUP(B15,$A$25:$J$27,8,FALSE)+C15*VLOOKUP(B15,$A$25:$J$27,9,FALSE)</x:f>
        <x:v>240</x:v>
      </x:c>
      <x:c r="F15" s="24" t="n">
        <x:f>'Q1_单点组批'!G15+SUM(D15:E15)</x:f>
        <x:v>1188.4247628605203</x:v>
      </x:c>
      <x:c r="G15" s="24" t="n">
        <x:f>VLOOKUP(B15,$A$25:$J$27,2,FALSE)</x:f>
        <x:v>30</x:v>
      </x:c>
      <x:c r="H15" s="24" t="n">
        <x:f>G15-'Q1_单点组批'!E15</x:f>
        <x:v>5</x:v>
      </x:c>
      <x:c r="I15" s="22" t="n">
        <x:f>VLOOKUP(B15,$A$25:$J$27,3,FALSE)</x:f>
        <x:v>0.073</x:v>
      </x:c>
      <x:c r="J15" s="22" t="n">
        <x:f>I15-'Q1_单点组批'!F15</x:f>
        <x:v>0.0059999999999999915</x:v>
      </x:c>
      <x:c r="K15" s="24" t="n">
        <x:f>VLOOKUP(B15,$A$25:$J$27,4,FALSE)</x:f>
        <x:v>4</x:v>
      </x:c>
      <x:c r="L15" s="24" t="n">
        <x:f>VLOOKUP(B15,$A$25:$J$27,5,FALSE)</x:f>
        <x:v>20</x:v>
      </x:c>
      <x:c r="M15" s="24" t="n">
        <x:f>K15*(1-L15/100)</x:f>
        <x:v>3.2</x:v>
      </x:c>
      <x:c r="N15" s="26" t="n">
        <x:f>M15-'Q1_单点组批'!H15</x:f>
        <x:v>2.126063313604897</x:v>
      </x:c>
      <x:c r="O15" s="28" t="str">
        <x:f>IF(AND(H15&gt;=-0.0000001,J15&gt;=-0.0000001,N15&gt;=-0.0000001,ABS('Q1_单点组批'!I15-(1-'Q1_单点组批'!H15/K15)*100)&lt;0.0000001),"满足","不满足")</x:f>
        <x:v>满足</x:v>
      </x:c>
    </x:row>
    <x:row r="16" ht="27" customHeight="1">
      <x:c r="A16" s="2" t="str">
        <x:v>Q1-015</x:v>
      </x:c>
      <x:c r="B16" s="2" t="str">
        <x:v>B</x:v>
      </x:c>
      <x:c r="C16" s="17" t="n">
        <x:v>3</x:v>
      </x:c>
      <x:c r="D16" s="23" t="n">
        <x:f>VLOOKUP(B16,$A$25:$J$27,6,FALSE)+C16*VLOOKUP(B16,$A$25:$J$27,7,FALSE)</x:f>
        <x:v>390</x:v>
      </x:c>
      <x:c r="E16" s="23" t="n">
        <x:f>VLOOKUP(B16,$A$25:$J$27,8,FALSE)+C16*VLOOKUP(B16,$A$25:$J$27,9,FALSE)</x:f>
        <x:v>240</x:v>
      </x:c>
      <x:c r="F16" s="23" t="n">
        <x:f>'Q1_单点组批'!G16+SUM(D16:E16)</x:f>
        <x:v>1922.826814149187</x:v>
      </x:c>
      <x:c r="G16" s="23" t="n">
        <x:f>VLOOKUP(B16,$A$25:$J$27,2,FALSE)</x:f>
        <x:v>30</x:v>
      </x:c>
      <x:c r="H16" s="23" t="n">
        <x:f>G16-'Q1_单点组批'!E16</x:f>
        <x:v>5</x:v>
      </x:c>
      <x:c r="I16" s="21" t="n">
        <x:f>VLOOKUP(B16,$A$25:$J$27,3,FALSE)</x:f>
        <x:v>0.073</x:v>
      </x:c>
      <x:c r="J16" s="21" t="n">
        <x:f>I16-'Q1_单点组批'!F16</x:f>
        <x:v>0.0059999999999999915</x:v>
      </x:c>
      <x:c r="K16" s="23" t="n">
        <x:f>VLOOKUP(B16,$A$25:$J$27,4,FALSE)</x:f>
        <x:v>4</x:v>
      </x:c>
      <x:c r="L16" s="23" t="n">
        <x:f>VLOOKUP(B16,$A$25:$J$27,5,FALSE)</x:f>
        <x:v>20</x:v>
      </x:c>
      <x:c r="M16" s="23" t="n">
        <x:f>K16*(1-L16/100)</x:f>
        <x:v>3.2</x:v>
      </x:c>
      <x:c r="N16" s="25" t="n">
        <x:f>M16-'Q1_单点组批'!H16</x:f>
        <x:v>0.44740004571006775</x:v>
      </x:c>
      <x:c r="O16" s="27" t="str">
        <x:f>IF(AND(H16&gt;=-0.0000001,J16&gt;=-0.0000001,N16&gt;=-0.0000001,ABS('Q1_单点组批'!I16-(1-'Q1_单点组批'!H16/K16)*100)&lt;0.0000001),"满足","不满足")</x:f>
        <x:v>满足</x:v>
      </x:c>
    </x:row>
    <x:row r="17" ht="27" customHeight="1">
      <x:c r="A17" s="10" t="str">
        <x:v>Q1-016</x:v>
      </x:c>
      <x:c r="B17" s="10" t="str">
        <x:v>B</x:v>
      </x:c>
      <x:c r="C17" s="18" t="n">
        <x:v>3</x:v>
      </x:c>
      <x:c r="D17" s="24" t="n">
        <x:f>VLOOKUP(B17,$A$25:$J$27,6,FALSE)+C17*VLOOKUP(B17,$A$25:$J$27,7,FALSE)</x:f>
        <x:v>390</x:v>
      </x:c>
      <x:c r="E17" s="24" t="n">
        <x:f>VLOOKUP(B17,$A$25:$J$27,8,FALSE)+C17*VLOOKUP(B17,$A$25:$J$27,9,FALSE)</x:f>
        <x:v>240</x:v>
      </x:c>
      <x:c r="F17" s="24" t="n">
        <x:f>'Q1_单点组批'!G17+SUM(D17:E17)</x:f>
        <x:v>1510.511588744525</x:v>
      </x:c>
      <x:c r="G17" s="24" t="n">
        <x:f>VLOOKUP(B17,$A$25:$J$27,2,FALSE)</x:f>
        <x:v>30</x:v>
      </x:c>
      <x:c r="H17" s="24" t="n">
        <x:f>G17-'Q1_单点组批'!E17</x:f>
        <x:v>5</x:v>
      </x:c>
      <x:c r="I17" s="22" t="n">
        <x:f>VLOOKUP(B17,$A$25:$J$27,3,FALSE)</x:f>
        <x:v>0.073</x:v>
      </x:c>
      <x:c r="J17" s="22" t="n">
        <x:f>I17-'Q1_单点组批'!F17</x:f>
        <x:v>0.0059999999999999915</x:v>
      </x:c>
      <x:c r="K17" s="24" t="n">
        <x:f>VLOOKUP(B17,$A$25:$J$27,4,FALSE)</x:f>
        <x:v>4</x:v>
      </x:c>
      <x:c r="L17" s="24" t="n">
        <x:f>VLOOKUP(B17,$A$25:$J$27,5,FALSE)</x:f>
        <x:v>20</x:v>
      </x:c>
      <x:c r="M17" s="24" t="n">
        <x:f>K17*(1-L17/100)</x:f>
        <x:v>3.2</x:v>
      </x:c>
      <x:c r="N17" s="26" t="n">
        <x:f>M17-'Q1_单点组批'!H17</x:f>
        <x:v>1.375171808919253</x:v>
      </x:c>
      <x:c r="O17" s="28" t="str">
        <x:f>IF(AND(H17&gt;=-0.0000001,J17&gt;=-0.0000001,N17&gt;=-0.0000001,ABS('Q1_单点组批'!I17-(1-'Q1_单点组批'!H17/K17)*100)&lt;0.0000001),"满足","不满足")</x:f>
        <x:v>满足</x:v>
      </x:c>
    </x:row>
    <x:row r="18" ht="27" customHeight="1">
      <x:c r="A18" s="2" t="str">
        <x:v>Q1-017</x:v>
      </x:c>
      <x:c r="B18" s="2" t="str">
        <x:v>B</x:v>
      </x:c>
      <x:c r="C18" s="17" t="n">
        <x:v>3</x:v>
      </x:c>
      <x:c r="D18" s="23" t="n">
        <x:f>VLOOKUP(B18,$A$25:$J$27,6,FALSE)+C18*VLOOKUP(B18,$A$25:$J$27,7,FALSE)</x:f>
        <x:v>390</x:v>
      </x:c>
      <x:c r="E18" s="23" t="n">
        <x:f>VLOOKUP(B18,$A$25:$J$27,8,FALSE)+C18*VLOOKUP(B18,$A$25:$J$27,9,FALSE)</x:f>
        <x:v>240</x:v>
      </x:c>
      <x:c r="F18" s="23" t="n">
        <x:f>'Q1_单点组批'!G18+SUM(D18:E18)</x:f>
        <x:v>1869.7476752786913</x:v>
      </x:c>
      <x:c r="G18" s="23" t="n">
        <x:f>VLOOKUP(B18,$A$25:$J$27,2,FALSE)</x:f>
        <x:v>30</x:v>
      </x:c>
      <x:c r="H18" s="23" t="n">
        <x:f>G18-'Q1_单点组批'!E18</x:f>
        <x:v>5</x:v>
      </x:c>
      <x:c r="I18" s="21" t="n">
        <x:f>VLOOKUP(B18,$A$25:$J$27,3,FALSE)</x:f>
        <x:v>0.073</x:v>
      </x:c>
      <x:c r="J18" s="21" t="n">
        <x:f>I18-'Q1_单点组批'!F18</x:f>
        <x:v>0.0059999999999999915</x:v>
      </x:c>
      <x:c r="K18" s="23" t="n">
        <x:f>VLOOKUP(B18,$A$25:$J$27,4,FALSE)</x:f>
        <x:v>4</x:v>
      </x:c>
      <x:c r="L18" s="23" t="n">
        <x:f>VLOOKUP(B18,$A$25:$J$27,5,FALSE)</x:f>
        <x:v>20</x:v>
      </x:c>
      <x:c r="M18" s="23" t="n">
        <x:f>K18*(1-L18/100)</x:f>
        <x:v>3.2</x:v>
      </x:c>
      <x:c r="N18" s="25" t="n">
        <x:f>M18-'Q1_单点组批'!H18</x:f>
        <x:v>1.059709021858212</x:v>
      </x:c>
      <x:c r="O18" s="27" t="str">
        <x:f>IF(AND(H18&gt;=-0.0000001,J18&gt;=-0.0000001,N18&gt;=-0.0000001,ABS('Q1_单点组批'!I18-(1-'Q1_单点组批'!H18/K18)*100)&lt;0.0000001),"满足","不满足")</x:f>
        <x:v>满足</x:v>
      </x:c>
    </x:row>
    <x:row r="19" ht="27" customHeight="1">
      <x:c r="A19" s="10" t="str">
        <x:v>Q1-018</x:v>
      </x:c>
      <x:c r="B19" s="10" t="str">
        <x:v>B</x:v>
      </x:c>
      <x:c r="C19" s="18" t="n">
        <x:v>3</x:v>
      </x:c>
      <x:c r="D19" s="24" t="n">
        <x:f>VLOOKUP(B19,$A$25:$J$27,6,FALSE)+C19*VLOOKUP(B19,$A$25:$J$27,7,FALSE)</x:f>
        <x:v>390</x:v>
      </x:c>
      <x:c r="E19" s="24" t="n">
        <x:f>VLOOKUP(B19,$A$25:$J$27,8,FALSE)+C19*VLOOKUP(B19,$A$25:$J$27,9,FALSE)</x:f>
        <x:v>240</x:v>
      </x:c>
      <x:c r="F19" s="24" t="n">
        <x:f>'Q1_单点组批'!G19+SUM(D19:E19)</x:f>
        <x:v>1828.3275601736595</x:v>
      </x:c>
      <x:c r="G19" s="24" t="n">
        <x:f>VLOOKUP(B19,$A$25:$J$27,2,FALSE)</x:f>
        <x:v>30</x:v>
      </x:c>
      <x:c r="H19" s="24" t="n">
        <x:f>G19-'Q1_单点组批'!E19</x:f>
        <x:v>5</x:v>
      </x:c>
      <x:c r="I19" s="22" t="n">
        <x:f>VLOOKUP(B19,$A$25:$J$27,3,FALSE)</x:f>
        <x:v>0.073</x:v>
      </x:c>
      <x:c r="J19" s="22" t="n">
        <x:f>I19-'Q1_单点组批'!F19</x:f>
        <x:v>0.0059999999999999915</x:v>
      </x:c>
      <x:c r="K19" s="24" t="n">
        <x:f>VLOOKUP(B19,$A$25:$J$27,4,FALSE)</x:f>
        <x:v>4</x:v>
      </x:c>
      <x:c r="L19" s="24" t="n">
        <x:f>VLOOKUP(B19,$A$25:$J$27,5,FALSE)</x:f>
        <x:v>20</x:v>
      </x:c>
      <x:c r="M19" s="24" t="n">
        <x:f>K19*(1-L19/100)</x:f>
        <x:v>3.2</x:v>
      </x:c>
      <x:c r="N19" s="26" t="n">
        <x:f>M19-'Q1_单点组批'!H19</x:f>
        <x:v>0.8924714942474843</x:v>
      </x:c>
      <x:c r="O19" s="28" t="str">
        <x:f>IF(AND(H19&gt;=-0.0000001,J19&gt;=-0.0000001,N19&gt;=-0.0000001,ABS('Q1_单点组批'!I19-(1-'Q1_单点组批'!H19/K19)*100)&lt;0.0000001),"满足","不满足")</x:f>
        <x:v>满足</x:v>
      </x:c>
    </x:row>
    <x:row r="20" ht="27" customHeight="1">
      <x:c r="A20" s="2"/>
      <x:c r="B20" s="2"/>
      <x:c r="C20" s="2"/>
      <x:c r="D20" s="2"/>
      <x:c r="E20" s="2"/>
      <x:c r="F20" s="2"/>
      <x:c r="G20" s="2"/>
      <x:c r="H20" s="2"/>
      <x:c r="I20" s="2"/>
      <x:c r="J20" s="2"/>
      <x:c r="K20" s="2"/>
      <x:c r="L20" s="2"/>
      <x:c r="M20" s="2"/>
      <x:c r="N20" s="2"/>
      <x:c r="O20" s="2"/>
    </x:row>
    <x:row r="21" ht="27" customHeight="1">
      <x:c r="A21" s="2"/>
      <x:c r="B21" s="2"/>
      <x:c r="C21" s="2"/>
      <x:c r="D21" s="2"/>
      <x:c r="E21" s="2"/>
      <x:c r="F21" s="2"/>
      <x:c r="G21" s="2"/>
      <x:c r="H21" s="2"/>
      <x:c r="I21" s="2"/>
      <x:c r="J21" s="2"/>
      <x:c r="K21" s="2"/>
      <x:c r="L21" s="2"/>
      <x:c r="M21" s="2"/>
      <x:c r="N21" s="2"/>
      <x:c r="O21" s="2"/>
    </x:row>
    <x:row r="22" ht="31" customHeight="1">
      <x:c r="A22" s="30" t="str">
        <x:v>机型参数与计算口径</x:v>
      </x:c>
      <x:c r="B22" s="2"/>
      <x:c r="C22" s="2"/>
      <x:c r="D22" s="2"/>
      <x:c r="E22" s="2"/>
      <x:c r="F22" s="2"/>
      <x:c r="G22" s="2"/>
      <x:c r="H22" s="2"/>
      <x:c r="I22" s="2"/>
      <x:c r="J22" s="2"/>
      <x:c r="K22" s="2"/>
      <x:c r="L22" s="2"/>
      <x:c r="M22" s="2"/>
      <x:c r="N22" s="2"/>
      <x:c r="O22" s="2"/>
    </x:row>
    <x:row r="23" ht="27" customHeight="1">
      <x:c r="A23" s="2"/>
      <x:c r="B23" s="2"/>
      <x:c r="C23" s="2"/>
      <x:c r="D23" s="2"/>
      <x:c r="E23" s="2"/>
      <x:c r="F23" s="2"/>
      <x:c r="G23" s="2"/>
      <x:c r="H23" s="2"/>
      <x:c r="I23" s="2"/>
      <x:c r="J23" s="2"/>
      <x:c r="K23" s="2"/>
      <x:c r="L23" s="2"/>
      <x:c r="M23" s="2"/>
      <x:c r="N23" s="2"/>
      <x:c r="O23" s="2"/>
    </x:row>
    <x:row r="24" ht="42" customHeight="1">
      <x:c r="A24" s="7" t="str">
        <x:v>机型</x:v>
      </x:c>
      <x:c r="B24" s="8" t="str">
        <x:v>载荷上限（kg）</x:v>
      </x:c>
      <x:c r="C24" s="8" t="str">
        <x:v>体积上限（m³）</x:v>
      </x:c>
      <x:c r="D24" s="8" t="str">
        <x:v>电池能量（kWh）</x:v>
      </x:c>
      <x:c r="E24" s="8" t="str">
        <x:v>返航下限（%）</x:v>
      </x:c>
      <x:c r="F24" s="8" t="str">
        <x:v>固定准备（s）</x:v>
      </x:c>
      <x:c r="G24" s="8" t="str">
        <x:v>每箱装载（s）</x:v>
      </x:c>
      <x:c r="H24" s="8" t="str">
        <x:v>基础交接（s）</x:v>
      </x:c>
      <x:c r="I24" s="8" t="str">
        <x:v>每箱交接（s）</x:v>
      </x:c>
      <x:c r="J24" s="9" t="str">
        <x:v>含电池空载（kg）</x:v>
      </x:c>
      <x:c r="K24" s="2"/>
      <x:c r="L24" s="2"/>
      <x:c r="M24" s="2"/>
      <x:c r="N24" s="2"/>
      <x:c r="O24" s="2"/>
    </x:row>
    <x:row r="25" ht="27" customHeight="1">
      <x:c r="A25" s="2" t="str">
        <x:v>A</x:v>
      </x:c>
      <x:c r="B25" s="2" t="n">
        <x:v>25</x:v>
      </x:c>
      <x:c r="C25" s="29" t="n">
        <x:v>0.06</x:v>
      </x:c>
      <x:c r="D25" s="2" t="n">
        <x:v>4.5</x:v>
      </x:c>
      <x:c r="E25" s="2" t="n">
        <x:v>20</x:v>
      </x:c>
      <x:c r="F25" s="2" t="n">
        <x:v>300</x:v>
      </x:c>
      <x:c r="G25" s="2" t="n">
        <x:v>30</x:v>
      </x:c>
      <x:c r="H25" s="2" t="n">
        <x:v>150</x:v>
      </x:c>
      <x:c r="I25" s="2" t="n">
        <x:v>30</x:v>
      </x:c>
      <x:c r="J25" s="2" t="n">
        <x:v>70</x:v>
      </x:c>
      <x:c r="K25" s="2"/>
      <x:c r="L25" s="2"/>
      <x:c r="M25" s="2"/>
      <x:c r="N25" s="2"/>
      <x:c r="O25" s="2"/>
    </x:row>
    <x:row r="26" ht="27" customHeight="1">
      <x:c r="A26" s="2" t="str">
        <x:v>B</x:v>
      </x:c>
      <x:c r="B26" s="2" t="n">
        <x:v>30</x:v>
      </x:c>
      <x:c r="C26" s="29" t="n">
        <x:v>0.073</x:v>
      </x:c>
      <x:c r="D26" s="2" t="n">
        <x:v>4</x:v>
      </x:c>
      <x:c r="E26" s="2" t="n">
        <x:v>20</x:v>
      </x:c>
      <x:c r="F26" s="2" t="n">
        <x:v>300</x:v>
      </x:c>
      <x:c r="G26" s="2" t="n">
        <x:v>30</x:v>
      </x:c>
      <x:c r="H26" s="2" t="n">
        <x:v>150</x:v>
      </x:c>
      <x:c r="I26" s="2" t="n">
        <x:v>30</x:v>
      </x:c>
      <x:c r="J26" s="2" t="n">
        <x:v>65</x:v>
      </x:c>
      <x:c r="K26" s="2"/>
      <x:c r="L26" s="2"/>
      <x:c r="M26" s="2"/>
      <x:c r="N26" s="2"/>
      <x:c r="O26" s="2"/>
    </x:row>
    <x:row r="27" ht="27" customHeight="1">
      <x:c r="A27" s="2" t="str">
        <x:v>C</x:v>
      </x:c>
      <x:c r="B27" s="2" t="n">
        <x:v>80</x:v>
      </x:c>
      <x:c r="C27" s="29" t="n">
        <x:v>0.25</x:v>
      </x:c>
      <x:c r="D27" s="2" t="n">
        <x:v>8</x:v>
      </x:c>
      <x:c r="E27" s="2" t="n">
        <x:v>20</x:v>
      </x:c>
      <x:c r="F27" s="2" t="n">
        <x:v>300</x:v>
      </x:c>
      <x:c r="G27" s="2" t="n">
        <x:v>30</x:v>
      </x:c>
      <x:c r="H27" s="2" t="n">
        <x:v>180</x:v>
      </x:c>
      <x:c r="I27" s="2" t="n">
        <x:v>36</x:v>
      </x:c>
      <x:c r="J27" s="2" t="n">
        <x:v>69.9</x:v>
      </x:c>
      <x:c r="K27" s="2"/>
      <x:c r="L27" s="2"/>
      <x:c r="M27" s="2"/>
      <x:c r="N27" s="2"/>
      <x:c r="O27" s="2"/>
    </x:row>
    <x:row r="28" ht="27" customHeight="1">
      <x:c r="A28" s="2"/>
      <x:c r="B28" s="2"/>
      <x:c r="C28" s="2"/>
      <x:c r="D28" s="2"/>
      <x:c r="E28" s="2"/>
      <x:c r="F28" s="2"/>
      <x:c r="G28" s="2"/>
      <x:c r="H28" s="2"/>
      <x:c r="I28" s="2"/>
      <x:c r="J28" s="2"/>
      <x:c r="K28" s="2"/>
      <x:c r="L28" s="2"/>
      <x:c r="M28" s="2"/>
      <x:c r="N28" s="2"/>
      <x:c r="O28" s="2"/>
    </x:row>
    <x:row r="29" ht="27" customHeight="1">
      <x:c r="A29" s="31" t="str">
        <x:v>来源：运输无人机数据.xlsx，数据!C2:R5；距离采用以O01为原点的WGS84局部椭球平面。</x:v>
      </x:c>
      <x:c r="B29" s="2"/>
      <x:c r="C29" s="2"/>
      <x:c r="D29" s="2"/>
      <x:c r="E29" s="2"/>
      <x:c r="F29" s="2"/>
      <x:c r="G29" s="2"/>
      <x:c r="H29" s="2"/>
      <x:c r="I29" s="2"/>
      <x:c r="J29" s="2"/>
      <x:c r="K29" s="2"/>
      <x:c r="L29" s="2"/>
      <x:c r="M29" s="2"/>
      <x:c r="N29" s="2"/>
      <x:c r="O29" s="2"/>
    </x:row>
    <x:row r="30" ht="27" customHeight="1">
      <x:c r="A30" s="31" t="str">
        <x:v>往返时间为纯飞行时间；累计作业时间还包括固定准备、逐箱装载及服务区交接。</x:v>
      </x:c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  <x:c r="M30" s="2"/>
      <x:c r="N30" s="2"/>
      <x:c r="O30" s="2"/>
    </x:row>
    <x:row r="31" ht="27" customHeight="1">
      <x:c r="A31" s="31" t="str">
        <x:v>各架次累计作业时间求和不代表并行机队的最晚完工时刻；本问不进行实体无人机或电池排程。</x:v>
      </x:c>
      <x:c r="B31" s="2"/>
      <x:c r="C31" s="2"/>
      <x:c r="D31" s="2"/>
      <x:c r="E31" s="2"/>
      <x:c r="F31" s="2"/>
      <x:c r="G31" s="2"/>
      <x:c r="H31" s="2"/>
      <x:c r="I31" s="2"/>
      <x:c r="J31" s="2"/>
      <x:c r="K31" s="2"/>
      <x:c r="L31" s="2"/>
      <x:c r="M31" s="2"/>
      <x:c r="N31" s="2"/>
      <x:c r="O31" s="2"/>
    </x:row>
    <x:row r="32" ht="27" customHeight="1">
      <x:c r="A32" s="31" t="str">
        <x:v>水平能耗采用补充定义 Ehor=Euse×d/L(q)；爬升附加能耗采用 Eup=(m0+q)×9.80665×h/(η×3.6×10^6)。</x:v>
      </x:c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2"/>
      <x:c r="O32" s="2"/>
    </x:row>
    <x:row r="33" ht="27" customHeight="1">
      <x:c r="A33" s="31" t="str">
        <x:v>Euse为原表电池可用能量字段；返航SOC另约束消耗不超过Euse×80%。m0为含电池空载质量。</x:v>
      </x:c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  <x:c r="O33" s="2"/>
    </x:row>
    <x:row r="34" ht="27" customHeight="1">
      <x:c r="A34" s="31" t="str">
        <x:v>以上两项为题目参数及物理量纲下的补充计算假设；下降不单独增加附加能耗，返程为空载。</x:v>
      </x:c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  <x:c r="O34" s="2"/>
    </x:row>
    <x:row r="35" ht="27" customHeight="1">
      <x:c r="A35" s="31" t="str">
        <x:v>求解器能量可行性容差为1e-9 kWh；连续安全载荷二分精度为0.000001 kg。</x:v>
      </x:c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  <x:c r="O35" s="2"/>
    </x:row>
    <x:row r="36" ht="27" customHeight="1">
      <x:c r="A36" s="31" t="str">
        <x:v>逐候选能耗按1/1000000000000 kWh、时间按1/1000000 s整数量化后累加比较；表中报告未量化原值。</x:v>
      </x:c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  <x:c r="O36" s="2"/>
    </x:row>
    <x:row r="37" ht="27" customHeight="1">
      <x:c r="A37" s="31" t="str">
        <x:v>表中为固定优化方案及其计算检查，编辑单元格不会自动重新求解组批。</x:v>
      </x:c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  <x:c r="O37" s="2"/>
    </x:row>
    <x:row r="38" ht="27" customHeight="1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  <x:c r="O38" s="2"/>
    </x:row>
    <x:row r="39" ht="27" customHeight="1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  <x:c r="O39" s="2"/>
    </x:row>
  </x:sheetData>
  <x:conditionalFormatting sqref="O2:O19">
    <x:cfRule type="containsText" dxfId="0" priority="1" operator="containsText" text="不满足"/>
  </x:conditionalFormatting>
  <x:pageMargins left="0.7" right="0.7" top="0.75" bottom="0.75" header="0.3" footer="0.3"/>
</x:worksheet>
</file>