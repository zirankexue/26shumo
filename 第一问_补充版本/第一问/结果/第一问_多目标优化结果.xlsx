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95e8bc0ea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方案比较" sheetId="1" r:id="R48b805529438468b"/>
    <x:sheet xmlns:r="http://schemas.openxmlformats.org/officeDocument/2006/relationships" name="完整前沿" sheetId="2" r:id="R9f35f99e41d54df3"/>
    <x:sheet xmlns:r="http://schemas.openxmlformats.org/officeDocument/2006/relationships" name="代表方案批次" sheetId="3" r:id="R8bec06feb1f8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00000"/>
  </x:numFmts>
  <x:fonts count="5">
    <x:font>
      <x:sz val="11"/>
      <x:name val="Carlito"/>
    </x:font>
    <x:font>
      <x:sz val="10"/>
      <x:color rgb="FF243746"/>
      <x:name val="Microsoft YaHei"/>
    </x:font>
    <x:font>
      <x:b/>
      <x:sz val="14"/>
      <x:color rgb="FF183650"/>
      <x:name val="Microsoft YaHei"/>
    </x:font>
    <x:font>
      <x:sz val="10"/>
      <x:color rgb="FF526574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83650"/>
      </x:patternFill>
    </x:fill>
    <x:fill>
      <x:patternFill patternType="solid">
        <x:fgColor rgb="FFEEF3F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1C1C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58687f3cbb45ee" /><Relationship Type="http://schemas.openxmlformats.org/officeDocument/2006/relationships/theme" Target="/xl/theme/theme1.xml" Id="R2ab222b2686042ac" /><Relationship Type="http://schemas.openxmlformats.org/officeDocument/2006/relationships/sharedStrings" Target="/xl/sharedStrings.xml" Id="R041f7b1070bc4ed0" /><Relationship Type="http://schemas.openxmlformats.org/officeDocument/2006/relationships/worksheet" Target="/xl/worksheets/sheet1.xml" Id="R48b805529438468b" /><Relationship Type="http://schemas.openxmlformats.org/officeDocument/2006/relationships/worksheet" Target="/xl/worksheets/sheet2.xml" Id="R9f35f99e41d54df3" /><Relationship Type="http://schemas.openxmlformats.org/officeDocument/2006/relationships/worksheet" Target="/xl/worksheets/sheet3.xml" Id="R8bec06feb1f84c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65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2.5" hidden="0" customWidth="1"/>
    <x:col min="2" max="2" width="16.5" hidden="0" customWidth="1"/>
    <x:col min="3" max="3" width="34" hidden="0" customWidth="1"/>
    <x:col min="4" max="4" width="10.630000114440918" hidden="0" customWidth="1"/>
    <x:col min="5" max="5" width="17.6299991607666" hidden="0" customWidth="1"/>
    <x:col min="6" max="6" width="20.25" hidden="0" customWidth="1"/>
    <x:col min="7" max="7" width="18.1299991607666" hidden="0" customWidth="1"/>
    <x:col min="8" max="8" width="19" hidden="0" customWidth="1"/>
    <x:col min="9" max="9" width="17.3799991607666" hidden="0" customWidth="1"/>
    <x:col min="10" max="10" width="17.6299991607666" hidden="0" customWidth="1"/>
    <x:col min="11" max="11" width="13" hidden="0" customWidth="1"/>
    <x:col min="12" max="12" width="18.1299991607666" hidden="0" customWidth="1"/>
    <x:col min="13" max="13" width="20.6299991607666" hidden="0" customWidth="1"/>
    <x:col min="14" max="14" width="15" hidden="0" customWidth="1"/>
  </x:cols>
  <x:sheetData>
    <x:row r="1" ht="32" customHeight="1">
      <x:c r="A1" s="3" t="str">
        <x:v>第一问三目标组批方案比较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4" t="str">
        <x:v>目标：架次数、总能耗、累计作业时间。保留不同权衡方案，按目标优先级或偏好选择。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8" customHeight="1">
      <x:c r="A3" s="4" t="str">
        <x:v>与上一轮方案的变化量为“本方案－上一轮”；负数表示减少。完整非支配前沿与代表组批可按方案ID回溯。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44" customHeight="1">
      <x:c r="A5" s="9" t="str">
        <x:v>方案名称</x:v>
      </x:c>
      <x:c r="B5" s="10" t="str">
        <x:v>方案ID</x:v>
      </x:c>
      <x:c r="C5" s="10" t="str">
        <x:v>目标优先级／选取规则</x:v>
      </x:c>
      <x:c r="D5" s="10" t="str">
        <x:v>架次数</x:v>
      </x:c>
      <x:c r="E5" s="10" t="str">
        <x:v>总能耗（kWh）</x:v>
      </x:c>
      <x:c r="F5" s="10" t="str">
        <x:v>累计作业时间（s）</x:v>
      </x:c>
      <x:c r="G5" s="10" t="str">
        <x:v>累计作业时间（h）</x:v>
      </x:c>
      <x:c r="H5" s="10" t="str">
        <x:v>纯飞行时间（s）</x:v>
      </x:c>
      <x:c r="I5" s="10" t="str">
        <x:v>A/B/C型架次数</x:v>
      </x:c>
      <x:c r="J5" s="10" t="str">
        <x:v>最低返航SOC（%）</x:v>
      </x:c>
      <x:c r="K5" s="10" t="str">
        <x:v>架次数变化</x:v>
      </x:c>
      <x:c r="L5" s="10" t="str">
        <x:v>能耗变化（kWh）</x:v>
      </x:c>
      <x:c r="M5" s="10" t="str">
        <x:v>累计作业变化（s）</x:v>
      </x:c>
      <x:c r="N5" s="11" t="str">
        <x:v>Pareto前沿</x:v>
      </x:c>
    </x:row>
    <x:row r="6" ht="48" customHeight="1">
      <x:c r="A6" s="2" t="str">
        <x:v>上一轮方案</x:v>
      </x:c>
      <x:c r="B6" s="2" t="str">
        <x:v>BASELINE</x:v>
      </x:c>
      <x:c r="C6" s="13" t="str">
        <x:v>先最少架次，再最低能耗，再最短累计作业时间</x:v>
      </x:c>
      <x:c r="D6" s="15" t="n">
        <x:v>18</x:v>
      </x:c>
      <x:c r="E6" s="23" t="n">
        <x:v>59.13226032599277</x:v>
      </x:c>
      <x:c r="F6" s="19" t="n">
        <x:v>32776.5167822769</x:v>
      </x:c>
      <x:c r="G6" s="23" t="n">
        <x:f>F6/3600</x:f>
        <x:v>9.104587995076917</x:v>
      </x:c>
      <x:c r="H6" s="19" t="n">
        <x:v>19288.516782276904</x:v>
      </x:c>
      <x:c r="I6" s="15" t="str">
        <x:v>0 / 9 / 9</x:v>
      </x:c>
      <x:c r="J6" s="19" t="n">
        <x:v>23.089248385317727</x:v>
      </x:c>
      <x:c r="K6" s="15" t="n">
        <x:v>0</x:v>
      </x:c>
      <x:c r="L6" s="23" t="n">
        <x:v>0</x:v>
      </x:c>
      <x:c r="M6" s="19" t="n">
        <x:v>0</x:v>
      </x:c>
      <x:c r="N6" s="17" t="str">
        <x:v>是（PF001）</x:v>
      </x:c>
    </x:row>
    <x:row r="7" ht="48" customHeight="1">
      <x:c r="A7" s="12" t="str">
        <x:v>推荐方案：架次与时间优先</x:v>
      </x:c>
      <x:c r="B7" s="12" t="str">
        <x:v>PF001</x:v>
      </x:c>
      <x:c r="C7" s="14" t="str">
        <x:v>先最少架次，再最低能耗，再最短累计作业时间</x:v>
      </x:c>
      <x:c r="D7" s="16" t="n">
        <x:f>COUNTIFS('代表方案批次'!$A$5:$A$41,B7)</x:f>
        <x:v>18</x:v>
      </x:c>
      <x:c r="E7" s="24" t="n">
        <x:f>SUMIFS('代表方案批次'!$I$5:$I$41,'代表方案批次'!$A$5:$A$41,B7)</x:f>
        <x:v>59.13226032599276</x:v>
      </x:c>
      <x:c r="F7" s="20" t="n">
        <x:f>SUMIFS('代表方案批次'!$J$5:$J$41,'代表方案批次'!$A$5:$A$41,B7)</x:f>
        <x:v>32776.51678227689</x:v>
      </x:c>
      <x:c r="G7" s="24" t="n">
        <x:f>F7/3600</x:f>
        <x:v>9.104587995076914</x:v>
      </x:c>
      <x:c r="H7" s="20" t="n">
        <x:f>SUMIFS('代表方案批次'!$H$5:$H$41,'代表方案批次'!$A$5:$A$41,B7)</x:f>
        <x:v>19288.5167822769</x:v>
      </x:c>
      <x:c r="I7" s="16" t="str">
        <x:f>COUNTIFS('代表方案批次'!$A$5:$A$41,B7,'代表方案批次'!$D$5:$D$41,"A")&amp;" / "&amp;COUNTIFS('代表方案批次'!$A$5:$A$41,B7,'代表方案批次'!$D$5:$D$41,"B")&amp;" / "&amp;COUNTIFS('代表方案批次'!$A$5:$A$41,B7,'代表方案批次'!$D$5:$D$41,"C")</x:f>
        <x:v>0 / 9 / 9</x:v>
      </x:c>
      <x:c r="J7" s="20" t="n">
        <x:f>MIN('代表方案批次'!K5,'代表方案批次'!K6,'代表方案批次'!K7,'代表方案批次'!K8,'代表方案批次'!K9,'代表方案批次'!K10,'代表方案批次'!K11,'代表方案批次'!K12,'代表方案批次'!K13,'代表方案批次'!K14,'代表方案批次'!K15,'代表方案批次'!K16,'代表方案批次'!K17,'代表方案批次'!K18,'代表方案批次'!K19,'代表方案批次'!K20,'代表方案批次'!K21,'代表方案批次'!K22)</x:f>
        <x:v>23.089248385317727</x:v>
      </x:c>
      <x:c r="K7" s="16" t="n">
        <x:f>D7-$D$6</x:f>
        <x:v>0</x:v>
      </x:c>
      <x:c r="L7" s="24" t="n">
        <x:f>E7-$E$6</x:f>
        <x:v>-7.105427357601002e-15</x:v>
      </x:c>
      <x:c r="M7" s="20" t="n">
        <x:f>F7-$F$6</x:f>
        <x:v>-7.275957614183426e-12</x:v>
      </x:c>
      <x:c r="N7" s="18" t="str">
        <x:v>是</x:v>
      </x:c>
    </x:row>
    <x:row r="8" ht="48" customHeight="1">
      <x:c r="A8" s="2" t="str">
        <x:v>备选方案：能耗优先</x:v>
      </x:c>
      <x:c r="B8" s="2" t="str">
        <x:v>PF002</x:v>
      </x:c>
      <x:c r="C8" s="13" t="str">
        <x:v>先最低总能耗，再最少架次，再最短累计作业时间</x:v>
      </x:c>
      <x:c r="D8" s="15" t="n">
        <x:f>COUNTIFS('代表方案批次'!$A$5:$A$41,B8)</x:f>
        <x:v>19</x:v>
      </x:c>
      <x:c r="E8" s="23" t="n">
        <x:f>SUMIFS('代表方案批次'!$I$5:$I$41,'代表方案批次'!$A$5:$A$41,B8)</x:f>
        <x:v>59.034877737802006</x:v>
      </x:c>
      <x:c r="F8" s="19" t="n">
        <x:f>SUMIFS('代表方案批次'!$J$5:$J$41,'代表方案批次'!$A$5:$A$41,B8)</x:f>
        <x:v>34440.488752027464</x:v>
      </x:c>
      <x:c r="G8" s="23" t="n">
        <x:f>F8/3600</x:f>
        <x:v>9.56680243111874</x:v>
      </x:c>
      <x:c r="H8" s="19" t="n">
        <x:f>SUMIFS('代表方案批次'!$H$5:$H$41,'代表方案批次'!$A$5:$A$41,B8)</x:f>
        <x:v>20562.48875202747</x:v>
      </x:c>
      <x:c r="I8" s="15" t="str">
        <x:f>COUNTIFS('代表方案批次'!$A$5:$A$41,B8,'代表方案批次'!$D$5:$D$41,"A")&amp;" / "&amp;COUNTIFS('代表方案批次'!$A$5:$A$41,B8,'代表方案批次'!$D$5:$D$41,"B")&amp;" / "&amp;COUNTIFS('代表方案批次'!$A$5:$A$41,B8,'代表方案批次'!$D$5:$D$41,"C")</x:f>
        <x:v>0 / 11 / 8</x:v>
      </x:c>
      <x:c r="J8" s="19" t="n">
        <x:f>MIN('代表方案批次'!K23,'代表方案批次'!K24,'代表方案批次'!K25,'代表方案批次'!K26,'代表方案批次'!K27,'代表方案批次'!K28,'代表方案批次'!K29,'代表方案批次'!K30,'代表方案批次'!K31,'代表方案批次'!K32,'代表方案批次'!K33,'代表方案批次'!K34,'代表方案批次'!K35,'代表方案批次'!K36,'代表方案批次'!K37,'代表方案批次'!K38,'代表方案批次'!K39,'代表方案批次'!K40,'代表方案批次'!K41)</x:f>
        <x:v>23.089248385317727</x:v>
      </x:c>
      <x:c r="K8" s="15" t="n">
        <x:f>D8-$D$6</x:f>
        <x:v>1</x:v>
      </x:c>
      <x:c r="L8" s="23" t="n">
        <x:f>E8-$E$6</x:f>
        <x:v>-0.09738258819076151</x:v>
      </x:c>
      <x:c r="M8" s="19" t="n">
        <x:f>F8-$F$6</x:f>
        <x:v>1663.9719697505643</x:v>
      </x:c>
      <x:c r="N8" s="17" t="str">
        <x:v>是</x:v>
      </x:c>
    </x:row>
    <x:row r="9" ht="27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7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32" customHeight="1">
      <x:c r="A11" s="3" t="str">
        <x:v>六种目标优先顺序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7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44" customHeight="1">
      <x:c r="A13" s="9" t="str">
        <x:v>优先顺序</x:v>
      </x:c>
      <x:c r="B13" s="10" t="str">
        <x:v>所选方案ID</x:v>
      </x:c>
      <x:c r="C13" s="10" t="str">
        <x:v>目标含义（从左到右）</x:v>
      </x:c>
      <x:c r="D13" s="10" t="str">
        <x:v>架次数</x:v>
      </x:c>
      <x:c r="E13" s="10" t="str">
        <x:v>总能耗（kWh）</x:v>
      </x:c>
      <x:c r="F13" s="10" t="str">
        <x:v>累计作业时间（s）</x:v>
      </x:c>
      <x:c r="G13" s="11" t="str">
        <x:v>累计作业时间（h）</x:v>
      </x:c>
      <x:c r="H13" s="2"/>
      <x:c r="I13" s="2"/>
      <x:c r="J13" s="2"/>
      <x:c r="K13" s="2"/>
      <x:c r="L13" s="2"/>
      <x:c r="M13" s="2"/>
      <x:c r="N13" s="2"/>
    </x:row>
    <x:row r="14" ht="27" customHeight="1">
      <x:c r="A14" s="2" t="str">
        <x:v>N → E → T</x:v>
      </x:c>
      <x:c r="B14" s="2" t="str">
        <x:v>PF001</x:v>
      </x:c>
      <x:c r="C14" s="2" t="str">
        <x:v>架次 → 能耗 → 累计作业时间</x:v>
      </x:c>
      <x:c r="D14" s="15" t="n">
        <x:f>INDEX('完整前沿'!$B$5:$B$6,MATCH(B14,'完整前沿'!$A$5:$A$6,0))</x:f>
        <x:v>18</x:v>
      </x:c>
      <x:c r="E14" s="23" t="n">
        <x:f>INDEX('完整前沿'!$C$5:$C$6,MATCH(B14,'完整前沿'!$A$5:$A$6,0))</x:f>
        <x:v>59.13226032599277</x:v>
      </x:c>
      <x:c r="F14" s="19" t="n">
        <x:f>INDEX('完整前沿'!$D$5:$D$6,MATCH(B14,'完整前沿'!$A$5:$A$6,0))</x:f>
        <x:v>32776.5167822769</x:v>
      </x:c>
      <x:c r="G14" s="23" t="n">
        <x:f>F14/3600</x:f>
        <x:v>9.104587995076917</x:v>
      </x:c>
      <x:c r="H14" s="2"/>
      <x:c r="I14" s="2"/>
      <x:c r="J14" s="2"/>
      <x:c r="K14" s="2"/>
      <x:c r="L14" s="2"/>
      <x:c r="M14" s="2"/>
      <x:c r="N14" s="2"/>
    </x:row>
    <x:row r="15" ht="27" customHeight="1">
      <x:c r="A15" s="12" t="str">
        <x:v>N → T → E</x:v>
      </x:c>
      <x:c r="B15" s="12" t="str">
        <x:v>PF001</x:v>
      </x:c>
      <x:c r="C15" s="12" t="str">
        <x:v>架次 → 累计作业时间 → 能耗</x:v>
      </x:c>
      <x:c r="D15" s="16" t="n">
        <x:f>INDEX('完整前沿'!$B$5:$B$6,MATCH(B15,'完整前沿'!$A$5:$A$6,0))</x:f>
        <x:v>18</x:v>
      </x:c>
      <x:c r="E15" s="24" t="n">
        <x:f>INDEX('完整前沿'!$C$5:$C$6,MATCH(B15,'完整前沿'!$A$5:$A$6,0))</x:f>
        <x:v>59.13226032599277</x:v>
      </x:c>
      <x:c r="F15" s="20" t="n">
        <x:f>INDEX('完整前沿'!$D$5:$D$6,MATCH(B15,'完整前沿'!$A$5:$A$6,0))</x:f>
        <x:v>32776.5167822769</x:v>
      </x:c>
      <x:c r="G15" s="24" t="n">
        <x:f>F15/3600</x:f>
        <x:v>9.104587995076917</x:v>
      </x:c>
      <x:c r="H15" s="2"/>
      <x:c r="I15" s="2"/>
      <x:c r="J15" s="2"/>
      <x:c r="K15" s="2"/>
      <x:c r="L15" s="2"/>
      <x:c r="M15" s="2"/>
      <x:c r="N15" s="2"/>
    </x:row>
    <x:row r="16" ht="27" customHeight="1">
      <x:c r="A16" s="2" t="str">
        <x:v>E → N → T</x:v>
      </x:c>
      <x:c r="B16" s="2" t="str">
        <x:v>PF002</x:v>
      </x:c>
      <x:c r="C16" s="2" t="str">
        <x:v>能耗 → 架次 → 累计作业时间</x:v>
      </x:c>
      <x:c r="D16" s="15" t="n">
        <x:f>INDEX('完整前沿'!$B$5:$B$6,MATCH(B16,'完整前沿'!$A$5:$A$6,0))</x:f>
        <x:v>19</x:v>
      </x:c>
      <x:c r="E16" s="23" t="n">
        <x:f>INDEX('完整前沿'!$C$5:$C$6,MATCH(B16,'完整前沿'!$A$5:$A$6,0))</x:f>
        <x:v>59.03487773780201</x:v>
      </x:c>
      <x:c r="F16" s="19" t="n">
        <x:f>INDEX('完整前沿'!$D$5:$D$6,MATCH(B16,'完整前沿'!$A$5:$A$6,0))</x:f>
        <x:v>34440.48875202747</x:v>
      </x:c>
      <x:c r="G16" s="23" t="n">
        <x:f>F16/3600</x:f>
        <x:v>9.566802431118742</x:v>
      </x:c>
      <x:c r="H16" s="2"/>
      <x:c r="I16" s="2"/>
      <x:c r="J16" s="2"/>
      <x:c r="K16" s="2"/>
      <x:c r="L16" s="2"/>
      <x:c r="M16" s="2"/>
      <x:c r="N16" s="2"/>
    </x:row>
    <x:row r="17" ht="27" customHeight="1">
      <x:c r="A17" s="12" t="str">
        <x:v>E → T → N</x:v>
      </x:c>
      <x:c r="B17" s="12" t="str">
        <x:v>PF002</x:v>
      </x:c>
      <x:c r="C17" s="12" t="str">
        <x:v>能耗 → 累计作业时间 → 架次</x:v>
      </x:c>
      <x:c r="D17" s="16" t="n">
        <x:f>INDEX('完整前沿'!$B$5:$B$6,MATCH(B17,'完整前沿'!$A$5:$A$6,0))</x:f>
        <x:v>19</x:v>
      </x:c>
      <x:c r="E17" s="24" t="n">
        <x:f>INDEX('完整前沿'!$C$5:$C$6,MATCH(B17,'完整前沿'!$A$5:$A$6,0))</x:f>
        <x:v>59.03487773780201</x:v>
      </x:c>
      <x:c r="F17" s="20" t="n">
        <x:f>INDEX('完整前沿'!$D$5:$D$6,MATCH(B17,'完整前沿'!$A$5:$A$6,0))</x:f>
        <x:v>34440.48875202747</x:v>
      </x:c>
      <x:c r="G17" s="24" t="n">
        <x:f>F17/3600</x:f>
        <x:v>9.566802431118742</x:v>
      </x:c>
      <x:c r="H17" s="2"/>
      <x:c r="I17" s="2"/>
      <x:c r="J17" s="2"/>
      <x:c r="K17" s="2"/>
      <x:c r="L17" s="2"/>
      <x:c r="M17" s="2"/>
      <x:c r="N17" s="2"/>
    </x:row>
    <x:row r="18" ht="27" customHeight="1">
      <x:c r="A18" s="2" t="str">
        <x:v>T → N → E</x:v>
      </x:c>
      <x:c r="B18" s="2" t="str">
        <x:v>PF001</x:v>
      </x:c>
      <x:c r="C18" s="2" t="str">
        <x:v>累计作业时间 → 架次 → 能耗</x:v>
      </x:c>
      <x:c r="D18" s="15" t="n">
        <x:f>INDEX('完整前沿'!$B$5:$B$6,MATCH(B18,'完整前沿'!$A$5:$A$6,0))</x:f>
        <x:v>18</x:v>
      </x:c>
      <x:c r="E18" s="23" t="n">
        <x:f>INDEX('完整前沿'!$C$5:$C$6,MATCH(B18,'完整前沿'!$A$5:$A$6,0))</x:f>
        <x:v>59.13226032599277</x:v>
      </x:c>
      <x:c r="F18" s="19" t="n">
        <x:f>INDEX('完整前沿'!$D$5:$D$6,MATCH(B18,'完整前沿'!$A$5:$A$6,0))</x:f>
        <x:v>32776.5167822769</x:v>
      </x:c>
      <x:c r="G18" s="23" t="n">
        <x:f>F18/3600</x:f>
        <x:v>9.104587995076917</x:v>
      </x:c>
      <x:c r="H18" s="2"/>
      <x:c r="I18" s="2"/>
      <x:c r="J18" s="2"/>
      <x:c r="K18" s="2"/>
      <x:c r="L18" s="2"/>
      <x:c r="M18" s="2"/>
      <x:c r="N18" s="2"/>
    </x:row>
    <x:row r="19" ht="27" customHeight="1">
      <x:c r="A19" s="12" t="str">
        <x:v>T → E → N</x:v>
      </x:c>
      <x:c r="B19" s="12" t="str">
        <x:v>PF001</x:v>
      </x:c>
      <x:c r="C19" s="12" t="str">
        <x:v>累计作业时间 → 能耗 → 架次</x:v>
      </x:c>
      <x:c r="D19" s="16" t="n">
        <x:f>INDEX('完整前沿'!$B$5:$B$6,MATCH(B19,'完整前沿'!$A$5:$A$6,0))</x:f>
        <x:v>18</x:v>
      </x:c>
      <x:c r="E19" s="24" t="n">
        <x:f>INDEX('完整前沿'!$C$5:$C$6,MATCH(B19,'完整前沿'!$A$5:$A$6,0))</x:f>
        <x:v>59.13226032599277</x:v>
      </x:c>
      <x:c r="F19" s="20" t="n">
        <x:f>INDEX('完整前沿'!$D$5:$D$6,MATCH(B19,'完整前沿'!$A$5:$A$6,0))</x:f>
        <x:v>32776.5167822769</x:v>
      </x:c>
      <x:c r="G19" s="24" t="n">
        <x:f>F19/3600</x:f>
        <x:v>9.104587995076917</x:v>
      </x:c>
      <x:c r="H19" s="2"/>
      <x:c r="I19" s="2"/>
      <x:c r="J19" s="2"/>
      <x:c r="K19" s="2"/>
      <x:c r="L19" s="2"/>
      <x:c r="M19" s="2"/>
      <x:c r="N19" s="2"/>
    </x:row>
    <x:row r="20" ht="27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7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8" customHeight="1">
      <x:c r="A22" s="4" t="str">
        <x:v>实际权衡：PF002比PF001多1架次，节能0.097383 kWh（0.1647%），累计作业增加1663.97 s（5.0767%）。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8" customHeight="1">
      <x:c r="A23" s="4" t="str">
        <x:v>具体差异：S008由1架次C型改为2架次B型。其他服务区复用原方案。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8" customHeight="1">
      <x:c r="A24" s="4" t="str">
        <x:v>时间口径：累计作业时间为各架次准备、逐箱装载、飞行及交接时间之和，不等于并行机队最晚完工时刻。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8" customHeight="1">
      <x:c r="A25" s="4" t="str">
        <x:v>航线采用以O01为原点的WGS84局部椭球平面；各架次只服务一个区并空载返航，本问不进行实体资源调度。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8" customHeight="1">
      <x:c r="A26" s="4" t="str">
        <x:v>沿用既定补充能耗模型：Ehor=Euse×d/L(q)，Eup=(m0+q)×9.80665×h/(η×3.6×10^6)，下降不另计附加能耗。</x:v>
      </x:c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8" customHeight="1">
      <x:c r="A27" s="4" t="str">
        <x:v>上述能耗展开式为补充计算假设；Euse是原表电池可用能量字段，返航SOC另约束能耗≤Euse×80%，m0已含电池。</x:v>
      </x:c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8" customHeight="1">
      <x:c r="A28" s="4" t="str">
        <x:v>完整前沿和代表方案由求解程序生成；本工作簿用于比较及核对，编辑单元格不会重新运行优化。</x:v>
      </x:c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8" customHeight="1">
      <x:c r="A29" s="4" t="str">
        <x:v>六种顺序均在完整前沿上选取；逐候选能耗按1/1000000000000 kWh、时间按1/1000000 s整数量化后累加比较，表中报告原值。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8" customHeight="1">
      <x:c r="A30" s="4" t="str">
        <x:v>来源：results/question1_multiobjective/multiobjective.json；上一轮参照：results/question1_batching/solution.json。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7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738B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6.5" hidden="0" customWidth="1"/>
    <x:col min="2" max="2" width="12.130000114440918" hidden="0" customWidth="1"/>
    <x:col min="3" max="3" width="20.6299991607666" hidden="0" customWidth="1"/>
    <x:col min="4" max="4" width="22.25" hidden="0" customWidth="1"/>
    <x:col min="5" max="5" width="21.25" hidden="0" customWidth="1"/>
    <x:col min="6" max="6" width="40.630001068115234" hidden="0" customWidth="1"/>
    <x:col min="7" max="7" width="24.3799991607666" hidden="0" customWidth="1"/>
  </x:cols>
  <x:sheetData>
    <x:row r="1" ht="32" customHeight="1">
      <x:c r="A1" s="3" t="str">
        <x:v>完整 Pareto 前沿</x:v>
      </x:c>
      <x:c r="B1" s="2"/>
      <x:c r="C1" s="2"/>
      <x:c r="D1" s="2"/>
      <x:c r="E1" s="2"/>
      <x:c r="F1" s="2"/>
      <x:c r="G1" s="2"/>
    </x:row>
    <x:row r="2" ht="28" customHeight="1">
      <x:c r="A2" s="4" t="str">
        <x:v>三个目标均为最小化；对任一前沿点，不存在另一可行方案在三个目标均不更差时至少改善一项。</x:v>
      </x:c>
      <x:c r="B2" s="2"/>
      <x:c r="C2" s="2"/>
      <x:c r="D2" s="2"/>
      <x:c r="E2" s="2"/>
      <x:c r="F2" s="2"/>
      <x:c r="G2" s="2"/>
    </x:row>
    <x:row r="3" ht="27" customHeight="1">
      <x:c r="A3" s="2"/>
      <x:c r="B3" s="2"/>
      <x:c r="C3" s="2"/>
      <x:c r="D3" s="2"/>
      <x:c r="E3" s="2"/>
      <x:c r="F3" s="2"/>
      <x:c r="G3" s="2"/>
    </x:row>
    <x:row r="4" ht="44" customHeight="1">
      <x:c r="A4" s="9" t="str">
        <x:v>方案ID</x:v>
      </x:c>
      <x:c r="B4" s="10" t="str">
        <x:v>架次数</x:v>
      </x:c>
      <x:c r="C4" s="10" t="str">
        <x:v>总能耗（kWh）</x:v>
      </x:c>
      <x:c r="D4" s="10" t="str">
        <x:v>累计作业时间（s）</x:v>
      </x:c>
      <x:c r="E4" s="10" t="str">
        <x:v>累计作业时间（h）</x:v>
      </x:c>
      <x:c r="F4" s="10" t="str">
        <x:v>代表方案标记</x:v>
      </x:c>
      <x:c r="G4" s="11" t="str">
        <x:v>回溯入口</x:v>
      </x:c>
    </x:row>
    <x:row r="5" ht="27" customHeight="1">
      <x:c r="A5" s="2" t="str">
        <x:v>PF001</x:v>
      </x:c>
      <x:c r="B5" s="15" t="n">
        <x:v>18</x:v>
      </x:c>
      <x:c r="C5" s="23" t="n">
        <x:v>59.13226032599277</x:v>
      </x:c>
      <x:c r="D5" s="19" t="n">
        <x:v>32776.5167822769</x:v>
      </x:c>
      <x:c r="E5" s="23" t="n">
        <x:f>D5/3600</x:f>
        <x:v>9.104587995076917</x:v>
      </x:c>
      <x:c r="F5" s="13" t="str">
        <x:v>推荐方案：架次与时间优先</x:v>
      </x:c>
      <x:c r="G5" s="13" t="str">
        <x:v>multiobjective.json / 方案ID</x:v>
      </x:c>
    </x:row>
    <x:row r="6" ht="27" customHeight="1">
      <x:c r="A6" s="12" t="str">
        <x:v>PF002</x:v>
      </x:c>
      <x:c r="B6" s="16" t="n">
        <x:v>19</x:v>
      </x:c>
      <x:c r="C6" s="24" t="n">
        <x:v>59.03487773780201</x:v>
      </x:c>
      <x:c r="D6" s="20" t="n">
        <x:v>34440.48875202747</x:v>
      </x:c>
      <x:c r="E6" s="24" t="n">
        <x:f>D6/3600</x:f>
        <x:v>9.566802431118742</x:v>
      </x:c>
      <x:c r="F6" s="14" t="str">
        <x:v>备选方案：能耗优先</x:v>
      </x:c>
      <x:c r="G6" s="14" t="str">
        <x:v>multiobjective.json / 方案ID</x:v>
      </x:c>
    </x:row>
    <x:row r="7" ht="27" customHeight="1">
      <x:c r="A7" s="2"/>
      <x:c r="B7" s="2"/>
      <x:c r="C7" s="2"/>
      <x:c r="D7" s="2"/>
      <x:c r="E7" s="2"/>
      <x:c r="F7" s="2"/>
      <x:c r="G7" s="2"/>
    </x:row>
    <x:row r="8" ht="27" customHeight="1">
      <x:c r="A8" s="2"/>
      <x:c r="B8" s="2"/>
      <x:c r="C8" s="2"/>
      <x:c r="D8" s="2"/>
      <x:c r="E8" s="2"/>
      <x:c r="F8" s="2"/>
      <x:c r="G8" s="2"/>
    </x:row>
    <x:row r="9" ht="27" customHeight="1">
      <x:c r="A9" s="2"/>
      <x:c r="B9" s="2"/>
      <x:c r="C9" s="2"/>
      <x:c r="D9" s="2"/>
      <x:c r="E9" s="2"/>
      <x:c r="F9" s="2"/>
      <x:c r="G9" s="2"/>
    </x:row>
    <x:row r="10" ht="27" customHeight="1">
      <x:c r="A10" s="2"/>
      <x:c r="B10" s="2"/>
      <x:c r="C10" s="2"/>
      <x:c r="D10" s="2"/>
      <x:c r="E10" s="2"/>
      <x:c r="F10" s="2"/>
      <x:c r="G1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6.25" hidden="0" customWidth="1"/>
    <x:col min="2" max="2" width="13.380000114440918" hidden="0" customWidth="1"/>
    <x:col min="3" max="3" width="11.75" hidden="0" customWidth="1"/>
    <x:col min="4" max="4" width="8.75" hidden="0" customWidth="1"/>
    <x:col min="5" max="5" width="56" hidden="0" customWidth="1"/>
    <x:col min="6" max="6" width="12.880000114440918" hidden="0" customWidth="1"/>
    <x:col min="7" max="7" width="13.380000114440918" hidden="0" customWidth="1"/>
    <x:col min="8" max="8" width="15.630000114440918" hidden="0" customWidth="1"/>
    <x:col min="9" max="9" width="16.6299991607666" hidden="0" customWidth="1"/>
    <x:col min="10" max="10" width="17.8799991607666" hidden="0" customWidth="1"/>
    <x:col min="11" max="11" width="15.380000114440918" hidden="0" customWidth="1"/>
    <x:col min="12" max="12" width="14.25" hidden="0" customWidth="1"/>
    <x:col min="13" max="13" width="14.25" hidden="0" customWidth="1"/>
    <x:col min="14" max="14" width="16.5" hidden="0" customWidth="1"/>
    <x:col min="15" max="15" width="11.75" hidden="0" customWidth="1"/>
  </x:cols>
  <x:sheetData>
    <x:row r="1" ht="32" customHeight="1">
      <x:c r="A1" s="3" t="str">
        <x:v>代表方案的完整货箱组批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4" t="str">
        <x:v>每个方案独立覆盖全部货箱；不同方案之间的相同箱号是备选分组，不是重复执行。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7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44" customHeight="1">
      <x:c r="A4" s="9" t="str">
        <x:v>方案ID</x:v>
      </x:c>
      <x:c r="B4" s="10" t="str">
        <x:v>架次编号</x:v>
      </x:c>
      <x:c r="C4" s="10" t="str">
        <x:v>服务区</x:v>
      </x:c>
      <x:c r="D4" s="10" t="str">
        <x:v>机型</x:v>
      </x:c>
      <x:c r="E4" s="10" t="str">
        <x:v>货箱编号列表</x:v>
      </x:c>
      <x:c r="F4" s="10" t="str">
        <x:v>质量（kg）</x:v>
      </x:c>
      <x:c r="G4" s="10" t="str">
        <x:v>体积（m³）</x:v>
      </x:c>
      <x:c r="H4" s="10" t="str">
        <x:v>纯飞行（s）</x:v>
      </x:c>
      <x:c r="I4" s="10" t="str">
        <x:v>能耗（kWh）</x:v>
      </x:c>
      <x:c r="J4" s="10" t="str">
        <x:v>累计作业（s）</x:v>
      </x:c>
      <x:c r="K4" s="10" t="str">
        <x:v>返航SOC（%）</x:v>
      </x:c>
      <x:c r="L4" s="10" t="str">
        <x:v>载荷余量（kg）</x:v>
      </x:c>
      <x:c r="M4" s="10" t="str">
        <x:v>体积余量（m³）</x:v>
      </x:c>
      <x:c r="N4" s="10" t="str">
        <x:v>能量余量（kWh）</x:v>
      </x:c>
      <x:c r="O4" s="11" t="str">
        <x:v>约束检验</x:v>
      </x:c>
    </x:row>
    <x:row r="5" ht="61" customHeight="1">
      <x:c r="A5" s="2" t="str">
        <x:v>PF001</x:v>
      </x:c>
      <x:c r="B5" s="2" t="str">
        <x:v>PF001-001</x:v>
      </x:c>
      <x:c r="C5" s="2" t="str">
        <x:v>S001</x:v>
      </x:c>
      <x:c r="D5" s="2" t="str">
        <x:v>C</x:v>
      </x:c>
      <x:c r="E5" s="13" t="str">
        <x:v>S001-WAT-01; S001-WAT-02; S001-WAT-03; S001-FOD-01; S001-FOD-02; S001-FOD-03; S001-HYG-01; S001-HYG-02</x:v>
      </x:c>
      <x:c r="F5" s="19" t="n">
        <x:v>78</x:v>
      </x:c>
      <x:c r="G5" s="21" t="n">
        <x:v>0.235</x:v>
      </x:c>
      <x:c r="H5" s="19" t="n">
        <x:v>618.1750458620229</x:v>
      </x:c>
      <x:c r="I5" s="23" t="n">
        <x:v>2.9957758049046697</x:v>
      </x:c>
      <x:c r="J5" s="19" t="n">
        <x:v>1626.175045862023</x:v>
      </x:c>
      <x:c r="K5" s="19" t="n">
        <x:f>(1-I5/VLOOKUP(D5,$A$47:$E$49,4,FALSE))*100</x:f>
        <x:v>62.552802438691636</x:v>
      </x:c>
      <x:c r="L5" s="19" t="n">
        <x:f>VLOOKUP(D5,$A$47:$E$49,2,FALSE)-F5</x:f>
        <x:v>2</x:v>
      </x:c>
      <x:c r="M5" s="21" t="n">
        <x:f>VLOOKUP(D5,$A$47:$E$49,3,FALSE)-G5</x:f>
        <x:v>0.015000000000000013</x:v>
      </x:c>
      <x:c r="N5" s="23" t="n">
        <x:f>VLOOKUP(D5,$A$47:$E$49,4,FALSE)*(1-VLOOKUP(D5,$A$47:$E$49,5,FALSE)/100)-I5</x:f>
        <x:v>3.4042241950953307</x:v>
      </x:c>
      <x:c r="O5" s="17" t="str">
        <x:f>IF(AND(L5&gt;=-0.0000001,M5&gt;=-0.0000001,N5&gt;=-0.0000001),"满足","不满足")</x:f>
        <x:v>满足</x:v>
      </x:c>
    </x:row>
    <x:row r="6" ht="44" customHeight="1">
      <x:c r="A6" s="12" t="str">
        <x:v>PF001</x:v>
      </x:c>
      <x:c r="B6" s="12" t="str">
        <x:v>PF001-002</x:v>
      </x:c>
      <x:c r="C6" s="12" t="str">
        <x:v>S001</x:v>
      </x:c>
      <x:c r="D6" s="12" t="str">
        <x:v>C</x:v>
      </x:c>
      <x:c r="E6" s="14" t="str">
        <x:v>S001-MED-01; S001-MED-02; S001-WAT-04; S001-WAT-05; S001-WAT-06; S001-WAT-07; S001-WAT-08</x:v>
      </x:c>
      <x:c r="F6" s="20" t="n">
        <x:v>76</x:v>
      </x:c>
      <x:c r="G6" s="22" t="n">
        <x:v>0.159</x:v>
      </x:c>
      <x:c r="H6" s="20" t="n">
        <x:v>618.1750458620229</x:v>
      </x:c>
      <x:c r="I6" s="24" t="n">
        <x:v>2.917588095586827</x:v>
      </x:c>
      <x:c r="J6" s="20" t="n">
        <x:v>1560.175045862023</x:v>
      </x:c>
      <x:c r="K6" s="20" t="n">
        <x:f>(1-I6/VLOOKUP(D6,$A$47:$E$49,4,FALSE))*100</x:f>
        <x:v>63.53014880516466</x:v>
      </x:c>
      <x:c r="L6" s="20" t="n">
        <x:f>VLOOKUP(D6,$A$47:$E$49,2,FALSE)-F6</x:f>
        <x:v>4</x:v>
      </x:c>
      <x:c r="M6" s="22" t="n">
        <x:f>VLOOKUP(D6,$A$47:$E$49,3,FALSE)-G6</x:f>
        <x:v>0.091</x:v>
      </x:c>
      <x:c r="N6" s="24" t="n">
        <x:f>VLOOKUP(D6,$A$47:$E$49,4,FALSE)*(1-VLOOKUP(D6,$A$47:$E$49,5,FALSE)/100)-I6</x:f>
        <x:v>3.482411904413173</x:v>
      </x:c>
      <x:c r="O6" s="18" t="str">
        <x:f>IF(AND(L6&gt;=-0.0000001,M6&gt;=-0.0000001,N6&gt;=-0.0000001),"满足","不满足")</x:f>
        <x:v>满足</x:v>
      </x:c>
    </x:row>
    <x:row r="7" ht="30" customHeight="1">
      <x:c r="A7" s="2" t="str">
        <x:v>PF001</x:v>
      </x:c>
      <x:c r="B7" s="2" t="str">
        <x:v>PF001-003</x:v>
      </x:c>
      <x:c r="C7" s="2" t="str">
        <x:v>S002</x:v>
      </x:c>
      <x:c r="D7" s="2" t="str">
        <x:v>B</x:v>
      </x:c>
      <x:c r="E7" s="13" t="str">
        <x:v>S002-MED-01; S002-WAT-01; S002-FOD-01</x:v>
      </x:c>
      <x:c r="F7" s="19" t="n">
        <x:v>25</x:v>
      </x:c>
      <x:c r="G7" s="21" t="n">
        <x:v>0.067</x:v>
      </x:c>
      <x:c r="H7" s="19" t="n">
        <x:v>1186.7240813077576</x:v>
      </x:c>
      <x:c r="I7" s="23" t="n">
        <x:v>2.7134729412419873</x:v>
      </x:c>
      <x:c r="J7" s="19" t="n">
        <x:v>1816.7240813077576</x:v>
      </x:c>
      <x:c r="K7" s="19" t="n">
        <x:f>(1-I7/VLOOKUP(D7,$A$47:$E$49,4,FALSE))*100</x:f>
        <x:v>32.16317646895032</x:v>
      </x:c>
      <x:c r="L7" s="19" t="n">
        <x:f>VLOOKUP(D7,$A$47:$E$49,2,FALSE)-F7</x:f>
        <x:v>5</x:v>
      </x:c>
      <x:c r="M7" s="21" t="n">
        <x:f>VLOOKUP(D7,$A$47:$E$49,3,FALSE)-G7</x:f>
        <x:v>0.0059999999999999915</x:v>
      </x:c>
      <x:c r="N7" s="23" t="n">
        <x:f>VLOOKUP(D7,$A$47:$E$49,4,FALSE)*(1-VLOOKUP(D7,$A$47:$E$49,5,FALSE)/100)-I7</x:f>
        <x:v>0.48652705875801283</x:v>
      </x:c>
      <x:c r="O7" s="17" t="str">
        <x:f>IF(AND(L7&gt;=-0.0000001,M7&gt;=-0.0000001,N7&gt;=-0.0000001),"满足","不满足")</x:f>
        <x:v>满足</x:v>
      </x:c>
    </x:row>
    <x:row r="8" ht="44" customHeight="1">
      <x:c r="A8" s="12" t="str">
        <x:v>PF001</x:v>
      </x:c>
      <x:c r="B8" s="12" t="str">
        <x:v>PF001-004</x:v>
      </x:c>
      <x:c r="C8" s="12" t="str">
        <x:v>S002</x:v>
      </x:c>
      <x:c r="D8" s="12" t="str">
        <x:v>C</x:v>
      </x:c>
      <x:c r="E8" s="14" t="str">
        <x:v>S002-WAT-02; S002-WAT-03; S002-WAT-04; S002-FOD-02; S002-HYG-01</x:v>
      </x:c>
      <x:c r="F8" s="20" t="n">
        <x:v>56</x:v>
      </x:c>
      <x:c r="G8" s="22" t="n">
        <x:v>0.144</x:v>
      </x:c>
      <x:c r="H8" s="20" t="n">
        <x:v>1231.8421660245544</x:v>
      </x:c>
      <x:c r="I8" s="24" t="n">
        <x:v>5.721356203945945</x:v>
      </x:c>
      <x:c r="J8" s="20" t="n">
        <x:v>2041.8421660245544</x:v>
      </x:c>
      <x:c r="K8" s="20" t="n">
        <x:f>(1-I8/VLOOKUP(D8,$A$47:$E$49,4,FALSE))*100</x:f>
        <x:v>28.48304745067569</x:v>
      </x:c>
      <x:c r="L8" s="20" t="n">
        <x:f>VLOOKUP(D8,$A$47:$E$49,2,FALSE)-F8</x:f>
        <x:v>24</x:v>
      </x:c>
      <x:c r="M8" s="22" t="n">
        <x:f>VLOOKUP(D8,$A$47:$E$49,3,FALSE)-G8</x:f>
        <x:v>0.10600000000000001</x:v>
      </x:c>
      <x:c r="N8" s="24" t="n">
        <x:f>VLOOKUP(D8,$A$47:$E$49,4,FALSE)*(1-VLOOKUP(D8,$A$47:$E$49,5,FALSE)/100)-I8</x:f>
        <x:v>0.6786437960540557</x:v>
      </x:c>
      <x:c r="O8" s="18" t="str">
        <x:f>IF(AND(L8&gt;=-0.0000001,M8&gt;=-0.0000001,N8&gt;=-0.0000001),"满足","不满足")</x:f>
        <x:v>满足</x:v>
      </x:c>
    </x:row>
    <x:row r="9" ht="30" customHeight="1">
      <x:c r="A9" s="2" t="str">
        <x:v>PF001</x:v>
      </x:c>
      <x:c r="B9" s="2" t="str">
        <x:v>PF001-005</x:v>
      </x:c>
      <x:c r="C9" s="2" t="str">
        <x:v>S003</x:v>
      </x:c>
      <x:c r="D9" s="2" t="str">
        <x:v>B</x:v>
      </x:c>
      <x:c r="E9" s="13" t="str">
        <x:v>S003-MED-01; S003-WAT-01; S003-FOD-01</x:v>
      </x:c>
      <x:c r="F9" s="19" t="n">
        <x:v>25</x:v>
      </x:c>
      <x:c r="G9" s="21" t="n">
        <x:v>0.067</x:v>
      </x:c>
      <x:c r="H9" s="19" t="n">
        <x:v>1450.6096650380623</x:v>
      </x:c>
      <x:c r="I9" s="23" t="n">
        <x:v>2.7800780342326075</x:v>
      </x:c>
      <x:c r="J9" s="19" t="n">
        <x:v>2080.6096650380623</x:v>
      </x:c>
      <x:c r="K9" s="19" t="n">
        <x:f>(1-I9/VLOOKUP(D9,$A$47:$E$49,4,FALSE))*100</x:f>
        <x:v>30.49804914418481</x:v>
      </x:c>
      <x:c r="L9" s="19" t="n">
        <x:f>VLOOKUP(D9,$A$47:$E$49,2,FALSE)-F9</x:f>
        <x:v>5</x:v>
      </x:c>
      <x:c r="M9" s="21" t="n">
        <x:f>VLOOKUP(D9,$A$47:$E$49,3,FALSE)-G9</x:f>
        <x:v>0.0059999999999999915</x:v>
      </x:c>
      <x:c r="N9" s="23" t="n">
        <x:f>VLOOKUP(D9,$A$47:$E$49,4,FALSE)*(1-VLOOKUP(D9,$A$47:$E$49,5,FALSE)/100)-I9</x:f>
        <x:v>0.4199219657673927</x:v>
      </x:c>
      <x:c r="O9" s="17" t="str">
        <x:f>IF(AND(L9&gt;=-0.0000001,M9&gt;=-0.0000001,N9&gt;=-0.0000001),"满足","不满足")</x:f>
        <x:v>满足</x:v>
      </x:c>
    </x:row>
    <x:row r="10" ht="44" customHeight="1">
      <x:c r="A10" s="12" t="str">
        <x:v>PF001</x:v>
      </x:c>
      <x:c r="B10" s="12" t="str">
        <x:v>PF001-006</x:v>
      </x:c>
      <x:c r="C10" s="12" t="str">
        <x:v>S003</x:v>
      </x:c>
      <x:c r="D10" s="12" t="str">
        <x:v>C</x:v>
      </x:c>
      <x:c r="E10" s="14" t="str">
        <x:v>S003-WAT-02; S003-WAT-03; S003-WAT-04; S003-FOD-02; S003-HYG-01</x:v>
      </x:c>
      <x:c r="F10" s="20" t="n">
        <x:v>56</x:v>
      </x:c>
      <x:c r="G10" s="22" t="n">
        <x:v>0.144</x:v>
      </x:c>
      <x:c r="H10" s="20" t="n">
        <x:v>1560.1777110992603</x:v>
      </x:c>
      <x:c r="I10" s="24" t="n">
        <x:v>5.7653646949838375</x:v>
      </x:c>
      <x:c r="J10" s="20" t="n">
        <x:v>2370.1777110992603</x:v>
      </x:c>
      <x:c r="K10" s="20" t="n">
        <x:f>(1-I10/VLOOKUP(D10,$A$47:$E$49,4,FALSE))*100</x:f>
        <x:v>27.93294131270203</x:v>
      </x:c>
      <x:c r="L10" s="20" t="n">
        <x:f>VLOOKUP(D10,$A$47:$E$49,2,FALSE)-F10</x:f>
        <x:v>24</x:v>
      </x:c>
      <x:c r="M10" s="22" t="n">
        <x:f>VLOOKUP(D10,$A$47:$E$49,3,FALSE)-G10</x:f>
        <x:v>0.10600000000000001</x:v>
      </x:c>
      <x:c r="N10" s="24" t="n">
        <x:f>VLOOKUP(D10,$A$47:$E$49,4,FALSE)*(1-VLOOKUP(D10,$A$47:$E$49,5,FALSE)/100)-I10</x:f>
        <x:v>0.6346353050161628</x:v>
      </x:c>
      <x:c r="O10" s="18" t="str">
        <x:f>IF(AND(L10&gt;=-0.0000001,M10&gt;=-0.0000001,N10&gt;=-0.0000001),"满足","不满足")</x:f>
        <x:v>满足</x:v>
      </x:c>
    </x:row>
    <x:row r="11" ht="44" customHeight="1">
      <x:c r="A11" s="2" t="str">
        <x:v>PF001</x:v>
      </x:c>
      <x:c r="B11" s="2" t="str">
        <x:v>PF001-007</x:v>
      </x:c>
      <x:c r="C11" s="2" t="str">
        <x:v>S004</x:v>
      </x:c>
      <x:c r="D11" s="2" t="str">
        <x:v>C</x:v>
      </x:c>
      <x:c r="E11" s="13" t="str">
        <x:v>S004-MED-01; S004-WAT-01; S004-WAT-02; S004-WAT-03; S004-FOD-01; S004-HYG-01</x:v>
      </x:c>
      <x:c r="F11" s="19" t="n">
        <x:v>59</x:v>
      </x:c>
      <x:c r="G11" s="21" t="n">
        <x:v>0.156</x:v>
      </x:c>
      <x:c r="H11" s="19" t="n">
        <x:v>1425.0547187724458</x:v>
      </x:c>
      <x:c r="I11" s="23" t="n">
        <x:v>6.152860129174582</x:v>
      </x:c>
      <x:c r="J11" s="19" t="n">
        <x:v>2301.054718772446</x:v>
      </x:c>
      <x:c r="K11" s="19" t="n">
        <x:f>(1-I11/VLOOKUP(D11,$A$47:$E$49,4,FALSE))*100</x:f>
        <x:v>23.089248385317727</x:v>
      </x:c>
      <x:c r="L11" s="19" t="n">
        <x:f>VLOOKUP(D11,$A$47:$E$49,2,FALSE)-F11</x:f>
        <x:v>21</x:v>
      </x:c>
      <x:c r="M11" s="21" t="n">
        <x:f>VLOOKUP(D11,$A$47:$E$49,3,FALSE)-G11</x:f>
        <x:v>0.094</x:v>
      </x:c>
      <x:c r="N11" s="23" t="n">
        <x:f>VLOOKUP(D11,$A$47:$E$49,4,FALSE)*(1-VLOOKUP(D11,$A$47:$E$49,5,FALSE)/100)-I11</x:f>
        <x:v>0.24713987082541866</x:v>
      </x:c>
      <x:c r="O11" s="17" t="str">
        <x:f>IF(AND(L11&gt;=-0.0000001,M11&gt;=-0.0000001,N11&gt;=-0.0000001),"满足","不满足")</x:f>
        <x:v>满足</x:v>
      </x:c>
    </x:row>
    <x:row r="12" ht="44" customHeight="1">
      <x:c r="A12" s="12" t="str">
        <x:v>PF001</x:v>
      </x:c>
      <x:c r="B12" s="12" t="str">
        <x:v>PF001-008</x:v>
      </x:c>
      <x:c r="C12" s="12" t="str">
        <x:v>S005</x:v>
      </x:c>
      <x:c r="D12" s="12" t="str">
        <x:v>C</x:v>
      </x:c>
      <x:c r="E12" s="14" t="str">
        <x:v>S005-MED-01; S005-WAT-01; S005-WAT-02; S005-WAT-03; S005-FOD-01; S005-HYG-01</x:v>
      </x:c>
      <x:c r="F12" s="20" t="n">
        <x:v>59</x:v>
      </x:c>
      <x:c r="G12" s="22" t="n">
        <x:v>0.156</x:v>
      </x:c>
      <x:c r="H12" s="20" t="n">
        <x:v>1001.1887154914712</x:v>
      </x:c>
      <x:c r="I12" s="24" t="n">
        <x:v>4.222137373445114</x:v>
      </x:c>
      <x:c r="J12" s="20" t="n">
        <x:v>1877.1887154914712</x:v>
      </x:c>
      <x:c r="K12" s="20" t="n">
        <x:f>(1-I12/VLOOKUP(D12,$A$47:$E$49,4,FALSE))*100</x:f>
        <x:v>47.223282831936075</x:v>
      </x:c>
      <x:c r="L12" s="20" t="n">
        <x:f>VLOOKUP(D12,$A$47:$E$49,2,FALSE)-F12</x:f>
        <x:v>21</x:v>
      </x:c>
      <x:c r="M12" s="22" t="n">
        <x:f>VLOOKUP(D12,$A$47:$E$49,3,FALSE)-G12</x:f>
        <x:v>0.094</x:v>
      </x:c>
      <x:c r="N12" s="24" t="n">
        <x:f>VLOOKUP(D12,$A$47:$E$49,4,FALSE)*(1-VLOOKUP(D12,$A$47:$E$49,5,FALSE)/100)-I12</x:f>
        <x:v>2.1778626265548864</x:v>
      </x:c>
      <x:c r="O12" s="18" t="str">
        <x:f>IF(AND(L12&gt;=-0.0000001,M12&gt;=-0.0000001,N12&gt;=-0.0000001),"满足","不满足")</x:f>
        <x:v>满足</x:v>
      </x:c>
    </x:row>
    <x:row r="13" ht="44" customHeight="1">
      <x:c r="A13" s="2" t="str">
        <x:v>PF001</x:v>
      </x:c>
      <x:c r="B13" s="2" t="str">
        <x:v>PF001-009</x:v>
      </x:c>
      <x:c r="C13" s="2" t="str">
        <x:v>S006</x:v>
      </x:c>
      <x:c r="D13" s="2" t="str">
        <x:v>C</x:v>
      </x:c>
      <x:c r="E13" s="13" t="str">
        <x:v>S006-MED-01; S006-WAT-01; S006-WAT-02; S006-WAT-03; S006-FOD-01; S006-HYG-01</x:v>
      </x:c>
      <x:c r="F13" s="19" t="n">
        <x:v>59</x:v>
      </x:c>
      <x:c r="G13" s="21" t="n">
        <x:v>0.156</x:v>
      </x:c>
      <x:c r="H13" s="19" t="n">
        <x:v>685.5526244866224</x:v>
      </x:c>
      <x:c r="I13" s="23" t="n">
        <x:v>2.5979362904386822</x:v>
      </x:c>
      <x:c r="J13" s="19" t="n">
        <x:v>1561.5526244866223</x:v>
      </x:c>
      <x:c r="K13" s="19" t="n">
        <x:f>(1-I13/VLOOKUP(D13,$A$47:$E$49,4,FALSE))*100</x:f>
        <x:v>67.52579636951648</x:v>
      </x:c>
      <x:c r="L13" s="19" t="n">
        <x:f>VLOOKUP(D13,$A$47:$E$49,2,FALSE)-F13</x:f>
        <x:v>21</x:v>
      </x:c>
      <x:c r="M13" s="21" t="n">
        <x:f>VLOOKUP(D13,$A$47:$E$49,3,FALSE)-G13</x:f>
        <x:v>0.094</x:v>
      </x:c>
      <x:c r="N13" s="23" t="n">
        <x:f>VLOOKUP(D13,$A$47:$E$49,4,FALSE)*(1-VLOOKUP(D13,$A$47:$E$49,5,FALSE)/100)-I13</x:f>
        <x:v>3.802063709561318</x:v>
      </x:c>
      <x:c r="O13" s="17" t="str">
        <x:f>IF(AND(L13&gt;=-0.0000001,M13&gt;=-0.0000001,N13&gt;=-0.0000001),"满足","不满足")</x:f>
        <x:v>满足</x:v>
      </x:c>
    </x:row>
    <x:row r="14" ht="44" customHeight="1">
      <x:c r="A14" s="12" t="str">
        <x:v>PF001</x:v>
      </x:c>
      <x:c r="B14" s="12" t="str">
        <x:v>PF001-010</x:v>
      </x:c>
      <x:c r="C14" s="12" t="str">
        <x:v>S007</x:v>
      </x:c>
      <x:c r="D14" s="12" t="str">
        <x:v>C</x:v>
      </x:c>
      <x:c r="E14" s="14" t="str">
        <x:v>S007-MED-01; S007-WAT-01; S007-WAT-02; S007-FOD-01; S007-HYG-01</x:v>
      </x:c>
      <x:c r="F14" s="20" t="n">
        <x:v>45</x:v>
      </x:c>
      <x:c r="G14" s="22" t="n">
        <x:v>0.129</x:v>
      </x:c>
      <x:c r="H14" s="20" t="n">
        <x:v>1097.600698410691</x:v>
      </x:c>
      <x:c r="I14" s="24" t="n">
        <x:v>3.4110038084433194</x:v>
      </x:c>
      <x:c r="J14" s="20" t="n">
        <x:v>1907.600698410691</x:v>
      </x:c>
      <x:c r="K14" s="20" t="n">
        <x:f>(1-I14/VLOOKUP(D14,$A$47:$E$49,4,FALSE))*100</x:f>
        <x:v>57.36245239445851</x:v>
      </x:c>
      <x:c r="L14" s="20" t="n">
        <x:f>VLOOKUP(D14,$A$47:$E$49,2,FALSE)-F14</x:f>
        <x:v>35</x:v>
      </x:c>
      <x:c r="M14" s="22" t="n">
        <x:f>VLOOKUP(D14,$A$47:$E$49,3,FALSE)-G14</x:f>
        <x:v>0.121</x:v>
      </x:c>
      <x:c r="N14" s="24" t="n">
        <x:f>VLOOKUP(D14,$A$47:$E$49,4,FALSE)*(1-VLOOKUP(D14,$A$47:$E$49,5,FALSE)/100)-I14</x:f>
        <x:v>2.988996191556681</x:v>
      </x:c>
      <x:c r="O14" s="18" t="str">
        <x:f>IF(AND(L14&gt;=-0.0000001,M14&gt;=-0.0000001,N14&gt;=-0.0000001),"满足","不满足")</x:f>
        <x:v>满足</x:v>
      </x:c>
    </x:row>
    <x:row r="15" ht="44" customHeight="1">
      <x:c r="A15" s="2" t="str">
        <x:v>PF001</x:v>
      </x:c>
      <x:c r="B15" s="2" t="str">
        <x:v>PF001-011</x:v>
      </x:c>
      <x:c r="C15" s="2" t="str">
        <x:v>S008</x:v>
      </x:c>
      <x:c r="D15" s="2" t="str">
        <x:v>C</x:v>
      </x:c>
      <x:c r="E15" s="13" t="str">
        <x:v>S008-MED-01; S008-WAT-01; S008-WAT-02; S008-FOD-01; S008-HYG-01</x:v>
      </x:c>
      <x:c r="F15" s="19" t="n">
        <x:v>45</x:v>
      </x:c>
      <x:c r="G15" s="21" t="n">
        <x:v>0.129</x:v>
      </x:c>
      <x:c r="H15" s="19" t="n">
        <x:v>1389.7115246008332</x:v>
      </x:c>
      <x:c r="I15" s="23" t="n">
        <x:v>5.836020667966359</x:v>
      </x:c>
      <x:c r="J15" s="19" t="n">
        <x:v>2199.7115246008334</x:v>
      </x:c>
      <x:c r="K15" s="19" t="n">
        <x:f>(1-I15/VLOOKUP(D15,$A$47:$E$49,4,FALSE))*100</x:f>
        <x:v>27.04974165042051</x:v>
      </x:c>
      <x:c r="L15" s="19" t="n">
        <x:f>VLOOKUP(D15,$A$47:$E$49,2,FALSE)-F15</x:f>
        <x:v>35</x:v>
      </x:c>
      <x:c r="M15" s="21" t="n">
        <x:f>VLOOKUP(D15,$A$47:$E$49,3,FALSE)-G15</x:f>
        <x:v>0.121</x:v>
      </x:c>
      <x:c r="N15" s="23" t="n">
        <x:f>VLOOKUP(D15,$A$47:$E$49,4,FALSE)*(1-VLOOKUP(D15,$A$47:$E$49,5,FALSE)/100)-I15</x:f>
        <x:v>0.5639793320336413</x:v>
      </x:c>
      <x:c r="O15" s="17" t="str">
        <x:f>IF(AND(L15&gt;=-0.0000001,M15&gt;=-0.0000001,N15&gt;=-0.0000001),"满足","不满足")</x:f>
        <x:v>满足</x:v>
      </x:c>
    </x:row>
    <x:row r="16" ht="30" customHeight="1">
      <x:c r="A16" s="12" t="str">
        <x:v>PF001</x:v>
      </x:c>
      <x:c r="B16" s="12" t="str">
        <x:v>PF001-012</x:v>
      </x:c>
      <x:c r="C16" s="12" t="str">
        <x:v>S009</x:v>
      </x:c>
      <x:c r="D16" s="12" t="str">
        <x:v>B</x:v>
      </x:c>
      <x:c r="E16" s="14" t="str">
        <x:v>S009-MED-01; S009-WAT-01; S009-FOD-01</x:v>
      </x:c>
      <x:c r="F16" s="20" t="n">
        <x:v>25</x:v>
      </x:c>
      <x:c r="G16" s="22" t="n">
        <x:v>0.067</x:v>
      </x:c>
      <x:c r="H16" s="20" t="n">
        <x:v>928.4628643343575</x:v>
      </x:c>
      <x:c r="I16" s="24" t="n">
        <x:v>2.0962654017373348</x:v>
      </x:c>
      <x:c r="J16" s="20" t="n">
        <x:v>1558.4628643343576</x:v>
      </x:c>
      <x:c r="K16" s="20" t="n">
        <x:f>(1-I16/VLOOKUP(D16,$A$47:$E$49,4,FALSE))*100</x:f>
        <x:v>47.59336495656663</x:v>
      </x:c>
      <x:c r="L16" s="20" t="n">
        <x:f>VLOOKUP(D16,$A$47:$E$49,2,FALSE)-F16</x:f>
        <x:v>5</x:v>
      </x:c>
      <x:c r="M16" s="22" t="n">
        <x:f>VLOOKUP(D16,$A$47:$E$49,3,FALSE)-G16</x:f>
        <x:v>0.0059999999999999915</x:v>
      </x:c>
      <x:c r="N16" s="24" t="n">
        <x:f>VLOOKUP(D16,$A$47:$E$49,4,FALSE)*(1-VLOOKUP(D16,$A$47:$E$49,5,FALSE)/100)-I16</x:f>
        <x:v>1.1037345982626654</x:v>
      </x:c>
      <x:c r="O16" s="18" t="str">
        <x:f>IF(AND(L16&gt;=-0.0000001,M16&gt;=-0.0000001,N16&gt;=-0.0000001),"满足","不满足")</x:f>
        <x:v>满足</x:v>
      </x:c>
    </x:row>
    <x:row r="17" ht="30" customHeight="1">
      <x:c r="A17" s="2" t="str">
        <x:v>PF001</x:v>
      </x:c>
      <x:c r="B17" s="2" t="str">
        <x:v>PF001-013</x:v>
      </x:c>
      <x:c r="C17" s="2" t="str">
        <x:v>S010</x:v>
      </x:c>
      <x:c r="D17" s="2" t="str">
        <x:v>B</x:v>
      </x:c>
      <x:c r="E17" s="13" t="str">
        <x:v>S010-MED-01; S010-WAT-01; S010-FOD-01</x:v>
      </x:c>
      <x:c r="F17" s="19" t="n">
        <x:v>25</x:v>
      </x:c>
      <x:c r="G17" s="21" t="n">
        <x:v>0.067</x:v>
      </x:c>
      <x:c r="H17" s="19" t="n">
        <x:v>925.4035197802174</x:v>
      </x:c>
      <x:c r="I17" s="23" t="n">
        <x:v>1.8232165642314142</x:v>
      </x:c>
      <x:c r="J17" s="19" t="n">
        <x:v>1555.4035197802173</x:v>
      </x:c>
      <x:c r="K17" s="19" t="n">
        <x:f>(1-I17/VLOOKUP(D17,$A$47:$E$49,4,FALSE))*100</x:f>
        <x:v>54.41958589421465</x:v>
      </x:c>
      <x:c r="L17" s="19" t="n">
        <x:f>VLOOKUP(D17,$A$47:$E$49,2,FALSE)-F17</x:f>
        <x:v>5</x:v>
      </x:c>
      <x:c r="M17" s="21" t="n">
        <x:f>VLOOKUP(D17,$A$47:$E$49,3,FALSE)-G17</x:f>
        <x:v>0.0059999999999999915</x:v>
      </x:c>
      <x:c r="N17" s="23" t="n">
        <x:f>VLOOKUP(D17,$A$47:$E$49,4,FALSE)*(1-VLOOKUP(D17,$A$47:$E$49,5,FALSE)/100)-I17</x:f>
        <x:v>1.376783435768586</x:v>
      </x:c>
      <x:c r="O17" s="17" t="str">
        <x:f>IF(AND(L17&gt;=-0.0000001,M17&gt;=-0.0000001,N17&gt;=-0.0000001),"满足","不满足")</x:f>
        <x:v>满足</x:v>
      </x:c>
    </x:row>
    <x:row r="18" ht="30" customHeight="1">
      <x:c r="A18" s="12" t="str">
        <x:v>PF001</x:v>
      </x:c>
      <x:c r="B18" s="12" t="str">
        <x:v>PF001-014</x:v>
      </x:c>
      <x:c r="C18" s="12" t="str">
        <x:v>S011</x:v>
      </x:c>
      <x:c r="D18" s="12" t="str">
        <x:v>B</x:v>
      </x:c>
      <x:c r="E18" s="14" t="str">
        <x:v>S011-MED-01; S011-WAT-01; S011-FOD-01</x:v>
      </x:c>
      <x:c r="F18" s="20" t="n">
        <x:v>25</x:v>
      </x:c>
      <x:c r="G18" s="22" t="n">
        <x:v>0.067</x:v>
      </x:c>
      <x:c r="H18" s="20" t="n">
        <x:v>558.4247628605204</x:v>
      </x:c>
      <x:c r="I18" s="24" t="n">
        <x:v>1.0739366863951034</x:v>
      </x:c>
      <x:c r="J18" s="20" t="n">
        <x:v>1188.4247628605203</x:v>
      </x:c>
      <x:c r="K18" s="20" t="n">
        <x:f>(1-I18/VLOOKUP(D18,$A$47:$E$49,4,FALSE))*100</x:f>
        <x:v>73.15158284012242</x:v>
      </x:c>
      <x:c r="L18" s="20" t="n">
        <x:f>VLOOKUP(D18,$A$47:$E$49,2,FALSE)-F18</x:f>
        <x:v>5</x:v>
      </x:c>
      <x:c r="M18" s="22" t="n">
        <x:f>VLOOKUP(D18,$A$47:$E$49,3,FALSE)-G18</x:f>
        <x:v>0.0059999999999999915</x:v>
      </x:c>
      <x:c r="N18" s="24" t="n">
        <x:f>VLOOKUP(D18,$A$47:$E$49,4,FALSE)*(1-VLOOKUP(D18,$A$47:$E$49,5,FALSE)/100)-I18</x:f>
        <x:v>2.126063313604897</x:v>
      </x:c>
      <x:c r="O18" s="18" t="str">
        <x:f>IF(AND(L18&gt;=-0.0000001,M18&gt;=-0.0000001,N18&gt;=-0.0000001),"满足","不满足")</x:f>
        <x:v>满足</x:v>
      </x:c>
    </x:row>
    <x:row r="19" ht="30" customHeight="1">
      <x:c r="A19" s="2" t="str">
        <x:v>PF001</x:v>
      </x:c>
      <x:c r="B19" s="2" t="str">
        <x:v>PF001-015</x:v>
      </x:c>
      <x:c r="C19" s="2" t="str">
        <x:v>S012</x:v>
      </x:c>
      <x:c r="D19" s="2" t="str">
        <x:v>B</x:v>
      </x:c>
      <x:c r="E19" s="13" t="str">
        <x:v>S012-MED-01; S012-WAT-01; S012-FOD-01</x:v>
      </x:c>
      <x:c r="F19" s="19" t="n">
        <x:v>25</x:v>
      </x:c>
      <x:c r="G19" s="21" t="n">
        <x:v>0.067</x:v>
      </x:c>
      <x:c r="H19" s="19" t="n">
        <x:v>1292.826814149187</x:v>
      </x:c>
      <x:c r="I19" s="23" t="n">
        <x:v>2.7525999542899324</x:v>
      </x:c>
      <x:c r="J19" s="19" t="n">
        <x:v>1922.826814149187</x:v>
      </x:c>
      <x:c r="K19" s="19" t="n">
        <x:f>(1-I19/VLOOKUP(D19,$A$47:$E$49,4,FALSE))*100</x:f>
        <x:v>31.185001142751688</x:v>
      </x:c>
      <x:c r="L19" s="19" t="n">
        <x:f>VLOOKUP(D19,$A$47:$E$49,2,FALSE)-F19</x:f>
        <x:v>5</x:v>
      </x:c>
      <x:c r="M19" s="21" t="n">
        <x:f>VLOOKUP(D19,$A$47:$E$49,3,FALSE)-G19</x:f>
        <x:v>0.0059999999999999915</x:v>
      </x:c>
      <x:c r="N19" s="23" t="n">
        <x:f>VLOOKUP(D19,$A$47:$E$49,4,FALSE)*(1-VLOOKUP(D19,$A$47:$E$49,5,FALSE)/100)-I19</x:f>
        <x:v>0.44740004571006775</x:v>
      </x:c>
      <x:c r="O19" s="17" t="str">
        <x:f>IF(AND(L19&gt;=-0.0000001,M19&gt;=-0.0000001,N19&gt;=-0.0000001),"满足","不满足")</x:f>
        <x:v>满足</x:v>
      </x:c>
    </x:row>
    <x:row r="20" ht="30" customHeight="1">
      <x:c r="A20" s="12" t="str">
        <x:v>PF001</x:v>
      </x:c>
      <x:c r="B20" s="12" t="str">
        <x:v>PF001-016</x:v>
      </x:c>
      <x:c r="C20" s="12" t="str">
        <x:v>S013</x:v>
      </x:c>
      <x:c r="D20" s="12" t="str">
        <x:v>B</x:v>
      </x:c>
      <x:c r="E20" s="14" t="str">
        <x:v>S013-MED-01; S013-WAT-01; S013-FOD-01</x:v>
      </x:c>
      <x:c r="F20" s="20" t="n">
        <x:v>25</x:v>
      </x:c>
      <x:c r="G20" s="22" t="n">
        <x:v>0.067</x:v>
      </x:c>
      <x:c r="H20" s="20" t="n">
        <x:v>880.511588744525</x:v>
      </x:c>
      <x:c r="I20" s="24" t="n">
        <x:v>1.8248281910807471</x:v>
      </x:c>
      <x:c r="J20" s="20" t="n">
        <x:v>1510.511588744525</x:v>
      </x:c>
      <x:c r="K20" s="20" t="n">
        <x:f>(1-I20/VLOOKUP(D20,$A$47:$E$49,4,FALSE))*100</x:f>
        <x:v>54.37929522298133</x:v>
      </x:c>
      <x:c r="L20" s="20" t="n">
        <x:f>VLOOKUP(D20,$A$47:$E$49,2,FALSE)-F20</x:f>
        <x:v>5</x:v>
      </x:c>
      <x:c r="M20" s="22" t="n">
        <x:f>VLOOKUP(D20,$A$47:$E$49,3,FALSE)-G20</x:f>
        <x:v>0.0059999999999999915</x:v>
      </x:c>
      <x:c r="N20" s="24" t="n">
        <x:f>VLOOKUP(D20,$A$47:$E$49,4,FALSE)*(1-VLOOKUP(D20,$A$47:$E$49,5,FALSE)/100)-I20</x:f>
        <x:v>1.375171808919253</x:v>
      </x:c>
      <x:c r="O20" s="18" t="str">
        <x:f>IF(AND(L20&gt;=-0.0000001,M20&gt;=-0.0000001,N20&gt;=-0.0000001),"满足","不满足")</x:f>
        <x:v>满足</x:v>
      </x:c>
    </x:row>
    <x:row r="21" ht="30" customHeight="1">
      <x:c r="A21" s="2" t="str">
        <x:v>PF001</x:v>
      </x:c>
      <x:c r="B21" s="2" t="str">
        <x:v>PF001-017</x:v>
      </x:c>
      <x:c r="C21" s="2" t="str">
        <x:v>S014</x:v>
      </x:c>
      <x:c r="D21" s="2" t="str">
        <x:v>B</x:v>
      </x:c>
      <x:c r="E21" s="13" t="str">
        <x:v>S014-MED-01; S014-WAT-01; S014-FOD-01</x:v>
      </x:c>
      <x:c r="F21" s="19" t="n">
        <x:v>25</x:v>
      </x:c>
      <x:c r="G21" s="21" t="n">
        <x:v>0.067</x:v>
      </x:c>
      <x:c r="H21" s="19" t="n">
        <x:v>1239.7476752786913</x:v>
      </x:c>
      <x:c r="I21" s="23" t="n">
        <x:v>2.1402909781417883</x:v>
      </x:c>
      <x:c r="J21" s="19" t="n">
        <x:v>1869.7476752786913</x:v>
      </x:c>
      <x:c r="K21" s="19" t="n">
        <x:f>(1-I21/VLOOKUP(D21,$A$47:$E$49,4,FALSE))*100</x:f>
        <x:v>46.49272554645529</x:v>
      </x:c>
      <x:c r="L21" s="19" t="n">
        <x:f>VLOOKUP(D21,$A$47:$E$49,2,FALSE)-F21</x:f>
        <x:v>5</x:v>
      </x:c>
      <x:c r="M21" s="21" t="n">
        <x:f>VLOOKUP(D21,$A$47:$E$49,3,FALSE)-G21</x:f>
        <x:v>0.0059999999999999915</x:v>
      </x:c>
      <x:c r="N21" s="23" t="n">
        <x:f>VLOOKUP(D21,$A$47:$E$49,4,FALSE)*(1-VLOOKUP(D21,$A$47:$E$49,5,FALSE)/100)-I21</x:f>
        <x:v>1.059709021858212</x:v>
      </x:c>
      <x:c r="O21" s="17" t="str">
        <x:f>IF(AND(L21&gt;=-0.0000001,M21&gt;=-0.0000001,N21&gt;=-0.0000001),"满足","不满足")</x:f>
        <x:v>满足</x:v>
      </x:c>
    </x:row>
    <x:row r="22" ht="30" customHeight="1">
      <x:c r="A22" s="12" t="str">
        <x:v>PF001</x:v>
      </x:c>
      <x:c r="B22" s="12" t="str">
        <x:v>PF001-018</x:v>
      </x:c>
      <x:c r="C22" s="12" t="str">
        <x:v>S015</x:v>
      </x:c>
      <x:c r="D22" s="12" t="str">
        <x:v>B</x:v>
      </x:c>
      <x:c r="E22" s="14" t="str">
        <x:v>S015-MED-01; S015-WAT-01; S015-FOD-01</x:v>
      </x:c>
      <x:c r="F22" s="20" t="n">
        <x:v>25</x:v>
      </x:c>
      <x:c r="G22" s="22" t="n">
        <x:v>0.067</x:v>
      </x:c>
      <x:c r="H22" s="20" t="n">
        <x:v>1198.3275601736595</x:v>
      </x:c>
      <x:c r="I22" s="24" t="n">
        <x:v>2.307528505752516</x:v>
      </x:c>
      <x:c r="J22" s="20" t="n">
        <x:v>1828.3275601736595</x:v>
      </x:c>
      <x:c r="K22" s="20" t="n">
        <x:f>(1-I22/VLOOKUP(D22,$A$47:$E$49,4,FALSE))*100</x:f>
        <x:v>42.311787356187104</x:v>
      </x:c>
      <x:c r="L22" s="20" t="n">
        <x:f>VLOOKUP(D22,$A$47:$E$49,2,FALSE)-F22</x:f>
        <x:v>5</x:v>
      </x:c>
      <x:c r="M22" s="22" t="n">
        <x:f>VLOOKUP(D22,$A$47:$E$49,3,FALSE)-G22</x:f>
        <x:v>0.0059999999999999915</x:v>
      </x:c>
      <x:c r="N22" s="24" t="n">
        <x:f>VLOOKUP(D22,$A$47:$E$49,4,FALSE)*(1-VLOOKUP(D22,$A$47:$E$49,5,FALSE)/100)-I22</x:f>
        <x:v>0.8924714942474843</x:v>
      </x:c>
      <x:c r="O22" s="18" t="str">
        <x:f>IF(AND(L22&gt;=-0.0000001,M22&gt;=-0.0000001,N22&gt;=-0.0000001),"满足","不满足")</x:f>
        <x:v>满足</x:v>
      </x:c>
    </x:row>
    <x:row r="23" ht="61" customHeight="1">
      <x:c r="A23" s="2" t="str">
        <x:v>PF002</x:v>
      </x:c>
      <x:c r="B23" s="2" t="str">
        <x:v>PF002-001</x:v>
      </x:c>
      <x:c r="C23" s="2" t="str">
        <x:v>S001</x:v>
      </x:c>
      <x:c r="D23" s="2" t="str">
        <x:v>C</x:v>
      </x:c>
      <x:c r="E23" s="13" t="str">
        <x:v>S001-WAT-01; S001-WAT-02; S001-WAT-03; S001-FOD-01; S001-FOD-02; S001-FOD-03; S001-HYG-01; S001-HYG-02</x:v>
      </x:c>
      <x:c r="F23" s="19" t="n">
        <x:v>78</x:v>
      </x:c>
      <x:c r="G23" s="21" t="n">
        <x:v>0.235</x:v>
      </x:c>
      <x:c r="H23" s="19" t="n">
        <x:v>618.1750458620229</x:v>
      </x:c>
      <x:c r="I23" s="23" t="n">
        <x:v>2.9957758049046697</x:v>
      </x:c>
      <x:c r="J23" s="19" t="n">
        <x:v>1626.175045862023</x:v>
      </x:c>
      <x:c r="K23" s="19" t="n">
        <x:f>(1-I23/VLOOKUP(D23,$A$47:$E$49,4,FALSE))*100</x:f>
        <x:v>62.552802438691636</x:v>
      </x:c>
      <x:c r="L23" s="19" t="n">
        <x:f>VLOOKUP(D23,$A$47:$E$49,2,FALSE)-F23</x:f>
        <x:v>2</x:v>
      </x:c>
      <x:c r="M23" s="21" t="n">
        <x:f>VLOOKUP(D23,$A$47:$E$49,3,FALSE)-G23</x:f>
        <x:v>0.015000000000000013</x:v>
      </x:c>
      <x:c r="N23" s="23" t="n">
        <x:f>VLOOKUP(D23,$A$47:$E$49,4,FALSE)*(1-VLOOKUP(D23,$A$47:$E$49,5,FALSE)/100)-I23</x:f>
        <x:v>3.4042241950953307</x:v>
      </x:c>
      <x:c r="O23" s="17" t="str">
        <x:f>IF(AND(L23&gt;=-0.0000001,M23&gt;=-0.0000001,N23&gt;=-0.0000001),"满足","不满足")</x:f>
        <x:v>满足</x:v>
      </x:c>
    </x:row>
    <x:row r="24" ht="44" customHeight="1">
      <x:c r="A24" s="12" t="str">
        <x:v>PF002</x:v>
      </x:c>
      <x:c r="B24" s="12" t="str">
        <x:v>PF002-002</x:v>
      </x:c>
      <x:c r="C24" s="12" t="str">
        <x:v>S001</x:v>
      </x:c>
      <x:c r="D24" s="12" t="str">
        <x:v>C</x:v>
      </x:c>
      <x:c r="E24" s="14" t="str">
        <x:v>S001-MED-01; S001-MED-02; S001-WAT-04; S001-WAT-05; S001-WAT-06; S001-WAT-07; S001-WAT-08</x:v>
      </x:c>
      <x:c r="F24" s="20" t="n">
        <x:v>76</x:v>
      </x:c>
      <x:c r="G24" s="22" t="n">
        <x:v>0.159</x:v>
      </x:c>
      <x:c r="H24" s="20" t="n">
        <x:v>618.1750458620229</x:v>
      </x:c>
      <x:c r="I24" s="24" t="n">
        <x:v>2.917588095586827</x:v>
      </x:c>
      <x:c r="J24" s="20" t="n">
        <x:v>1560.175045862023</x:v>
      </x:c>
      <x:c r="K24" s="20" t="n">
        <x:f>(1-I24/VLOOKUP(D24,$A$47:$E$49,4,FALSE))*100</x:f>
        <x:v>63.53014880516466</x:v>
      </x:c>
      <x:c r="L24" s="20" t="n">
        <x:f>VLOOKUP(D24,$A$47:$E$49,2,FALSE)-F24</x:f>
        <x:v>4</x:v>
      </x:c>
      <x:c r="M24" s="22" t="n">
        <x:f>VLOOKUP(D24,$A$47:$E$49,3,FALSE)-G24</x:f>
        <x:v>0.091</x:v>
      </x:c>
      <x:c r="N24" s="24" t="n">
        <x:f>VLOOKUP(D24,$A$47:$E$49,4,FALSE)*(1-VLOOKUP(D24,$A$47:$E$49,5,FALSE)/100)-I24</x:f>
        <x:v>3.482411904413173</x:v>
      </x:c>
      <x:c r="O24" s="18" t="str">
        <x:f>IF(AND(L24&gt;=-0.0000001,M24&gt;=-0.0000001,N24&gt;=-0.0000001),"满足","不满足")</x:f>
        <x:v>满足</x:v>
      </x:c>
    </x:row>
    <x:row r="25" ht="30" customHeight="1">
      <x:c r="A25" s="2" t="str">
        <x:v>PF002</x:v>
      </x:c>
      <x:c r="B25" s="2" t="str">
        <x:v>PF002-003</x:v>
      </x:c>
      <x:c r="C25" s="2" t="str">
        <x:v>S002</x:v>
      </x:c>
      <x:c r="D25" s="2" t="str">
        <x:v>B</x:v>
      </x:c>
      <x:c r="E25" s="13" t="str">
        <x:v>S002-MED-01; S002-WAT-01; S002-FOD-01</x:v>
      </x:c>
      <x:c r="F25" s="19" t="n">
        <x:v>25</x:v>
      </x:c>
      <x:c r="G25" s="21" t="n">
        <x:v>0.067</x:v>
      </x:c>
      <x:c r="H25" s="19" t="n">
        <x:v>1186.7240813077576</x:v>
      </x:c>
      <x:c r="I25" s="23" t="n">
        <x:v>2.7134729412419873</x:v>
      </x:c>
      <x:c r="J25" s="19" t="n">
        <x:v>1816.7240813077576</x:v>
      </x:c>
      <x:c r="K25" s="19" t="n">
        <x:f>(1-I25/VLOOKUP(D25,$A$47:$E$49,4,FALSE))*100</x:f>
        <x:v>32.16317646895032</x:v>
      </x:c>
      <x:c r="L25" s="19" t="n">
        <x:f>VLOOKUP(D25,$A$47:$E$49,2,FALSE)-F25</x:f>
        <x:v>5</x:v>
      </x:c>
      <x:c r="M25" s="21" t="n">
        <x:f>VLOOKUP(D25,$A$47:$E$49,3,FALSE)-G25</x:f>
        <x:v>0.0059999999999999915</x:v>
      </x:c>
      <x:c r="N25" s="23" t="n">
        <x:f>VLOOKUP(D25,$A$47:$E$49,4,FALSE)*(1-VLOOKUP(D25,$A$47:$E$49,5,FALSE)/100)-I25</x:f>
        <x:v>0.48652705875801283</x:v>
      </x:c>
      <x:c r="O25" s="17" t="str">
        <x:f>IF(AND(L25&gt;=-0.0000001,M25&gt;=-0.0000001,N25&gt;=-0.0000001),"满足","不满足")</x:f>
        <x:v>满足</x:v>
      </x:c>
    </x:row>
    <x:row r="26" ht="44" customHeight="1">
      <x:c r="A26" s="12" t="str">
        <x:v>PF002</x:v>
      </x:c>
      <x:c r="B26" s="12" t="str">
        <x:v>PF002-004</x:v>
      </x:c>
      <x:c r="C26" s="12" t="str">
        <x:v>S002</x:v>
      </x:c>
      <x:c r="D26" s="12" t="str">
        <x:v>C</x:v>
      </x:c>
      <x:c r="E26" s="14" t="str">
        <x:v>S002-WAT-02; S002-WAT-03; S002-WAT-04; S002-FOD-02; S002-HYG-01</x:v>
      </x:c>
      <x:c r="F26" s="20" t="n">
        <x:v>56</x:v>
      </x:c>
      <x:c r="G26" s="22" t="n">
        <x:v>0.144</x:v>
      </x:c>
      <x:c r="H26" s="20" t="n">
        <x:v>1231.8421660245544</x:v>
      </x:c>
      <x:c r="I26" s="24" t="n">
        <x:v>5.721356203945945</x:v>
      </x:c>
      <x:c r="J26" s="20" t="n">
        <x:v>2041.8421660245544</x:v>
      </x:c>
      <x:c r="K26" s="20" t="n">
        <x:f>(1-I26/VLOOKUP(D26,$A$47:$E$49,4,FALSE))*100</x:f>
        <x:v>28.48304745067569</x:v>
      </x:c>
      <x:c r="L26" s="20" t="n">
        <x:f>VLOOKUP(D26,$A$47:$E$49,2,FALSE)-F26</x:f>
        <x:v>24</x:v>
      </x:c>
      <x:c r="M26" s="22" t="n">
        <x:f>VLOOKUP(D26,$A$47:$E$49,3,FALSE)-G26</x:f>
        <x:v>0.10600000000000001</x:v>
      </x:c>
      <x:c r="N26" s="24" t="n">
        <x:f>VLOOKUP(D26,$A$47:$E$49,4,FALSE)*(1-VLOOKUP(D26,$A$47:$E$49,5,FALSE)/100)-I26</x:f>
        <x:v>0.6786437960540557</x:v>
      </x:c>
      <x:c r="O26" s="18" t="str">
        <x:f>IF(AND(L26&gt;=-0.0000001,M26&gt;=-0.0000001,N26&gt;=-0.0000001),"满足","不满足")</x:f>
        <x:v>满足</x:v>
      </x:c>
    </x:row>
    <x:row r="27" ht="30" customHeight="1">
      <x:c r="A27" s="2" t="str">
        <x:v>PF002</x:v>
      </x:c>
      <x:c r="B27" s="2" t="str">
        <x:v>PF002-005</x:v>
      </x:c>
      <x:c r="C27" s="2" t="str">
        <x:v>S003</x:v>
      </x:c>
      <x:c r="D27" s="2" t="str">
        <x:v>B</x:v>
      </x:c>
      <x:c r="E27" s="13" t="str">
        <x:v>S003-MED-01; S003-WAT-01; S003-FOD-01</x:v>
      </x:c>
      <x:c r="F27" s="19" t="n">
        <x:v>25</x:v>
      </x:c>
      <x:c r="G27" s="21" t="n">
        <x:v>0.067</x:v>
      </x:c>
      <x:c r="H27" s="19" t="n">
        <x:v>1450.6096650380623</x:v>
      </x:c>
      <x:c r="I27" s="23" t="n">
        <x:v>2.7800780342326075</x:v>
      </x:c>
      <x:c r="J27" s="19" t="n">
        <x:v>2080.6096650380623</x:v>
      </x:c>
      <x:c r="K27" s="19" t="n">
        <x:f>(1-I27/VLOOKUP(D27,$A$47:$E$49,4,FALSE))*100</x:f>
        <x:v>30.49804914418481</x:v>
      </x:c>
      <x:c r="L27" s="19" t="n">
        <x:f>VLOOKUP(D27,$A$47:$E$49,2,FALSE)-F27</x:f>
        <x:v>5</x:v>
      </x:c>
      <x:c r="M27" s="21" t="n">
        <x:f>VLOOKUP(D27,$A$47:$E$49,3,FALSE)-G27</x:f>
        <x:v>0.0059999999999999915</x:v>
      </x:c>
      <x:c r="N27" s="23" t="n">
        <x:f>VLOOKUP(D27,$A$47:$E$49,4,FALSE)*(1-VLOOKUP(D27,$A$47:$E$49,5,FALSE)/100)-I27</x:f>
        <x:v>0.4199219657673927</x:v>
      </x:c>
      <x:c r="O27" s="17" t="str">
        <x:f>IF(AND(L27&gt;=-0.0000001,M27&gt;=-0.0000001,N27&gt;=-0.0000001),"满足","不满足")</x:f>
        <x:v>满足</x:v>
      </x:c>
    </x:row>
    <x:row r="28" ht="44" customHeight="1">
      <x:c r="A28" s="12" t="str">
        <x:v>PF002</x:v>
      </x:c>
      <x:c r="B28" s="12" t="str">
        <x:v>PF002-006</x:v>
      </x:c>
      <x:c r="C28" s="12" t="str">
        <x:v>S003</x:v>
      </x:c>
      <x:c r="D28" s="12" t="str">
        <x:v>C</x:v>
      </x:c>
      <x:c r="E28" s="14" t="str">
        <x:v>S003-WAT-02; S003-WAT-03; S003-WAT-04; S003-FOD-02; S003-HYG-01</x:v>
      </x:c>
      <x:c r="F28" s="20" t="n">
        <x:v>56</x:v>
      </x:c>
      <x:c r="G28" s="22" t="n">
        <x:v>0.144</x:v>
      </x:c>
      <x:c r="H28" s="20" t="n">
        <x:v>1560.1777110992603</x:v>
      </x:c>
      <x:c r="I28" s="24" t="n">
        <x:v>5.7653646949838375</x:v>
      </x:c>
      <x:c r="J28" s="20" t="n">
        <x:v>2370.1777110992603</x:v>
      </x:c>
      <x:c r="K28" s="20" t="n">
        <x:f>(1-I28/VLOOKUP(D28,$A$47:$E$49,4,FALSE))*100</x:f>
        <x:v>27.93294131270203</x:v>
      </x:c>
      <x:c r="L28" s="20" t="n">
        <x:f>VLOOKUP(D28,$A$47:$E$49,2,FALSE)-F28</x:f>
        <x:v>24</x:v>
      </x:c>
      <x:c r="M28" s="22" t="n">
        <x:f>VLOOKUP(D28,$A$47:$E$49,3,FALSE)-G28</x:f>
        <x:v>0.10600000000000001</x:v>
      </x:c>
      <x:c r="N28" s="24" t="n">
        <x:f>VLOOKUP(D28,$A$47:$E$49,4,FALSE)*(1-VLOOKUP(D28,$A$47:$E$49,5,FALSE)/100)-I28</x:f>
        <x:v>0.6346353050161628</x:v>
      </x:c>
      <x:c r="O28" s="18" t="str">
        <x:f>IF(AND(L28&gt;=-0.0000001,M28&gt;=-0.0000001,N28&gt;=-0.0000001),"满足","不满足")</x:f>
        <x:v>满足</x:v>
      </x:c>
    </x:row>
    <x:row r="29" ht="44" customHeight="1">
      <x:c r="A29" s="2" t="str">
        <x:v>PF002</x:v>
      </x:c>
      <x:c r="B29" s="2" t="str">
        <x:v>PF002-007</x:v>
      </x:c>
      <x:c r="C29" s="2" t="str">
        <x:v>S004</x:v>
      </x:c>
      <x:c r="D29" s="2" t="str">
        <x:v>C</x:v>
      </x:c>
      <x:c r="E29" s="13" t="str">
        <x:v>S004-MED-01; S004-WAT-01; S004-WAT-02; S004-WAT-03; S004-FOD-01; S004-HYG-01</x:v>
      </x:c>
      <x:c r="F29" s="19" t="n">
        <x:v>59</x:v>
      </x:c>
      <x:c r="G29" s="21" t="n">
        <x:v>0.156</x:v>
      </x:c>
      <x:c r="H29" s="19" t="n">
        <x:v>1425.0547187724458</x:v>
      </x:c>
      <x:c r="I29" s="23" t="n">
        <x:v>6.152860129174582</x:v>
      </x:c>
      <x:c r="J29" s="19" t="n">
        <x:v>2301.054718772446</x:v>
      </x:c>
      <x:c r="K29" s="19" t="n">
        <x:f>(1-I29/VLOOKUP(D29,$A$47:$E$49,4,FALSE))*100</x:f>
        <x:v>23.089248385317727</x:v>
      </x:c>
      <x:c r="L29" s="19" t="n">
        <x:f>VLOOKUP(D29,$A$47:$E$49,2,FALSE)-F29</x:f>
        <x:v>21</x:v>
      </x:c>
      <x:c r="M29" s="21" t="n">
        <x:f>VLOOKUP(D29,$A$47:$E$49,3,FALSE)-G29</x:f>
        <x:v>0.094</x:v>
      </x:c>
      <x:c r="N29" s="23" t="n">
        <x:f>VLOOKUP(D29,$A$47:$E$49,4,FALSE)*(1-VLOOKUP(D29,$A$47:$E$49,5,FALSE)/100)-I29</x:f>
        <x:v>0.24713987082541866</x:v>
      </x:c>
      <x:c r="O29" s="17" t="str">
        <x:f>IF(AND(L29&gt;=-0.0000001,M29&gt;=-0.0000001,N29&gt;=-0.0000001),"满足","不满足")</x:f>
        <x:v>满足</x:v>
      </x:c>
    </x:row>
    <x:row r="30" ht="44" customHeight="1">
      <x:c r="A30" s="12" t="str">
        <x:v>PF002</x:v>
      </x:c>
      <x:c r="B30" s="12" t="str">
        <x:v>PF002-008</x:v>
      </x:c>
      <x:c r="C30" s="12" t="str">
        <x:v>S005</x:v>
      </x:c>
      <x:c r="D30" s="12" t="str">
        <x:v>C</x:v>
      </x:c>
      <x:c r="E30" s="14" t="str">
        <x:v>S005-MED-01; S005-WAT-01; S005-WAT-02; S005-WAT-03; S005-FOD-01; S005-HYG-01</x:v>
      </x:c>
      <x:c r="F30" s="20" t="n">
        <x:v>59</x:v>
      </x:c>
      <x:c r="G30" s="22" t="n">
        <x:v>0.156</x:v>
      </x:c>
      <x:c r="H30" s="20" t="n">
        <x:v>1001.1887154914712</x:v>
      </x:c>
      <x:c r="I30" s="24" t="n">
        <x:v>4.222137373445114</x:v>
      </x:c>
      <x:c r="J30" s="20" t="n">
        <x:v>1877.1887154914712</x:v>
      </x:c>
      <x:c r="K30" s="20" t="n">
        <x:f>(1-I30/VLOOKUP(D30,$A$47:$E$49,4,FALSE))*100</x:f>
        <x:v>47.223282831936075</x:v>
      </x:c>
      <x:c r="L30" s="20" t="n">
        <x:f>VLOOKUP(D30,$A$47:$E$49,2,FALSE)-F30</x:f>
        <x:v>21</x:v>
      </x:c>
      <x:c r="M30" s="22" t="n">
        <x:f>VLOOKUP(D30,$A$47:$E$49,3,FALSE)-G30</x:f>
        <x:v>0.094</x:v>
      </x:c>
      <x:c r="N30" s="24" t="n">
        <x:f>VLOOKUP(D30,$A$47:$E$49,4,FALSE)*(1-VLOOKUP(D30,$A$47:$E$49,5,FALSE)/100)-I30</x:f>
        <x:v>2.1778626265548864</x:v>
      </x:c>
      <x:c r="O30" s="18" t="str">
        <x:f>IF(AND(L30&gt;=-0.0000001,M30&gt;=-0.0000001,N30&gt;=-0.0000001),"满足","不满足")</x:f>
        <x:v>满足</x:v>
      </x:c>
    </x:row>
    <x:row r="31" ht="44" customHeight="1">
      <x:c r="A31" s="2" t="str">
        <x:v>PF002</x:v>
      </x:c>
      <x:c r="B31" s="2" t="str">
        <x:v>PF002-009</x:v>
      </x:c>
      <x:c r="C31" s="2" t="str">
        <x:v>S006</x:v>
      </x:c>
      <x:c r="D31" s="2" t="str">
        <x:v>C</x:v>
      </x:c>
      <x:c r="E31" s="13" t="str">
        <x:v>S006-MED-01; S006-WAT-01; S006-WAT-02; S006-WAT-03; S006-FOD-01; S006-HYG-01</x:v>
      </x:c>
      <x:c r="F31" s="19" t="n">
        <x:v>59</x:v>
      </x:c>
      <x:c r="G31" s="21" t="n">
        <x:v>0.156</x:v>
      </x:c>
      <x:c r="H31" s="19" t="n">
        <x:v>685.5526244866224</x:v>
      </x:c>
      <x:c r="I31" s="23" t="n">
        <x:v>2.5979362904386822</x:v>
      </x:c>
      <x:c r="J31" s="19" t="n">
        <x:v>1561.5526244866223</x:v>
      </x:c>
      <x:c r="K31" s="19" t="n">
        <x:f>(1-I31/VLOOKUP(D31,$A$47:$E$49,4,FALSE))*100</x:f>
        <x:v>67.52579636951648</x:v>
      </x:c>
      <x:c r="L31" s="19" t="n">
        <x:f>VLOOKUP(D31,$A$47:$E$49,2,FALSE)-F31</x:f>
        <x:v>21</x:v>
      </x:c>
      <x:c r="M31" s="21" t="n">
        <x:f>VLOOKUP(D31,$A$47:$E$49,3,FALSE)-G31</x:f>
        <x:v>0.094</x:v>
      </x:c>
      <x:c r="N31" s="23" t="n">
        <x:f>VLOOKUP(D31,$A$47:$E$49,4,FALSE)*(1-VLOOKUP(D31,$A$47:$E$49,5,FALSE)/100)-I31</x:f>
        <x:v>3.802063709561318</x:v>
      </x:c>
      <x:c r="O31" s="17" t="str">
        <x:f>IF(AND(L31&gt;=-0.0000001,M31&gt;=-0.0000001,N31&gt;=-0.0000001),"满足","不满足")</x:f>
        <x:v>满足</x:v>
      </x:c>
    </x:row>
    <x:row r="32" ht="44" customHeight="1">
      <x:c r="A32" s="12" t="str">
        <x:v>PF002</x:v>
      </x:c>
      <x:c r="B32" s="12" t="str">
        <x:v>PF002-010</x:v>
      </x:c>
      <x:c r="C32" s="12" t="str">
        <x:v>S007</x:v>
      </x:c>
      <x:c r="D32" s="12" t="str">
        <x:v>C</x:v>
      </x:c>
      <x:c r="E32" s="14" t="str">
        <x:v>S007-MED-01; S007-WAT-01; S007-WAT-02; S007-FOD-01; S007-HYG-01</x:v>
      </x:c>
      <x:c r="F32" s="20" t="n">
        <x:v>45</x:v>
      </x:c>
      <x:c r="G32" s="22" t="n">
        <x:v>0.129</x:v>
      </x:c>
      <x:c r="H32" s="20" t="n">
        <x:v>1097.600698410691</x:v>
      </x:c>
      <x:c r="I32" s="24" t="n">
        <x:v>3.4110038084433194</x:v>
      </x:c>
      <x:c r="J32" s="20" t="n">
        <x:v>1907.600698410691</x:v>
      </x:c>
      <x:c r="K32" s="20" t="n">
        <x:f>(1-I32/VLOOKUP(D32,$A$47:$E$49,4,FALSE))*100</x:f>
        <x:v>57.36245239445851</x:v>
      </x:c>
      <x:c r="L32" s="20" t="n">
        <x:f>VLOOKUP(D32,$A$47:$E$49,2,FALSE)-F32</x:f>
        <x:v>35</x:v>
      </x:c>
      <x:c r="M32" s="22" t="n">
        <x:f>VLOOKUP(D32,$A$47:$E$49,3,FALSE)-G32</x:f>
        <x:v>0.121</x:v>
      </x:c>
      <x:c r="N32" s="24" t="n">
        <x:f>VLOOKUP(D32,$A$47:$E$49,4,FALSE)*(1-VLOOKUP(D32,$A$47:$E$49,5,FALSE)/100)-I32</x:f>
        <x:v>2.988996191556681</x:v>
      </x:c>
      <x:c r="O32" s="18" t="str">
        <x:f>IF(AND(L32&gt;=-0.0000001,M32&gt;=-0.0000001,N32&gt;=-0.0000001),"满足","不满足")</x:f>
        <x:v>满足</x:v>
      </x:c>
    </x:row>
    <x:row r="33" ht="30" customHeight="1">
      <x:c r="A33" s="2" t="str">
        <x:v>PF002</x:v>
      </x:c>
      <x:c r="B33" s="2" t="str">
        <x:v>PF002-011</x:v>
      </x:c>
      <x:c r="C33" s="2" t="str">
        <x:v>S008</x:v>
      </x:c>
      <x:c r="D33" s="2" t="str">
        <x:v>B</x:v>
      </x:c>
      <x:c r="E33" s="13" t="str">
        <x:v>S008-WAT-01; S008-HYG-01</x:v>
      </x:c>
      <x:c r="F33" s="19" t="n">
        <x:v>20</x:v>
      </x:c>
      <x:c r="G33" s="21" t="n">
        <x:v>0.062</x:v>
      </x:c>
      <x:c r="H33" s="19" t="n">
        <x:v>1331.841747175703</x:v>
      </x:c>
      <x:c r="I33" s="23" t="n">
        <x:v>2.7634312052333714</x:v>
      </x:c>
      <x:c r="J33" s="19" t="n">
        <x:v>1901.841747175703</x:v>
      </x:c>
      <x:c r="K33" s="19" t="n">
        <x:f>(1-I33/VLOOKUP(D33,$A$47:$E$49,4,FALSE))*100</x:f>
        <x:v>30.914219869165716</x:v>
      </x:c>
      <x:c r="L33" s="19" t="n">
        <x:f>VLOOKUP(D33,$A$47:$E$49,2,FALSE)-F33</x:f>
        <x:v>10</x:v>
      </x:c>
      <x:c r="M33" s="21" t="n">
        <x:f>VLOOKUP(D33,$A$47:$E$49,3,FALSE)-G33</x:f>
        <x:v>0.010999999999999996</x:v>
      </x:c>
      <x:c r="N33" s="23" t="n">
        <x:f>VLOOKUP(D33,$A$47:$E$49,4,FALSE)*(1-VLOOKUP(D33,$A$47:$E$49,5,FALSE)/100)-I33</x:f>
        <x:v>0.4365687947666288</x:v>
      </x:c>
      <x:c r="O33" s="17" t="str">
        <x:f>IF(AND(L33&gt;=-0.0000001,M33&gt;=-0.0000001,N33&gt;=-0.0000001),"满足","不满足")</x:f>
        <x:v>满足</x:v>
      </x:c>
    </x:row>
    <x:row r="34" ht="30" customHeight="1">
      <x:c r="A34" s="12" t="str">
        <x:v>PF002</x:v>
      </x:c>
      <x:c r="B34" s="12" t="str">
        <x:v>PF002-012</x:v>
      </x:c>
      <x:c r="C34" s="12" t="str">
        <x:v>S008</x:v>
      </x:c>
      <x:c r="D34" s="12" t="str">
        <x:v>B</x:v>
      </x:c>
      <x:c r="E34" s="14" t="str">
        <x:v>S008-MED-01; S008-WAT-02; S008-FOD-01</x:v>
      </x:c>
      <x:c r="F34" s="20" t="n">
        <x:v>25</x:v>
      </x:c>
      <x:c r="G34" s="22" t="n">
        <x:v>0.067</x:v>
      </x:c>
      <x:c r="H34" s="20" t="n">
        <x:v>1331.841747175703</x:v>
      </x:c>
      <x:c r="I34" s="24" t="n">
        <x:v>2.975206874542233</x:v>
      </x:c>
      <x:c r="J34" s="20" t="n">
        <x:v>1961.841747175703</x:v>
      </x:c>
      <x:c r="K34" s="20" t="n">
        <x:f>(1-I34/VLOOKUP(D34,$A$47:$E$49,4,FALSE))*100</x:f>
        <x:v>25.619828136444177</x:v>
      </x:c>
      <x:c r="L34" s="20" t="n">
        <x:f>VLOOKUP(D34,$A$47:$E$49,2,FALSE)-F34</x:f>
        <x:v>5</x:v>
      </x:c>
      <x:c r="M34" s="22" t="n">
        <x:f>VLOOKUP(D34,$A$47:$E$49,3,FALSE)-G34</x:f>
        <x:v>0.0059999999999999915</x:v>
      </x:c>
      <x:c r="N34" s="24" t="n">
        <x:f>VLOOKUP(D34,$A$47:$E$49,4,FALSE)*(1-VLOOKUP(D34,$A$47:$E$49,5,FALSE)/100)-I34</x:f>
        <x:v>0.2247931254577673</x:v>
      </x:c>
      <x:c r="O34" s="18" t="str">
        <x:f>IF(AND(L34&gt;=-0.0000001,M34&gt;=-0.0000001,N34&gt;=-0.0000001),"满足","不满足")</x:f>
        <x:v>满足</x:v>
      </x:c>
    </x:row>
    <x:row r="35" ht="30" customHeight="1">
      <x:c r="A35" s="2" t="str">
        <x:v>PF002</x:v>
      </x:c>
      <x:c r="B35" s="2" t="str">
        <x:v>PF002-013</x:v>
      </x:c>
      <x:c r="C35" s="2" t="str">
        <x:v>S009</x:v>
      </x:c>
      <x:c r="D35" s="2" t="str">
        <x:v>B</x:v>
      </x:c>
      <x:c r="E35" s="13" t="str">
        <x:v>S009-MED-01; S009-WAT-01; S009-FOD-01</x:v>
      </x:c>
      <x:c r="F35" s="19" t="n">
        <x:v>25</x:v>
      </x:c>
      <x:c r="G35" s="21" t="n">
        <x:v>0.067</x:v>
      </x:c>
      <x:c r="H35" s="19" t="n">
        <x:v>928.4628643343575</x:v>
      </x:c>
      <x:c r="I35" s="23" t="n">
        <x:v>2.0962654017373348</x:v>
      </x:c>
      <x:c r="J35" s="19" t="n">
        <x:v>1558.4628643343576</x:v>
      </x:c>
      <x:c r="K35" s="19" t="n">
        <x:f>(1-I35/VLOOKUP(D35,$A$47:$E$49,4,FALSE))*100</x:f>
        <x:v>47.59336495656663</x:v>
      </x:c>
      <x:c r="L35" s="19" t="n">
        <x:f>VLOOKUP(D35,$A$47:$E$49,2,FALSE)-F35</x:f>
        <x:v>5</x:v>
      </x:c>
      <x:c r="M35" s="21" t="n">
        <x:f>VLOOKUP(D35,$A$47:$E$49,3,FALSE)-G35</x:f>
        <x:v>0.0059999999999999915</x:v>
      </x:c>
      <x:c r="N35" s="23" t="n">
        <x:f>VLOOKUP(D35,$A$47:$E$49,4,FALSE)*(1-VLOOKUP(D35,$A$47:$E$49,5,FALSE)/100)-I35</x:f>
        <x:v>1.1037345982626654</x:v>
      </x:c>
      <x:c r="O35" s="17" t="str">
        <x:f>IF(AND(L35&gt;=-0.0000001,M35&gt;=-0.0000001,N35&gt;=-0.0000001),"满足","不满足")</x:f>
        <x:v>满足</x:v>
      </x:c>
    </x:row>
    <x:row r="36" ht="30" customHeight="1">
      <x:c r="A36" s="12" t="str">
        <x:v>PF002</x:v>
      </x:c>
      <x:c r="B36" s="12" t="str">
        <x:v>PF002-014</x:v>
      </x:c>
      <x:c r="C36" s="12" t="str">
        <x:v>S010</x:v>
      </x:c>
      <x:c r="D36" s="12" t="str">
        <x:v>B</x:v>
      </x:c>
      <x:c r="E36" s="14" t="str">
        <x:v>S010-MED-01; S010-WAT-01; S010-FOD-01</x:v>
      </x:c>
      <x:c r="F36" s="20" t="n">
        <x:v>25</x:v>
      </x:c>
      <x:c r="G36" s="22" t="n">
        <x:v>0.067</x:v>
      </x:c>
      <x:c r="H36" s="20" t="n">
        <x:v>925.4035197802174</x:v>
      </x:c>
      <x:c r="I36" s="24" t="n">
        <x:v>1.8232165642314142</x:v>
      </x:c>
      <x:c r="J36" s="20" t="n">
        <x:v>1555.4035197802173</x:v>
      </x:c>
      <x:c r="K36" s="20" t="n">
        <x:f>(1-I36/VLOOKUP(D36,$A$47:$E$49,4,FALSE))*100</x:f>
        <x:v>54.41958589421465</x:v>
      </x:c>
      <x:c r="L36" s="20" t="n">
        <x:f>VLOOKUP(D36,$A$47:$E$49,2,FALSE)-F36</x:f>
        <x:v>5</x:v>
      </x:c>
      <x:c r="M36" s="22" t="n">
        <x:f>VLOOKUP(D36,$A$47:$E$49,3,FALSE)-G36</x:f>
        <x:v>0.0059999999999999915</x:v>
      </x:c>
      <x:c r="N36" s="24" t="n">
        <x:f>VLOOKUP(D36,$A$47:$E$49,4,FALSE)*(1-VLOOKUP(D36,$A$47:$E$49,5,FALSE)/100)-I36</x:f>
        <x:v>1.376783435768586</x:v>
      </x:c>
      <x:c r="O36" s="18" t="str">
        <x:f>IF(AND(L36&gt;=-0.0000001,M36&gt;=-0.0000001,N36&gt;=-0.0000001),"满足","不满足")</x:f>
        <x:v>满足</x:v>
      </x:c>
    </x:row>
    <x:row r="37" ht="30" customHeight="1">
      <x:c r="A37" s="2" t="str">
        <x:v>PF002</x:v>
      </x:c>
      <x:c r="B37" s="2" t="str">
        <x:v>PF002-015</x:v>
      </x:c>
      <x:c r="C37" s="2" t="str">
        <x:v>S011</x:v>
      </x:c>
      <x:c r="D37" s="2" t="str">
        <x:v>B</x:v>
      </x:c>
      <x:c r="E37" s="13" t="str">
        <x:v>S011-MED-01; S011-WAT-01; S011-FOD-01</x:v>
      </x:c>
      <x:c r="F37" s="19" t="n">
        <x:v>25</x:v>
      </x:c>
      <x:c r="G37" s="21" t="n">
        <x:v>0.067</x:v>
      </x:c>
      <x:c r="H37" s="19" t="n">
        <x:v>558.4247628605204</x:v>
      </x:c>
      <x:c r="I37" s="23" t="n">
        <x:v>1.0739366863951034</x:v>
      </x:c>
      <x:c r="J37" s="19" t="n">
        <x:v>1188.4247628605203</x:v>
      </x:c>
      <x:c r="K37" s="19" t="n">
        <x:f>(1-I37/VLOOKUP(D37,$A$47:$E$49,4,FALSE))*100</x:f>
        <x:v>73.15158284012242</x:v>
      </x:c>
      <x:c r="L37" s="19" t="n">
        <x:f>VLOOKUP(D37,$A$47:$E$49,2,FALSE)-F37</x:f>
        <x:v>5</x:v>
      </x:c>
      <x:c r="M37" s="21" t="n">
        <x:f>VLOOKUP(D37,$A$47:$E$49,3,FALSE)-G37</x:f>
        <x:v>0.0059999999999999915</x:v>
      </x:c>
      <x:c r="N37" s="23" t="n">
        <x:f>VLOOKUP(D37,$A$47:$E$49,4,FALSE)*(1-VLOOKUP(D37,$A$47:$E$49,5,FALSE)/100)-I37</x:f>
        <x:v>2.126063313604897</x:v>
      </x:c>
      <x:c r="O37" s="17" t="str">
        <x:f>IF(AND(L37&gt;=-0.0000001,M37&gt;=-0.0000001,N37&gt;=-0.0000001),"满足","不满足")</x:f>
        <x:v>满足</x:v>
      </x:c>
    </x:row>
    <x:row r="38" ht="30" customHeight="1">
      <x:c r="A38" s="12" t="str">
        <x:v>PF002</x:v>
      </x:c>
      <x:c r="B38" s="12" t="str">
        <x:v>PF002-016</x:v>
      </x:c>
      <x:c r="C38" s="12" t="str">
        <x:v>S012</x:v>
      </x:c>
      <x:c r="D38" s="12" t="str">
        <x:v>B</x:v>
      </x:c>
      <x:c r="E38" s="14" t="str">
        <x:v>S012-MED-01; S012-WAT-01; S012-FOD-01</x:v>
      </x:c>
      <x:c r="F38" s="20" t="n">
        <x:v>25</x:v>
      </x:c>
      <x:c r="G38" s="22" t="n">
        <x:v>0.067</x:v>
      </x:c>
      <x:c r="H38" s="20" t="n">
        <x:v>1292.826814149187</x:v>
      </x:c>
      <x:c r="I38" s="24" t="n">
        <x:v>2.7525999542899324</x:v>
      </x:c>
      <x:c r="J38" s="20" t="n">
        <x:v>1922.826814149187</x:v>
      </x:c>
      <x:c r="K38" s="20" t="n">
        <x:f>(1-I38/VLOOKUP(D38,$A$47:$E$49,4,FALSE))*100</x:f>
        <x:v>31.185001142751688</x:v>
      </x:c>
      <x:c r="L38" s="20" t="n">
        <x:f>VLOOKUP(D38,$A$47:$E$49,2,FALSE)-F38</x:f>
        <x:v>5</x:v>
      </x:c>
      <x:c r="M38" s="22" t="n">
        <x:f>VLOOKUP(D38,$A$47:$E$49,3,FALSE)-G38</x:f>
        <x:v>0.0059999999999999915</x:v>
      </x:c>
      <x:c r="N38" s="24" t="n">
        <x:f>VLOOKUP(D38,$A$47:$E$49,4,FALSE)*(1-VLOOKUP(D38,$A$47:$E$49,5,FALSE)/100)-I38</x:f>
        <x:v>0.44740004571006775</x:v>
      </x:c>
      <x:c r="O38" s="18" t="str">
        <x:f>IF(AND(L38&gt;=-0.0000001,M38&gt;=-0.0000001,N38&gt;=-0.0000001),"满足","不满足")</x:f>
        <x:v>满足</x:v>
      </x:c>
    </x:row>
    <x:row r="39" ht="30" customHeight="1">
      <x:c r="A39" s="2" t="str">
        <x:v>PF002</x:v>
      </x:c>
      <x:c r="B39" s="2" t="str">
        <x:v>PF002-017</x:v>
      </x:c>
      <x:c r="C39" s="2" t="str">
        <x:v>S013</x:v>
      </x:c>
      <x:c r="D39" s="2" t="str">
        <x:v>B</x:v>
      </x:c>
      <x:c r="E39" s="13" t="str">
        <x:v>S013-MED-01; S013-WAT-01; S013-FOD-01</x:v>
      </x:c>
      <x:c r="F39" s="19" t="n">
        <x:v>25</x:v>
      </x:c>
      <x:c r="G39" s="21" t="n">
        <x:v>0.067</x:v>
      </x:c>
      <x:c r="H39" s="19" t="n">
        <x:v>880.511588744525</x:v>
      </x:c>
      <x:c r="I39" s="23" t="n">
        <x:v>1.8248281910807471</x:v>
      </x:c>
      <x:c r="J39" s="19" t="n">
        <x:v>1510.511588744525</x:v>
      </x:c>
      <x:c r="K39" s="19" t="n">
        <x:f>(1-I39/VLOOKUP(D39,$A$47:$E$49,4,FALSE))*100</x:f>
        <x:v>54.37929522298133</x:v>
      </x:c>
      <x:c r="L39" s="19" t="n">
        <x:f>VLOOKUP(D39,$A$47:$E$49,2,FALSE)-F39</x:f>
        <x:v>5</x:v>
      </x:c>
      <x:c r="M39" s="21" t="n">
        <x:f>VLOOKUP(D39,$A$47:$E$49,3,FALSE)-G39</x:f>
        <x:v>0.0059999999999999915</x:v>
      </x:c>
      <x:c r="N39" s="23" t="n">
        <x:f>VLOOKUP(D39,$A$47:$E$49,4,FALSE)*(1-VLOOKUP(D39,$A$47:$E$49,5,FALSE)/100)-I39</x:f>
        <x:v>1.375171808919253</x:v>
      </x:c>
      <x:c r="O39" s="17" t="str">
        <x:f>IF(AND(L39&gt;=-0.0000001,M39&gt;=-0.0000001,N39&gt;=-0.0000001),"满足","不满足")</x:f>
        <x:v>满足</x:v>
      </x:c>
    </x:row>
    <x:row r="40" ht="30" customHeight="1">
      <x:c r="A40" s="12" t="str">
        <x:v>PF002</x:v>
      </x:c>
      <x:c r="B40" s="12" t="str">
        <x:v>PF002-018</x:v>
      </x:c>
      <x:c r="C40" s="12" t="str">
        <x:v>S014</x:v>
      </x:c>
      <x:c r="D40" s="12" t="str">
        <x:v>B</x:v>
      </x:c>
      <x:c r="E40" s="14" t="str">
        <x:v>S014-MED-01; S014-WAT-01; S014-FOD-01</x:v>
      </x:c>
      <x:c r="F40" s="20" t="n">
        <x:v>25</x:v>
      </x:c>
      <x:c r="G40" s="22" t="n">
        <x:v>0.067</x:v>
      </x:c>
      <x:c r="H40" s="20" t="n">
        <x:v>1239.7476752786913</x:v>
      </x:c>
      <x:c r="I40" s="24" t="n">
        <x:v>2.1402909781417883</x:v>
      </x:c>
      <x:c r="J40" s="20" t="n">
        <x:v>1869.7476752786913</x:v>
      </x:c>
      <x:c r="K40" s="20" t="n">
        <x:f>(1-I40/VLOOKUP(D40,$A$47:$E$49,4,FALSE))*100</x:f>
        <x:v>46.49272554645529</x:v>
      </x:c>
      <x:c r="L40" s="20" t="n">
        <x:f>VLOOKUP(D40,$A$47:$E$49,2,FALSE)-F40</x:f>
        <x:v>5</x:v>
      </x:c>
      <x:c r="M40" s="22" t="n">
        <x:f>VLOOKUP(D40,$A$47:$E$49,3,FALSE)-G40</x:f>
        <x:v>0.0059999999999999915</x:v>
      </x:c>
      <x:c r="N40" s="24" t="n">
        <x:f>VLOOKUP(D40,$A$47:$E$49,4,FALSE)*(1-VLOOKUP(D40,$A$47:$E$49,5,FALSE)/100)-I40</x:f>
        <x:v>1.059709021858212</x:v>
      </x:c>
      <x:c r="O40" s="18" t="str">
        <x:f>IF(AND(L40&gt;=-0.0000001,M40&gt;=-0.0000001,N40&gt;=-0.0000001),"满足","不满足")</x:f>
        <x:v>满足</x:v>
      </x:c>
    </x:row>
    <x:row r="41" ht="30" customHeight="1">
      <x:c r="A41" s="2" t="str">
        <x:v>PF002</x:v>
      </x:c>
      <x:c r="B41" s="2" t="str">
        <x:v>PF002-019</x:v>
      </x:c>
      <x:c r="C41" s="2" t="str">
        <x:v>S015</x:v>
      </x:c>
      <x:c r="D41" s="2" t="str">
        <x:v>B</x:v>
      </x:c>
      <x:c r="E41" s="13" t="str">
        <x:v>S015-MED-01; S015-WAT-01; S015-FOD-01</x:v>
      </x:c>
      <x:c r="F41" s="19" t="n">
        <x:v>25</x:v>
      </x:c>
      <x:c r="G41" s="21" t="n">
        <x:v>0.067</x:v>
      </x:c>
      <x:c r="H41" s="19" t="n">
        <x:v>1198.3275601736595</x:v>
      </x:c>
      <x:c r="I41" s="23" t="n">
        <x:v>2.307528505752516</x:v>
      </x:c>
      <x:c r="J41" s="19" t="n">
        <x:v>1828.3275601736595</x:v>
      </x:c>
      <x:c r="K41" s="19" t="n">
        <x:f>(1-I41/VLOOKUP(D41,$A$47:$E$49,4,FALSE))*100</x:f>
        <x:v>42.311787356187104</x:v>
      </x:c>
      <x:c r="L41" s="19" t="n">
        <x:f>VLOOKUP(D41,$A$47:$E$49,2,FALSE)-F41</x:f>
        <x:v>5</x:v>
      </x:c>
      <x:c r="M41" s="21" t="n">
        <x:f>VLOOKUP(D41,$A$47:$E$49,3,FALSE)-G41</x:f>
        <x:v>0.0059999999999999915</x:v>
      </x:c>
      <x:c r="N41" s="23" t="n">
        <x:f>VLOOKUP(D41,$A$47:$E$49,4,FALSE)*(1-VLOOKUP(D41,$A$47:$E$49,5,FALSE)/100)-I41</x:f>
        <x:v>0.8924714942474843</x:v>
      </x:c>
      <x:c r="O41" s="17" t="str">
        <x:f>IF(AND(L41&gt;=-0.0000001,M41&gt;=-0.0000001,N41&gt;=-0.0000001),"满足","不满足")</x:f>
        <x:v>满足</x:v>
      </x:c>
    </x:row>
    <x:row r="42" ht="27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</x:row>
    <x:row r="43" ht="27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</x:row>
    <x:row r="44" ht="32" customHeight="1">
      <x:c r="A44" s="3" t="str">
        <x:v>安全约束参数</x:v>
      </x:c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</x:row>
    <x:row r="45" ht="27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</x:row>
    <x:row r="46" ht="44" customHeight="1">
      <x:c r="A46" s="9" t="str">
        <x:v>机型</x:v>
      </x:c>
      <x:c r="B46" s="10" t="str">
        <x:v>载荷上限（kg）</x:v>
      </x:c>
      <x:c r="C46" s="10" t="str">
        <x:v>体积上限（m³）</x:v>
      </x:c>
      <x:c r="D46" s="10" t="str">
        <x:v>Euse
（kWh）</x:v>
      </x:c>
      <x:c r="E46" s="11" t="str">
        <x:v>返航SOC下限（%）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</x:row>
    <x:row r="47" ht="27" customHeight="1">
      <x:c r="A47" s="2" t="str">
        <x:v>A</x:v>
      </x:c>
      <x:c r="B47" s="2" t="n">
        <x:v>25</x:v>
      </x:c>
      <x:c r="C47" s="25" t="n">
        <x:v>0.06</x:v>
      </x:c>
      <x:c r="D47" s="2" t="n">
        <x:v>4.5</x:v>
      </x:c>
      <x:c r="E47" s="2" t="n">
        <x:v>20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</x:row>
    <x:row r="48" ht="27" customHeight="1">
      <x:c r="A48" s="2" t="str">
        <x:v>B</x:v>
      </x:c>
      <x:c r="B48" s="2" t="n">
        <x:v>30</x:v>
      </x:c>
      <x:c r="C48" s="25" t="n">
        <x:v>0.073</x:v>
      </x:c>
      <x:c r="D48" s="2" t="n">
        <x:v>4</x:v>
      </x:c>
      <x:c r="E48" s="2" t="n">
        <x:v>20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</x:row>
    <x:row r="49" ht="27" customHeight="1">
      <x:c r="A49" s="2" t="str">
        <x:v>C</x:v>
      </x:c>
      <x:c r="B49" s="2" t="n">
        <x:v>80</x:v>
      </x:c>
      <x:c r="C49" s="25" t="n">
        <x:v>0.25</x:v>
      </x:c>
      <x:c r="D49" s="2" t="n">
        <x:v>8</x:v>
      </x:c>
      <x:c r="E49" s="2" t="n">
        <x:v>20</x:v>
      </x:c>
      <x:c r="F49" s="2"/>
      <x:c r="G49" s="2"/>
      <x:c r="H49" s="2"/>
      <x:c r="I49" s="2"/>
      <x:c r="J49" s="2"/>
      <x:c r="K49" s="2"/>
      <x:c r="L49" s="2"/>
      <x:c r="M49" s="2"/>
      <x:c r="N49" s="2"/>
      <x:c r="O49" s="2"/>
    </x:row>
    <x:row r="50" ht="27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</x:row>
    <x:row r="51" ht="27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</x:row>
    <x:row r="52" ht="27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</x:row>
    <x:row r="53" ht="27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</x:row>
    <x:row r="54" ht="27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</x:row>
  </x:sheetData>
  <x:conditionalFormatting sqref="O5:O41">
    <x:cfRule type="containsText" dxfId="0" priority="1" operator="containsText" text="不满足"/>
  </x:conditionalFormatting>
  <x:pageMargins left="0.7" right="0.7" top="0.75" bottom="0.75" header="0.3" footer="0.3"/>
</x:worksheet>
</file>